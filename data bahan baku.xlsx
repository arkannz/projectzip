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T.ZIP\"/>
    </mc:Choice>
  </mc:AlternateContent>
  <bookViews>
    <workbookView xWindow="0" yWindow="0" windowWidth="10620" windowHeight="1335"/>
  </bookViews>
  <sheets>
    <sheet name="PELANGI 02" sheetId="9" r:id="rId1"/>
    <sheet name="RIDHO 01" sheetId="8" r:id="rId2"/>
    <sheet name="SUKABASUKI" sheetId="7" r:id="rId3"/>
    <sheet name="PELANGI 04" sheetId="6" r:id="rId4"/>
    <sheet name="ILALANG 02" sheetId="5" r:id="rId5"/>
    <sheet name="PELANGI 01" sheetId="4" r:id="rId6"/>
    <sheet name="KARYA HILS  01" sheetId="3" r:id="rId7"/>
    <sheet name="ILALANG 01" sheetId="2" r:id="rId8"/>
    <sheet name="Sheet1" sheetId="1" r:id="rId9"/>
  </sheets>
  <externalReferences>
    <externalReference r:id="rId10"/>
    <externalReference r:id="rId11"/>
    <externalReference r:id="rId12"/>
  </externalReferences>
  <definedNames>
    <definedName name="_xlnm._FilterDatabase" localSheetId="7" hidden="1">'ILALANG 01'!$B$4:$K$174</definedName>
    <definedName name="_xlnm._FilterDatabase" localSheetId="4" hidden="1">'ILALANG 02'!$B$4:$K$174</definedName>
    <definedName name="_xlnm._FilterDatabase" localSheetId="6" hidden="1">'KARYA HILS  01'!$B$4:$K$174</definedName>
    <definedName name="_xlnm._FilterDatabase" localSheetId="5" hidden="1">'PELANGI 01'!$B$4:$K$174</definedName>
    <definedName name="_xlnm._FilterDatabase" localSheetId="0" hidden="1">'PELANGI 02'!$B$4:$K$174</definedName>
    <definedName name="_xlnm._FilterDatabase" localSheetId="3" hidden="1">'PELANGI 04'!$B$4:$K$174</definedName>
    <definedName name="_xlnm._FilterDatabase" localSheetId="1" hidden="1">'RIDHO 01'!$B$4:$K$174</definedName>
    <definedName name="_xlnm._FilterDatabase" localSheetId="2" hidden="1">SUKABASUKI!$B$4:$K$174</definedName>
    <definedName name="DT_KR">[2]DT_KR!$B$4:$V$1168</definedName>
    <definedName name="Judul_Absensi_Karyawan">[3]Januari!$B$1</definedName>
    <definedName name="Judul1">[3]!Januari[[#Headers],[Nama Karyawan]]</definedName>
    <definedName name="Judul10">[3]!Oktober[[#Headers],[Nama Karyawan]]</definedName>
    <definedName name="Judul11">[3]!November[[#Headers],[Nama Karyawan]]</definedName>
    <definedName name="Judul12">[3]!Desember[[#Headers],[Nama Karyawan]]</definedName>
    <definedName name="Judul2">[3]!Februari[[#Headers],[Nama Karyawan]]</definedName>
    <definedName name="Judul3">[3]!Maret[[#Headers],[Nama Karyawan]]</definedName>
    <definedName name="Judul4">[3]!April[[#Headers],[Nama Karyawan]]</definedName>
    <definedName name="Judul5">[3]!Mei[[#Headers],[Nama Karyawan]]</definedName>
    <definedName name="Judul6">[3]!Juni[[#Headers],[Nama Karyawan]]</definedName>
    <definedName name="Judul7">[3]!Juli[[#Headers],[Nama Karyawan]]</definedName>
    <definedName name="Judul8">[3]!Agustus[[#Headers],[Nama Karyawan]]</definedName>
    <definedName name="Judul9">[3]!September[[#Headers],[Nama Karyawan]]</definedName>
    <definedName name="JudulKolom13" localSheetId="7">#REF!</definedName>
    <definedName name="JudulKolom13" localSheetId="4">#REF!</definedName>
    <definedName name="JudulKolom13" localSheetId="6">#REF!</definedName>
    <definedName name="JudulKolom13" localSheetId="5">#REF!</definedName>
    <definedName name="JudulKolom13" localSheetId="0">#REF!</definedName>
    <definedName name="JudulKolom13" localSheetId="3">#REF!</definedName>
    <definedName name="JudulKolom13" localSheetId="1">#REF!</definedName>
    <definedName name="JudulKolom13" localSheetId="2">#REF!</definedName>
    <definedName name="JudulKolom13">#REF!</definedName>
    <definedName name="Kustomkunci1">[3]Januari!$O$2</definedName>
    <definedName name="KustomKunci2">[3]Januari!$S$2</definedName>
    <definedName name="LiburanKunci">[3]Januari!$D$2</definedName>
    <definedName name="PribadiKunci">[3]Januari!$H$2</definedName>
    <definedName name="_xlnm.Print_Area" localSheetId="7">'ILALANG 01'!$B$87:$K$174</definedName>
    <definedName name="_xlnm.Print_Area" localSheetId="4">'ILALANG 02'!$B$87:$K$174</definedName>
    <definedName name="_xlnm.Print_Area" localSheetId="6">'KARYA HILS  01'!$B$87:$K$174</definedName>
    <definedName name="_xlnm.Print_Area" localSheetId="5">'PELANGI 01'!$B$87:$K$174</definedName>
    <definedName name="_xlnm.Print_Area" localSheetId="0">'PELANGI 02'!$B$87:$K$174</definedName>
    <definedName name="_xlnm.Print_Area" localSheetId="3">'PELANGI 04'!$B$87:$K$174</definedName>
    <definedName name="_xlnm.Print_Area" localSheetId="1">'RIDHO 01'!$B$87:$K$174</definedName>
    <definedName name="_xlnm.Print_Area" localSheetId="2">SUKABASUKI!$B$87:$K$174</definedName>
    <definedName name="SakitKunci">[3]Januari!$L$2</definedName>
    <definedName name="TahunKalender">[3]Januari!$AI$4</definedName>
  </definedName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72" i="9" l="1"/>
  <c r="E172" i="9" s="1"/>
  <c r="G172" i="9" s="1"/>
  <c r="D172" i="9"/>
  <c r="M171" i="9"/>
  <c r="E171" i="9" s="1"/>
  <c r="G171" i="9" s="1"/>
  <c r="D171" i="9"/>
  <c r="M170" i="9"/>
  <c r="E170" i="9" s="1"/>
  <c r="G170" i="9"/>
  <c r="D170" i="9"/>
  <c r="M169" i="9"/>
  <c r="E169" i="9" s="1"/>
  <c r="G169" i="9"/>
  <c r="D169" i="9"/>
  <c r="M168" i="9"/>
  <c r="E168" i="9" s="1"/>
  <c r="G168" i="9" s="1"/>
  <c r="D168" i="9"/>
  <c r="M167" i="9"/>
  <c r="E167" i="9" s="1"/>
  <c r="G167" i="9" s="1"/>
  <c r="D167" i="9"/>
  <c r="M166" i="9"/>
  <c r="E166" i="9" s="1"/>
  <c r="G166" i="9"/>
  <c r="D166" i="9"/>
  <c r="M165" i="9"/>
  <c r="E165" i="9" s="1"/>
  <c r="G165" i="9"/>
  <c r="D165" i="9"/>
  <c r="M164" i="9"/>
  <c r="E164" i="9" s="1"/>
  <c r="G164" i="9" s="1"/>
  <c r="D164" i="9"/>
  <c r="M163" i="9"/>
  <c r="E163" i="9" s="1"/>
  <c r="G163" i="9" s="1"/>
  <c r="D163" i="9"/>
  <c r="M161" i="9"/>
  <c r="E161" i="9" s="1"/>
  <c r="G161" i="9"/>
  <c r="D161" i="9"/>
  <c r="M160" i="9"/>
  <c r="E160" i="9" s="1"/>
  <c r="G160" i="9"/>
  <c r="D160" i="9"/>
  <c r="M159" i="9"/>
  <c r="E159" i="9" s="1"/>
  <c r="G159" i="9" s="1"/>
  <c r="D159" i="9"/>
  <c r="M158" i="9"/>
  <c r="E158" i="9" s="1"/>
  <c r="G158" i="9" s="1"/>
  <c r="D158" i="9"/>
  <c r="M157" i="9"/>
  <c r="E157" i="9" s="1"/>
  <c r="G157" i="9"/>
  <c r="D157" i="9"/>
  <c r="M156" i="9"/>
  <c r="E156" i="9" s="1"/>
  <c r="G156" i="9"/>
  <c r="D156" i="9"/>
  <c r="M155" i="9"/>
  <c r="E155" i="9" s="1"/>
  <c r="G155" i="9" s="1"/>
  <c r="D155" i="9"/>
  <c r="M154" i="9"/>
  <c r="E154" i="9" s="1"/>
  <c r="G154" i="9" s="1"/>
  <c r="D154" i="9"/>
  <c r="M153" i="9"/>
  <c r="E153" i="9" s="1"/>
  <c r="G153" i="9"/>
  <c r="D153" i="9"/>
  <c r="M152" i="9"/>
  <c r="E152" i="9" s="1"/>
  <c r="G152" i="9"/>
  <c r="D152" i="9"/>
  <c r="M151" i="9"/>
  <c r="E151" i="9" s="1"/>
  <c r="G151" i="9" s="1"/>
  <c r="D151" i="9"/>
  <c r="M150" i="9"/>
  <c r="E150" i="9" s="1"/>
  <c r="G150" i="9" s="1"/>
  <c r="D150" i="9"/>
  <c r="M149" i="9"/>
  <c r="E149" i="9" s="1"/>
  <c r="G149" i="9"/>
  <c r="D149" i="9"/>
  <c r="M148" i="9"/>
  <c r="E148" i="9" s="1"/>
  <c r="G148" i="9"/>
  <c r="D148" i="9"/>
  <c r="M147" i="9"/>
  <c r="E147" i="9" s="1"/>
  <c r="G147" i="9" s="1"/>
  <c r="D147" i="9"/>
  <c r="M146" i="9"/>
  <c r="E146" i="9" s="1"/>
  <c r="G146" i="9" s="1"/>
  <c r="D146" i="9"/>
  <c r="M145" i="9"/>
  <c r="E145" i="9" s="1"/>
  <c r="G145" i="9"/>
  <c r="D145" i="9"/>
  <c r="M144" i="9"/>
  <c r="E144" i="9" s="1"/>
  <c r="G144" i="9"/>
  <c r="D144" i="9"/>
  <c r="M143" i="9"/>
  <c r="E143" i="9" s="1"/>
  <c r="G143" i="9" s="1"/>
  <c r="D143" i="9"/>
  <c r="M141" i="9"/>
  <c r="E141" i="9" s="1"/>
  <c r="G141" i="9" s="1"/>
  <c r="D141" i="9"/>
  <c r="M140" i="9"/>
  <c r="E140" i="9" s="1"/>
  <c r="G140" i="9"/>
  <c r="D140" i="9"/>
  <c r="M139" i="9"/>
  <c r="E139" i="9" s="1"/>
  <c r="G139" i="9"/>
  <c r="D139" i="9"/>
  <c r="M138" i="9"/>
  <c r="E138" i="9" s="1"/>
  <c r="G138" i="9" s="1"/>
  <c r="D138" i="9"/>
  <c r="M137" i="9"/>
  <c r="E137" i="9" s="1"/>
  <c r="G137" i="9" s="1"/>
  <c r="D137" i="9"/>
  <c r="M136" i="9"/>
  <c r="E136" i="9" s="1"/>
  <c r="G136" i="9"/>
  <c r="D136" i="9"/>
  <c r="M135" i="9"/>
  <c r="E135" i="9" s="1"/>
  <c r="G135" i="9"/>
  <c r="D135" i="9"/>
  <c r="M134" i="9"/>
  <c r="E134" i="9" s="1"/>
  <c r="G134" i="9" s="1"/>
  <c r="D134" i="9"/>
  <c r="M132" i="9"/>
  <c r="E132" i="9" s="1"/>
  <c r="G132" i="9" s="1"/>
  <c r="D132" i="9"/>
  <c r="M131" i="9"/>
  <c r="E131" i="9" s="1"/>
  <c r="G131" i="9" s="1"/>
  <c r="I131" i="9"/>
  <c r="D131" i="9"/>
  <c r="M129" i="9"/>
  <c r="E129" i="9" s="1"/>
  <c r="G129" i="9" s="1"/>
  <c r="D129" i="9"/>
  <c r="M128" i="9"/>
  <c r="E128" i="9" s="1"/>
  <c r="G128" i="9" s="1"/>
  <c r="D128" i="9"/>
  <c r="M127" i="9"/>
  <c r="E127" i="9" s="1"/>
  <c r="G127" i="9" s="1"/>
  <c r="D127" i="9"/>
  <c r="M126" i="9"/>
  <c r="E126" i="9" s="1"/>
  <c r="G126" i="9" s="1"/>
  <c r="D126" i="9"/>
  <c r="M125" i="9"/>
  <c r="E125" i="9" s="1"/>
  <c r="G125" i="9" s="1"/>
  <c r="I125" i="9"/>
  <c r="D125" i="9"/>
  <c r="M123" i="9"/>
  <c r="E123" i="9"/>
  <c r="G123" i="9" s="1"/>
  <c r="D123" i="9"/>
  <c r="M122" i="9"/>
  <c r="E122" i="9"/>
  <c r="G122" i="9" s="1"/>
  <c r="D122" i="9"/>
  <c r="M121" i="9"/>
  <c r="E121" i="9"/>
  <c r="G121" i="9" s="1"/>
  <c r="D121" i="9"/>
  <c r="M120" i="9"/>
  <c r="I120" i="9"/>
  <c r="E120" i="9"/>
  <c r="G120" i="9" s="1"/>
  <c r="D120" i="9"/>
  <c r="M118" i="9"/>
  <c r="E118" i="9" s="1"/>
  <c r="I118" i="9"/>
  <c r="G118" i="9"/>
  <c r="D118" i="9"/>
  <c r="M116" i="9"/>
  <c r="E116" i="9" s="1"/>
  <c r="G116" i="9" s="1"/>
  <c r="D116" i="9"/>
  <c r="M115" i="9"/>
  <c r="E115" i="9" s="1"/>
  <c r="G115" i="9"/>
  <c r="D115" i="9"/>
  <c r="M114" i="9"/>
  <c r="E114" i="9" s="1"/>
  <c r="G114" i="9" s="1"/>
  <c r="D114" i="9"/>
  <c r="M113" i="9"/>
  <c r="E113" i="9" s="1"/>
  <c r="G113" i="9"/>
  <c r="D113" i="9"/>
  <c r="M112" i="9"/>
  <c r="E112" i="9" s="1"/>
  <c r="G112" i="9" s="1"/>
  <c r="D112" i="9"/>
  <c r="M111" i="9"/>
  <c r="E111" i="9" s="1"/>
  <c r="G111" i="9"/>
  <c r="D111" i="9"/>
  <c r="M110" i="9"/>
  <c r="E110" i="9" s="1"/>
  <c r="G110" i="9" s="1"/>
  <c r="D110" i="9"/>
  <c r="M109" i="9"/>
  <c r="E109" i="9" s="1"/>
  <c r="G109" i="9"/>
  <c r="D109" i="9"/>
  <c r="M108" i="9"/>
  <c r="E108" i="9" s="1"/>
  <c r="G108" i="9" s="1"/>
  <c r="D108" i="9"/>
  <c r="M107" i="9"/>
  <c r="E107" i="9" s="1"/>
  <c r="G107" i="9"/>
  <c r="D107" i="9"/>
  <c r="M106" i="9"/>
  <c r="E106" i="9" s="1"/>
  <c r="G106" i="9" s="1"/>
  <c r="D106" i="9"/>
  <c r="M105" i="9"/>
  <c r="E105" i="9" s="1"/>
  <c r="G105" i="9" s="1"/>
  <c r="I105" i="9"/>
  <c r="D105" i="9"/>
  <c r="M103" i="9"/>
  <c r="G103" i="9"/>
  <c r="D103" i="9"/>
  <c r="M102" i="9"/>
  <c r="E102" i="9" s="1"/>
  <c r="G102" i="9"/>
  <c r="D102" i="9"/>
  <c r="M101" i="9"/>
  <c r="E101" i="9" s="1"/>
  <c r="G101" i="9" s="1"/>
  <c r="D101" i="9"/>
  <c r="M100" i="9"/>
  <c r="E100" i="9" s="1"/>
  <c r="G100" i="9"/>
  <c r="D100" i="9"/>
  <c r="M99" i="9"/>
  <c r="E99" i="9" s="1"/>
  <c r="G99" i="9" s="1"/>
  <c r="I99" i="9"/>
  <c r="D99" i="9"/>
  <c r="G97" i="9"/>
  <c r="E97" i="9"/>
  <c r="D97" i="9"/>
  <c r="M96" i="9"/>
  <c r="E96" i="9" s="1"/>
  <c r="G96" i="9" s="1"/>
  <c r="D96" i="9"/>
  <c r="M95" i="9"/>
  <c r="E95" i="9" s="1"/>
  <c r="G95" i="9"/>
  <c r="D95" i="9"/>
  <c r="M94" i="9"/>
  <c r="E94" i="9" s="1"/>
  <c r="G94" i="9" s="1"/>
  <c r="D94" i="9"/>
  <c r="M93" i="9"/>
  <c r="E93" i="9" s="1"/>
  <c r="G93" i="9"/>
  <c r="D93" i="9"/>
  <c r="M92" i="9"/>
  <c r="E92" i="9" s="1"/>
  <c r="G92" i="9" s="1"/>
  <c r="D92" i="9"/>
  <c r="M91" i="9"/>
  <c r="E91" i="9" s="1"/>
  <c r="G91" i="9"/>
  <c r="D91" i="9"/>
  <c r="M90" i="9"/>
  <c r="E90" i="9" s="1"/>
  <c r="G90" i="9" s="1"/>
  <c r="D90" i="9"/>
  <c r="M89" i="9"/>
  <c r="E89" i="9" s="1"/>
  <c r="G89" i="9"/>
  <c r="D89" i="9"/>
  <c r="M88" i="9"/>
  <c r="E88" i="9" s="1"/>
  <c r="G88" i="9" s="1"/>
  <c r="J88" i="9"/>
  <c r="I88" i="9"/>
  <c r="D88" i="9"/>
  <c r="M86" i="9"/>
  <c r="E86" i="9"/>
  <c r="G86" i="9" s="1"/>
  <c r="D86" i="9"/>
  <c r="M85" i="9"/>
  <c r="E85" i="9"/>
  <c r="G85" i="9" s="1"/>
  <c r="D85" i="9"/>
  <c r="M84" i="9"/>
  <c r="E84" i="9"/>
  <c r="G84" i="9" s="1"/>
  <c r="D84" i="9"/>
  <c r="M83" i="9"/>
  <c r="I83" i="9"/>
  <c r="G83" i="9"/>
  <c r="E83" i="9"/>
  <c r="D83" i="9"/>
  <c r="M81" i="9"/>
  <c r="G81" i="9"/>
  <c r="E81" i="9"/>
  <c r="D81" i="9"/>
  <c r="M80" i="9"/>
  <c r="G80" i="9"/>
  <c r="E80" i="9"/>
  <c r="D80" i="9"/>
  <c r="M79" i="9"/>
  <c r="G79" i="9"/>
  <c r="E79" i="9"/>
  <c r="D79" i="9"/>
  <c r="M78" i="9"/>
  <c r="G78" i="9"/>
  <c r="E78" i="9"/>
  <c r="D78" i="9"/>
  <c r="M77" i="9"/>
  <c r="G77" i="9"/>
  <c r="E77" i="9"/>
  <c r="D77" i="9"/>
  <c r="M76" i="9"/>
  <c r="I76" i="9"/>
  <c r="G76" i="9"/>
  <c r="E76" i="9"/>
  <c r="D76" i="9"/>
  <c r="M74" i="9"/>
  <c r="E74" i="9" s="1"/>
  <c r="G74" i="9" s="1"/>
  <c r="D74" i="9"/>
  <c r="M73" i="9"/>
  <c r="E73" i="9" s="1"/>
  <c r="G73" i="9"/>
  <c r="D73" i="9"/>
  <c r="M72" i="9"/>
  <c r="E72" i="9" s="1"/>
  <c r="G72" i="9" s="1"/>
  <c r="D72" i="9"/>
  <c r="M71" i="9"/>
  <c r="E71" i="9" s="1"/>
  <c r="G71" i="9" s="1"/>
  <c r="D71" i="9"/>
  <c r="M70" i="9"/>
  <c r="E70" i="9" s="1"/>
  <c r="G70" i="9" s="1"/>
  <c r="D70" i="9"/>
  <c r="M69" i="9"/>
  <c r="E69" i="9" s="1"/>
  <c r="G69" i="9"/>
  <c r="D69" i="9"/>
  <c r="M68" i="9"/>
  <c r="E68" i="9" s="1"/>
  <c r="G68" i="9" s="1"/>
  <c r="D68" i="9"/>
  <c r="M67" i="9"/>
  <c r="E67" i="9" s="1"/>
  <c r="G67" i="9" s="1"/>
  <c r="D67" i="9"/>
  <c r="M66" i="9"/>
  <c r="E66" i="9" s="1"/>
  <c r="G66" i="9" s="1"/>
  <c r="D66" i="9"/>
  <c r="M65" i="9"/>
  <c r="E65" i="9" s="1"/>
  <c r="G65" i="9" s="1"/>
  <c r="I65" i="9"/>
  <c r="D65" i="9"/>
  <c r="M63" i="9"/>
  <c r="E63" i="9" s="1"/>
  <c r="G63" i="9" s="1"/>
  <c r="D63" i="9"/>
  <c r="M62" i="9"/>
  <c r="E62" i="9" s="1"/>
  <c r="G62" i="9" s="1"/>
  <c r="D62" i="9"/>
  <c r="M61" i="9"/>
  <c r="I61" i="9"/>
  <c r="G61" i="9"/>
  <c r="E61" i="9"/>
  <c r="J61" i="9" s="1"/>
  <c r="D61" i="9"/>
  <c r="M59" i="9"/>
  <c r="G59" i="9"/>
  <c r="E59" i="9"/>
  <c r="D59" i="9"/>
  <c r="M58" i="9"/>
  <c r="G58" i="9"/>
  <c r="E58" i="9"/>
  <c r="D58" i="9"/>
  <c r="M57" i="9"/>
  <c r="G57" i="9"/>
  <c r="E57" i="9"/>
  <c r="D57" i="9"/>
  <c r="M56" i="9"/>
  <c r="G56" i="9"/>
  <c r="E56" i="9"/>
  <c r="D56" i="9"/>
  <c r="M55" i="9"/>
  <c r="G55" i="9"/>
  <c r="E55" i="9"/>
  <c r="D55" i="9"/>
  <c r="M54" i="9"/>
  <c r="G54" i="9"/>
  <c r="E54" i="9"/>
  <c r="D54" i="9"/>
  <c r="M53" i="9"/>
  <c r="G53" i="9"/>
  <c r="E53" i="9"/>
  <c r="D53" i="9"/>
  <c r="M52" i="9"/>
  <c r="G52" i="9"/>
  <c r="E52" i="9"/>
  <c r="D52" i="9"/>
  <c r="M51" i="9"/>
  <c r="G51" i="9"/>
  <c r="E51" i="9"/>
  <c r="D51" i="9"/>
  <c r="M50" i="9"/>
  <c r="G50" i="9"/>
  <c r="E50" i="9"/>
  <c r="D50" i="9"/>
  <c r="M49" i="9"/>
  <c r="M48" i="9"/>
  <c r="E48" i="9" s="1"/>
  <c r="G48" i="9" s="1"/>
  <c r="F48" i="9"/>
  <c r="D48" i="9"/>
  <c r="M47" i="9"/>
  <c r="E47" i="9" s="1"/>
  <c r="G47" i="9" s="1"/>
  <c r="D47" i="9"/>
  <c r="M46" i="9"/>
  <c r="E46" i="9" s="1"/>
  <c r="G46" i="9" s="1"/>
  <c r="D46" i="9"/>
  <c r="M45" i="9"/>
  <c r="E45" i="9" s="1"/>
  <c r="G45" i="9" s="1"/>
  <c r="D45" i="9"/>
  <c r="M44" i="9"/>
  <c r="E44" i="9" s="1"/>
  <c r="G44" i="9" s="1"/>
  <c r="D44" i="9"/>
  <c r="M43" i="9"/>
  <c r="E43" i="9" s="1"/>
  <c r="G43" i="9" s="1"/>
  <c r="D43" i="9"/>
  <c r="M42" i="9"/>
  <c r="E42" i="9" s="1"/>
  <c r="G42" i="9" s="1"/>
  <c r="F42" i="9"/>
  <c r="D42" i="9"/>
  <c r="M41" i="9"/>
  <c r="E41" i="9" s="1"/>
  <c r="G41" i="9" s="1"/>
  <c r="D41" i="9"/>
  <c r="M40" i="9"/>
  <c r="E40" i="9" s="1"/>
  <c r="G40" i="9" s="1"/>
  <c r="D40" i="9"/>
  <c r="M39" i="9"/>
  <c r="E39" i="9"/>
  <c r="G39" i="9" s="1"/>
  <c r="D39" i="9"/>
  <c r="M38" i="9"/>
  <c r="I38" i="9"/>
  <c r="J38" i="9" s="1"/>
  <c r="G38" i="9"/>
  <c r="E38" i="9"/>
  <c r="D38" i="9"/>
  <c r="M36" i="9"/>
  <c r="G36" i="9"/>
  <c r="E36" i="9"/>
  <c r="D36" i="9"/>
  <c r="M35" i="9"/>
  <c r="G35" i="9"/>
  <c r="E35" i="9"/>
  <c r="D35" i="9"/>
  <c r="M34" i="9"/>
  <c r="G34" i="9"/>
  <c r="E34" i="9"/>
  <c r="D34" i="9"/>
  <c r="M33" i="9"/>
  <c r="E33" i="9"/>
  <c r="G33" i="9" s="1"/>
  <c r="D33" i="9"/>
  <c r="M32" i="9"/>
  <c r="E32" i="9"/>
  <c r="G32" i="9" s="1"/>
  <c r="D32" i="9"/>
  <c r="M31" i="9"/>
  <c r="E31" i="9"/>
  <c r="G31" i="9" s="1"/>
  <c r="D31" i="9"/>
  <c r="M30" i="9"/>
  <c r="E30" i="9"/>
  <c r="G30" i="9" s="1"/>
  <c r="D30" i="9"/>
  <c r="M29" i="9"/>
  <c r="E29" i="9"/>
  <c r="G29" i="9" s="1"/>
  <c r="D29" i="9"/>
  <c r="M28" i="9"/>
  <c r="E28" i="9"/>
  <c r="G28" i="9" s="1"/>
  <c r="D28" i="9"/>
  <c r="M27" i="9"/>
  <c r="E27" i="9"/>
  <c r="G27" i="9" s="1"/>
  <c r="D27" i="9"/>
  <c r="M26" i="9"/>
  <c r="E26" i="9"/>
  <c r="G26" i="9" s="1"/>
  <c r="D26" i="9"/>
  <c r="M25" i="9"/>
  <c r="E25" i="9" s="1"/>
  <c r="I25" i="9"/>
  <c r="G25" i="9"/>
  <c r="D25" i="9"/>
  <c r="M23" i="9"/>
  <c r="E23" i="9" s="1"/>
  <c r="G23" i="9" s="1"/>
  <c r="D23" i="9"/>
  <c r="M22" i="9"/>
  <c r="E22" i="9" s="1"/>
  <c r="G22" i="9"/>
  <c r="D22" i="9"/>
  <c r="M21" i="9"/>
  <c r="E21" i="9" s="1"/>
  <c r="G21" i="9" s="1"/>
  <c r="D21" i="9"/>
  <c r="M20" i="9"/>
  <c r="J20" i="9"/>
  <c r="I20" i="9"/>
  <c r="E20" i="9"/>
  <c r="G20" i="9" s="1"/>
  <c r="D20" i="9"/>
  <c r="M18" i="9"/>
  <c r="E18" i="9"/>
  <c r="G18" i="9" s="1"/>
  <c r="D18" i="9"/>
  <c r="M17" i="9"/>
  <c r="E17" i="9"/>
  <c r="G17" i="9" s="1"/>
  <c r="D17" i="9"/>
  <c r="M16" i="9"/>
  <c r="I16" i="9"/>
  <c r="J16" i="9" s="1"/>
  <c r="G16" i="9"/>
  <c r="E16" i="9"/>
  <c r="D16" i="9"/>
  <c r="M14" i="9"/>
  <c r="E14" i="9" s="1"/>
  <c r="G14" i="9"/>
  <c r="D14" i="9"/>
  <c r="M13" i="9"/>
  <c r="E13" i="9" s="1"/>
  <c r="G13" i="9"/>
  <c r="D13" i="9"/>
  <c r="M12" i="9"/>
  <c r="E12" i="9" s="1"/>
  <c r="G12" i="9"/>
  <c r="D12" i="9"/>
  <c r="M11" i="9"/>
  <c r="E11" i="9" s="1"/>
  <c r="G11" i="9" s="1"/>
  <c r="D11" i="9"/>
  <c r="M10" i="9"/>
  <c r="E10" i="9" s="1"/>
  <c r="G10" i="9"/>
  <c r="D10" i="9"/>
  <c r="M9" i="9"/>
  <c r="E9" i="9" s="1"/>
  <c r="G9" i="9"/>
  <c r="D9" i="9"/>
  <c r="M8" i="9"/>
  <c r="E8" i="9" s="1"/>
  <c r="G8" i="9"/>
  <c r="D8" i="9"/>
  <c r="M7" i="9"/>
  <c r="J7" i="9"/>
  <c r="I7" i="9"/>
  <c r="E7" i="9"/>
  <c r="G7" i="9" s="1"/>
  <c r="D7" i="9"/>
  <c r="M172" i="8"/>
  <c r="E172" i="8" s="1"/>
  <c r="G172" i="8" s="1"/>
  <c r="D172" i="8"/>
  <c r="M171" i="8"/>
  <c r="E171" i="8" s="1"/>
  <c r="G171" i="8" s="1"/>
  <c r="D171" i="8"/>
  <c r="M170" i="8"/>
  <c r="E170" i="8" s="1"/>
  <c r="G170" i="8" s="1"/>
  <c r="D170" i="8"/>
  <c r="M169" i="8"/>
  <c r="E169" i="8" s="1"/>
  <c r="G169" i="8" s="1"/>
  <c r="D169" i="8"/>
  <c r="M168" i="8"/>
  <c r="E168" i="8" s="1"/>
  <c r="G168" i="8" s="1"/>
  <c r="D168" i="8"/>
  <c r="M167" i="8"/>
  <c r="E167" i="8" s="1"/>
  <c r="G167" i="8" s="1"/>
  <c r="D167" i="8"/>
  <c r="M166" i="8"/>
  <c r="E166" i="8" s="1"/>
  <c r="G166" i="8" s="1"/>
  <c r="D166" i="8"/>
  <c r="M165" i="8"/>
  <c r="E165" i="8" s="1"/>
  <c r="G165" i="8" s="1"/>
  <c r="D165" i="8"/>
  <c r="M164" i="8"/>
  <c r="E164" i="8" s="1"/>
  <c r="G164" i="8" s="1"/>
  <c r="D164" i="8"/>
  <c r="M163" i="8"/>
  <c r="E163" i="8" s="1"/>
  <c r="G163" i="8" s="1"/>
  <c r="D163" i="8"/>
  <c r="M161" i="8"/>
  <c r="E161" i="8" s="1"/>
  <c r="G161" i="8" s="1"/>
  <c r="D161" i="8"/>
  <c r="M160" i="8"/>
  <c r="E160" i="8" s="1"/>
  <c r="G160" i="8" s="1"/>
  <c r="D160" i="8"/>
  <c r="M159" i="8"/>
  <c r="E159" i="8" s="1"/>
  <c r="G159" i="8" s="1"/>
  <c r="D159" i="8"/>
  <c r="M158" i="8"/>
  <c r="E158" i="8" s="1"/>
  <c r="G158" i="8" s="1"/>
  <c r="D158" i="8"/>
  <c r="M157" i="8"/>
  <c r="E157" i="8" s="1"/>
  <c r="G157" i="8" s="1"/>
  <c r="D157" i="8"/>
  <c r="M156" i="8"/>
  <c r="E156" i="8" s="1"/>
  <c r="D156" i="8"/>
  <c r="M155" i="8"/>
  <c r="E155" i="8" s="1"/>
  <c r="G155" i="8" s="1"/>
  <c r="D155" i="8"/>
  <c r="M154" i="8"/>
  <c r="E154" i="8" s="1"/>
  <c r="G154" i="8" s="1"/>
  <c r="D154" i="8"/>
  <c r="M153" i="8"/>
  <c r="E153" i="8" s="1"/>
  <c r="G153" i="8"/>
  <c r="D153" i="8"/>
  <c r="M152" i="8"/>
  <c r="E152" i="8" s="1"/>
  <c r="G152" i="8"/>
  <c r="D152" i="8"/>
  <c r="M151" i="8"/>
  <c r="E151" i="8" s="1"/>
  <c r="G151" i="8" s="1"/>
  <c r="D151" i="8"/>
  <c r="M150" i="8"/>
  <c r="E150" i="8" s="1"/>
  <c r="G150" i="8" s="1"/>
  <c r="D150" i="8"/>
  <c r="M149" i="8"/>
  <c r="E149" i="8" s="1"/>
  <c r="G149" i="8"/>
  <c r="D149" i="8"/>
  <c r="M148" i="8"/>
  <c r="E148" i="8" s="1"/>
  <c r="G148" i="8"/>
  <c r="D148" i="8"/>
  <c r="M147" i="8"/>
  <c r="E147" i="8" s="1"/>
  <c r="G147" i="8" s="1"/>
  <c r="D147" i="8"/>
  <c r="M146" i="8"/>
  <c r="E146" i="8" s="1"/>
  <c r="G146" i="8" s="1"/>
  <c r="D146" i="8"/>
  <c r="M145" i="8"/>
  <c r="E145" i="8" s="1"/>
  <c r="G145" i="8"/>
  <c r="D145" i="8"/>
  <c r="M144" i="8"/>
  <c r="E144" i="8" s="1"/>
  <c r="G144" i="8"/>
  <c r="D144" i="8"/>
  <c r="M143" i="8"/>
  <c r="E143" i="8" s="1"/>
  <c r="G143" i="8" s="1"/>
  <c r="D143" i="8"/>
  <c r="M141" i="8"/>
  <c r="E141" i="8" s="1"/>
  <c r="G141" i="8" s="1"/>
  <c r="D141" i="8"/>
  <c r="M140" i="8"/>
  <c r="E140" i="8" s="1"/>
  <c r="G140" i="8"/>
  <c r="D140" i="8"/>
  <c r="M139" i="8"/>
  <c r="E139" i="8" s="1"/>
  <c r="G139" i="8"/>
  <c r="D139" i="8"/>
  <c r="M138" i="8"/>
  <c r="E138" i="8" s="1"/>
  <c r="G138" i="8" s="1"/>
  <c r="D138" i="8"/>
  <c r="M137" i="8"/>
  <c r="E137" i="8" s="1"/>
  <c r="G137" i="8" s="1"/>
  <c r="D137" i="8"/>
  <c r="M136" i="8"/>
  <c r="E136" i="8" s="1"/>
  <c r="G136" i="8"/>
  <c r="D136" i="8"/>
  <c r="M135" i="8"/>
  <c r="E135" i="8" s="1"/>
  <c r="G135" i="8"/>
  <c r="D135" i="8"/>
  <c r="M134" i="8"/>
  <c r="E134" i="8" s="1"/>
  <c r="G134" i="8" s="1"/>
  <c r="D134" i="8"/>
  <c r="M132" i="8"/>
  <c r="E132" i="8" s="1"/>
  <c r="G132" i="8" s="1"/>
  <c r="D132" i="8"/>
  <c r="M131" i="8"/>
  <c r="E131" i="8" s="1"/>
  <c r="G131" i="8" s="1"/>
  <c r="I131" i="8"/>
  <c r="D131" i="8"/>
  <c r="M129" i="8"/>
  <c r="E129" i="8" s="1"/>
  <c r="G129" i="8" s="1"/>
  <c r="D129" i="8"/>
  <c r="M128" i="8"/>
  <c r="E128" i="8" s="1"/>
  <c r="G128" i="8" s="1"/>
  <c r="D128" i="8"/>
  <c r="M127" i="8"/>
  <c r="E127" i="8" s="1"/>
  <c r="G127" i="8" s="1"/>
  <c r="D127" i="8"/>
  <c r="M126" i="8"/>
  <c r="E126" i="8" s="1"/>
  <c r="G126" i="8" s="1"/>
  <c r="D126" i="8"/>
  <c r="M125" i="8"/>
  <c r="I125" i="8"/>
  <c r="J125" i="8" s="1"/>
  <c r="E125" i="8"/>
  <c r="G125" i="8" s="1"/>
  <c r="D125" i="8"/>
  <c r="M123" i="8"/>
  <c r="E123" i="8"/>
  <c r="G123" i="8" s="1"/>
  <c r="D123" i="8"/>
  <c r="M122" i="8"/>
  <c r="E122" i="8"/>
  <c r="G122" i="8" s="1"/>
  <c r="D122" i="8"/>
  <c r="M121" i="8"/>
  <c r="E121" i="8"/>
  <c r="G121" i="8" s="1"/>
  <c r="D121" i="8"/>
  <c r="M120" i="8"/>
  <c r="I120" i="8"/>
  <c r="J120" i="8" s="1"/>
  <c r="E120" i="8"/>
  <c r="G120" i="8" s="1"/>
  <c r="D120" i="8"/>
  <c r="M118" i="8"/>
  <c r="E118" i="8" s="1"/>
  <c r="G118" i="8" s="1"/>
  <c r="I118" i="8"/>
  <c r="D118" i="8"/>
  <c r="M116" i="8"/>
  <c r="E116" i="8"/>
  <c r="G116" i="8" s="1"/>
  <c r="D116" i="8"/>
  <c r="M115" i="8"/>
  <c r="E115" i="8"/>
  <c r="G115" i="8" s="1"/>
  <c r="D115" i="8"/>
  <c r="M114" i="8"/>
  <c r="E114" i="8"/>
  <c r="G114" i="8" s="1"/>
  <c r="D114" i="8"/>
  <c r="M113" i="8"/>
  <c r="E113" i="8"/>
  <c r="G113" i="8" s="1"/>
  <c r="D113" i="8"/>
  <c r="M112" i="8"/>
  <c r="E112" i="8"/>
  <c r="G112" i="8" s="1"/>
  <c r="D112" i="8"/>
  <c r="M111" i="8"/>
  <c r="E111" i="8"/>
  <c r="G111" i="8" s="1"/>
  <c r="D111" i="8"/>
  <c r="M110" i="8"/>
  <c r="E110" i="8"/>
  <c r="G110" i="8" s="1"/>
  <c r="D110" i="8"/>
  <c r="M109" i="8"/>
  <c r="E109" i="8"/>
  <c r="G109" i="8" s="1"/>
  <c r="D109" i="8"/>
  <c r="M108" i="8"/>
  <c r="E108" i="8"/>
  <c r="G108" i="8" s="1"/>
  <c r="D108" i="8"/>
  <c r="M107" i="8"/>
  <c r="E107" i="8"/>
  <c r="G107" i="8" s="1"/>
  <c r="D107" i="8"/>
  <c r="M106" i="8"/>
  <c r="E106" i="8"/>
  <c r="G106" i="8" s="1"/>
  <c r="D106" i="8"/>
  <c r="M105" i="8"/>
  <c r="I105" i="8"/>
  <c r="J105" i="8" s="1"/>
  <c r="G105" i="8"/>
  <c r="E105" i="8"/>
  <c r="D105" i="8"/>
  <c r="M103" i="8"/>
  <c r="G103" i="8"/>
  <c r="D103" i="8"/>
  <c r="M102" i="8"/>
  <c r="E102" i="8"/>
  <c r="G102" i="8" s="1"/>
  <c r="D102" i="8"/>
  <c r="M101" i="8"/>
  <c r="E101" i="8"/>
  <c r="G101" i="8" s="1"/>
  <c r="D101" i="8"/>
  <c r="M100" i="8"/>
  <c r="E100" i="8"/>
  <c r="G100" i="8" s="1"/>
  <c r="D100" i="8"/>
  <c r="M99" i="8"/>
  <c r="E99" i="8" s="1"/>
  <c r="G99" i="8" s="1"/>
  <c r="I99" i="8"/>
  <c r="D99" i="8"/>
  <c r="G97" i="8"/>
  <c r="E97" i="8"/>
  <c r="D97" i="8"/>
  <c r="M96" i="8"/>
  <c r="G96" i="8"/>
  <c r="E96" i="8"/>
  <c r="D96" i="8"/>
  <c r="M95" i="8"/>
  <c r="G95" i="8"/>
  <c r="E95" i="8"/>
  <c r="D95" i="8"/>
  <c r="M94" i="8"/>
  <c r="G94" i="8"/>
  <c r="E94" i="8"/>
  <c r="D94" i="8"/>
  <c r="M93" i="8"/>
  <c r="G93" i="8"/>
  <c r="E93" i="8"/>
  <c r="D93" i="8"/>
  <c r="M92" i="8"/>
  <c r="G92" i="8"/>
  <c r="E92" i="8"/>
  <c r="D92" i="8"/>
  <c r="M91" i="8"/>
  <c r="G91" i="8"/>
  <c r="E91" i="8"/>
  <c r="D91" i="8"/>
  <c r="M90" i="8"/>
  <c r="G90" i="8"/>
  <c r="E90" i="8"/>
  <c r="D90" i="8"/>
  <c r="M89" i="8"/>
  <c r="G89" i="8"/>
  <c r="E89" i="8"/>
  <c r="D89" i="8"/>
  <c r="M88" i="8"/>
  <c r="E88" i="8" s="1"/>
  <c r="G88" i="8" s="1"/>
  <c r="I88" i="8"/>
  <c r="D88" i="8"/>
  <c r="M86" i="8"/>
  <c r="E86" i="8" s="1"/>
  <c r="G86" i="8" s="1"/>
  <c r="D86" i="8"/>
  <c r="M85" i="8"/>
  <c r="E85" i="8" s="1"/>
  <c r="G85" i="8"/>
  <c r="D85" i="8"/>
  <c r="M84" i="8"/>
  <c r="E84" i="8" s="1"/>
  <c r="G84" i="8" s="1"/>
  <c r="D84" i="8"/>
  <c r="M83" i="8"/>
  <c r="J83" i="8"/>
  <c r="I83" i="8"/>
  <c r="E83" i="8"/>
  <c r="G83" i="8" s="1"/>
  <c r="D83" i="8"/>
  <c r="M81" i="8"/>
  <c r="E81" i="8"/>
  <c r="G81" i="8" s="1"/>
  <c r="D81" i="8"/>
  <c r="M80" i="8"/>
  <c r="E80" i="8"/>
  <c r="G80" i="8" s="1"/>
  <c r="D80" i="8"/>
  <c r="M79" i="8"/>
  <c r="E79" i="8"/>
  <c r="G79" i="8" s="1"/>
  <c r="D79" i="8"/>
  <c r="M78" i="8"/>
  <c r="E78" i="8"/>
  <c r="G78" i="8" s="1"/>
  <c r="D78" i="8"/>
  <c r="M77" i="8"/>
  <c r="E77" i="8"/>
  <c r="G77" i="8" s="1"/>
  <c r="D77" i="8"/>
  <c r="M76" i="8"/>
  <c r="I76" i="8"/>
  <c r="J76" i="8" s="1"/>
  <c r="G76" i="8"/>
  <c r="E76" i="8"/>
  <c r="D76" i="8"/>
  <c r="M74" i="8"/>
  <c r="E74" i="8" s="1"/>
  <c r="G74" i="8" s="1"/>
  <c r="D74" i="8"/>
  <c r="M73" i="8"/>
  <c r="E73" i="8" s="1"/>
  <c r="G73" i="8" s="1"/>
  <c r="D73" i="8"/>
  <c r="M72" i="8"/>
  <c r="E72" i="8" s="1"/>
  <c r="G72" i="8" s="1"/>
  <c r="D72" i="8"/>
  <c r="M71" i="8"/>
  <c r="E71" i="8" s="1"/>
  <c r="G71" i="8"/>
  <c r="D71" i="8"/>
  <c r="M70" i="8"/>
  <c r="E70" i="8" s="1"/>
  <c r="G70" i="8" s="1"/>
  <c r="D70" i="8"/>
  <c r="M69" i="8"/>
  <c r="E69" i="8" s="1"/>
  <c r="G69" i="8" s="1"/>
  <c r="D69" i="8"/>
  <c r="M68" i="8"/>
  <c r="E68" i="8" s="1"/>
  <c r="G68" i="8" s="1"/>
  <c r="D68" i="8"/>
  <c r="M67" i="8"/>
  <c r="E67" i="8" s="1"/>
  <c r="G67" i="8"/>
  <c r="D67" i="8"/>
  <c r="M66" i="8"/>
  <c r="E66" i="8" s="1"/>
  <c r="G66" i="8" s="1"/>
  <c r="D66" i="8"/>
  <c r="M65" i="8"/>
  <c r="J65" i="8"/>
  <c r="I65" i="8"/>
  <c r="E65" i="8"/>
  <c r="G65" i="8" s="1"/>
  <c r="D65" i="8"/>
  <c r="M63" i="8"/>
  <c r="E63" i="8"/>
  <c r="G63" i="8" s="1"/>
  <c r="D63" i="8"/>
  <c r="M62" i="8"/>
  <c r="E62" i="8"/>
  <c r="G62" i="8" s="1"/>
  <c r="D62" i="8"/>
  <c r="M61" i="8"/>
  <c r="I61" i="8"/>
  <c r="J61" i="8" s="1"/>
  <c r="G61" i="8"/>
  <c r="E61" i="8"/>
  <c r="D61" i="8"/>
  <c r="M59" i="8"/>
  <c r="E59" i="8" s="1"/>
  <c r="G59" i="8"/>
  <c r="D59" i="8"/>
  <c r="M58" i="8"/>
  <c r="E58" i="8" s="1"/>
  <c r="G58" i="8" s="1"/>
  <c r="D58" i="8"/>
  <c r="M57" i="8"/>
  <c r="E57" i="8" s="1"/>
  <c r="G57" i="8"/>
  <c r="D57" i="8"/>
  <c r="M56" i="8"/>
  <c r="E56" i="8" s="1"/>
  <c r="G56" i="8" s="1"/>
  <c r="D56" i="8"/>
  <c r="M55" i="8"/>
  <c r="E55" i="8" s="1"/>
  <c r="G55" i="8"/>
  <c r="D55" i="8"/>
  <c r="M54" i="8"/>
  <c r="E54" i="8" s="1"/>
  <c r="G54" i="8" s="1"/>
  <c r="D54" i="8"/>
  <c r="M53" i="8"/>
  <c r="E53" i="8" s="1"/>
  <c r="G53" i="8"/>
  <c r="D53" i="8"/>
  <c r="M52" i="8"/>
  <c r="E52" i="8" s="1"/>
  <c r="G52" i="8" s="1"/>
  <c r="D52" i="8"/>
  <c r="M51" i="8"/>
  <c r="E51" i="8" s="1"/>
  <c r="G51" i="8"/>
  <c r="D51" i="8"/>
  <c r="M50" i="8"/>
  <c r="E50" i="8" s="1"/>
  <c r="G50" i="8" s="1"/>
  <c r="D50" i="8"/>
  <c r="M49" i="8"/>
  <c r="M48" i="8"/>
  <c r="E48" i="8" s="1"/>
  <c r="G48" i="8" s="1"/>
  <c r="F48" i="8"/>
  <c r="D48" i="8"/>
  <c r="M47" i="8"/>
  <c r="E47" i="8"/>
  <c r="G47" i="8" s="1"/>
  <c r="D47" i="8"/>
  <c r="M46" i="8"/>
  <c r="E46" i="8"/>
  <c r="G46" i="8" s="1"/>
  <c r="D46" i="8"/>
  <c r="M45" i="8"/>
  <c r="E45" i="8"/>
  <c r="G45" i="8" s="1"/>
  <c r="D45" i="8"/>
  <c r="M44" i="8"/>
  <c r="E44" i="8"/>
  <c r="G44" i="8" s="1"/>
  <c r="D44" i="8"/>
  <c r="M43" i="8"/>
  <c r="E43" i="8"/>
  <c r="G43" i="8" s="1"/>
  <c r="D43" i="8"/>
  <c r="M42" i="8"/>
  <c r="F42" i="8"/>
  <c r="E42" i="8"/>
  <c r="D42" i="8"/>
  <c r="M41" i="8"/>
  <c r="G41" i="8"/>
  <c r="E41" i="8"/>
  <c r="D41" i="8"/>
  <c r="M40" i="8"/>
  <c r="G40" i="8"/>
  <c r="E40" i="8"/>
  <c r="D40" i="8"/>
  <c r="M39" i="8"/>
  <c r="G39" i="8"/>
  <c r="E39" i="8"/>
  <c r="D39" i="8"/>
  <c r="M38" i="8"/>
  <c r="J38" i="8"/>
  <c r="I38" i="8"/>
  <c r="G38" i="8"/>
  <c r="E38" i="8"/>
  <c r="D38" i="8"/>
  <c r="M36" i="8"/>
  <c r="E36" i="8" s="1"/>
  <c r="G36" i="8" s="1"/>
  <c r="D36" i="8"/>
  <c r="M35" i="8"/>
  <c r="E35" i="8" s="1"/>
  <c r="G35" i="8" s="1"/>
  <c r="D35" i="8"/>
  <c r="M34" i="8"/>
  <c r="E34" i="8" s="1"/>
  <c r="G34" i="8" s="1"/>
  <c r="D34" i="8"/>
  <c r="M33" i="8"/>
  <c r="E33" i="8" s="1"/>
  <c r="G33" i="8" s="1"/>
  <c r="D33" i="8"/>
  <c r="M32" i="8"/>
  <c r="E32" i="8" s="1"/>
  <c r="G32" i="8" s="1"/>
  <c r="D32" i="8"/>
  <c r="M31" i="8"/>
  <c r="E31" i="8" s="1"/>
  <c r="G31" i="8" s="1"/>
  <c r="D31" i="8"/>
  <c r="M30" i="8"/>
  <c r="E30" i="8" s="1"/>
  <c r="G30" i="8" s="1"/>
  <c r="D30" i="8"/>
  <c r="M29" i="8"/>
  <c r="E29" i="8" s="1"/>
  <c r="G29" i="8" s="1"/>
  <c r="D29" i="8"/>
  <c r="M28" i="8"/>
  <c r="E28" i="8" s="1"/>
  <c r="G28" i="8" s="1"/>
  <c r="D28" i="8"/>
  <c r="M27" i="8"/>
  <c r="E27" i="8" s="1"/>
  <c r="G27" i="8" s="1"/>
  <c r="D27" i="8"/>
  <c r="M26" i="8"/>
  <c r="E26" i="8" s="1"/>
  <c r="G26" i="8" s="1"/>
  <c r="D26" i="8"/>
  <c r="M25" i="8"/>
  <c r="I25" i="8"/>
  <c r="E25" i="8"/>
  <c r="G25" i="8" s="1"/>
  <c r="D25" i="8"/>
  <c r="M23" i="8"/>
  <c r="E23" i="8"/>
  <c r="G23" i="8" s="1"/>
  <c r="D23" i="8"/>
  <c r="M22" i="8"/>
  <c r="E22" i="8"/>
  <c r="G22" i="8" s="1"/>
  <c r="D22" i="8"/>
  <c r="M21" i="8"/>
  <c r="E21" i="8"/>
  <c r="G21" i="8" s="1"/>
  <c r="D21" i="8"/>
  <c r="M20" i="8"/>
  <c r="I20" i="8"/>
  <c r="J20" i="8" s="1"/>
  <c r="G20" i="8"/>
  <c r="E20" i="8"/>
  <c r="D20" i="8"/>
  <c r="M18" i="8"/>
  <c r="E18" i="8" s="1"/>
  <c r="G18" i="8" s="1"/>
  <c r="D18" i="8"/>
  <c r="M17" i="8"/>
  <c r="E17" i="8" s="1"/>
  <c r="G17" i="8" s="1"/>
  <c r="D17" i="8"/>
  <c r="M16" i="8"/>
  <c r="E16" i="8" s="1"/>
  <c r="G16" i="8" s="1"/>
  <c r="J16" i="8"/>
  <c r="I16" i="8"/>
  <c r="D16" i="8"/>
  <c r="M14" i="8"/>
  <c r="E14" i="8"/>
  <c r="G14" i="8" s="1"/>
  <c r="D14" i="8"/>
  <c r="M13" i="8"/>
  <c r="E13" i="8"/>
  <c r="G13" i="8" s="1"/>
  <c r="D13" i="8"/>
  <c r="M12" i="8"/>
  <c r="E12" i="8"/>
  <c r="G12" i="8" s="1"/>
  <c r="D12" i="8"/>
  <c r="M11" i="8"/>
  <c r="E11" i="8"/>
  <c r="G11" i="8" s="1"/>
  <c r="D11" i="8"/>
  <c r="M10" i="8"/>
  <c r="E10" i="8"/>
  <c r="G10" i="8" s="1"/>
  <c r="D10" i="8"/>
  <c r="M9" i="8"/>
  <c r="E9" i="8"/>
  <c r="G9" i="8" s="1"/>
  <c r="D9" i="8"/>
  <c r="M8" i="8"/>
  <c r="E8" i="8"/>
  <c r="G8" i="8" s="1"/>
  <c r="D8" i="8"/>
  <c r="M7" i="8"/>
  <c r="I7" i="8"/>
  <c r="J7" i="8" s="1"/>
  <c r="G7" i="8"/>
  <c r="E7" i="8"/>
  <c r="D7" i="8"/>
  <c r="M172" i="7"/>
  <c r="E172" i="7" s="1"/>
  <c r="G172" i="7"/>
  <c r="D172" i="7"/>
  <c r="M171" i="7"/>
  <c r="E171" i="7" s="1"/>
  <c r="G171" i="7"/>
  <c r="D171" i="7"/>
  <c r="M170" i="7"/>
  <c r="E170" i="7" s="1"/>
  <c r="G170" i="7" s="1"/>
  <c r="D170" i="7"/>
  <c r="M169" i="7"/>
  <c r="E169" i="7" s="1"/>
  <c r="G169" i="7"/>
  <c r="D169" i="7"/>
  <c r="M168" i="7"/>
  <c r="E168" i="7" s="1"/>
  <c r="G168" i="7"/>
  <c r="D168" i="7"/>
  <c r="M167" i="7"/>
  <c r="E167" i="7" s="1"/>
  <c r="G167" i="7"/>
  <c r="D167" i="7"/>
  <c r="M166" i="7"/>
  <c r="E166" i="7" s="1"/>
  <c r="G166" i="7" s="1"/>
  <c r="D166" i="7"/>
  <c r="M165" i="7"/>
  <c r="E165" i="7" s="1"/>
  <c r="G165" i="7"/>
  <c r="D165" i="7"/>
  <c r="M164" i="7"/>
  <c r="E164" i="7" s="1"/>
  <c r="G164" i="7"/>
  <c r="D164" i="7"/>
  <c r="M163" i="7"/>
  <c r="E163" i="7" s="1"/>
  <c r="G163" i="7"/>
  <c r="D163" i="7"/>
  <c r="M161" i="7"/>
  <c r="E161" i="7" s="1"/>
  <c r="G161" i="7" s="1"/>
  <c r="D161" i="7"/>
  <c r="M160" i="7"/>
  <c r="E160" i="7" s="1"/>
  <c r="G160" i="7"/>
  <c r="D160" i="7"/>
  <c r="M159" i="7"/>
  <c r="E159" i="7" s="1"/>
  <c r="G159" i="7"/>
  <c r="D159" i="7"/>
  <c r="M158" i="7"/>
  <c r="E158" i="7" s="1"/>
  <c r="G158" i="7"/>
  <c r="D158" i="7"/>
  <c r="M157" i="7"/>
  <c r="E157" i="7" s="1"/>
  <c r="G157" i="7" s="1"/>
  <c r="D157" i="7"/>
  <c r="M156" i="7"/>
  <c r="E156" i="7" s="1"/>
  <c r="G156" i="7"/>
  <c r="D156" i="7"/>
  <c r="M155" i="7"/>
  <c r="E155" i="7" s="1"/>
  <c r="G155" i="7"/>
  <c r="D155" i="7"/>
  <c r="M154" i="7"/>
  <c r="E154" i="7" s="1"/>
  <c r="G154" i="7"/>
  <c r="D154" i="7"/>
  <c r="M153" i="7"/>
  <c r="E153" i="7" s="1"/>
  <c r="G153" i="7" s="1"/>
  <c r="D153" i="7"/>
  <c r="M152" i="7"/>
  <c r="E152" i="7" s="1"/>
  <c r="G152" i="7"/>
  <c r="D152" i="7"/>
  <c r="M151" i="7"/>
  <c r="E151" i="7" s="1"/>
  <c r="G151" i="7"/>
  <c r="D151" i="7"/>
  <c r="M150" i="7"/>
  <c r="E150" i="7" s="1"/>
  <c r="G150" i="7"/>
  <c r="D150" i="7"/>
  <c r="M149" i="7"/>
  <c r="E149" i="7" s="1"/>
  <c r="G149" i="7" s="1"/>
  <c r="D149" i="7"/>
  <c r="M148" i="7"/>
  <c r="E148" i="7" s="1"/>
  <c r="G148" i="7"/>
  <c r="D148" i="7"/>
  <c r="M147" i="7"/>
  <c r="E147" i="7" s="1"/>
  <c r="G147" i="7"/>
  <c r="D147" i="7"/>
  <c r="M146" i="7"/>
  <c r="E146" i="7" s="1"/>
  <c r="G146" i="7"/>
  <c r="D146" i="7"/>
  <c r="M145" i="7"/>
  <c r="E145" i="7" s="1"/>
  <c r="G145" i="7" s="1"/>
  <c r="D145" i="7"/>
  <c r="M144" i="7"/>
  <c r="E144" i="7" s="1"/>
  <c r="G144" i="7"/>
  <c r="D144" i="7"/>
  <c r="M143" i="7"/>
  <c r="E143" i="7" s="1"/>
  <c r="G143" i="7"/>
  <c r="D143" i="7"/>
  <c r="M141" i="7"/>
  <c r="E141" i="7" s="1"/>
  <c r="G141" i="7"/>
  <c r="D141" i="7"/>
  <c r="M140" i="7"/>
  <c r="E140" i="7" s="1"/>
  <c r="G140" i="7" s="1"/>
  <c r="D140" i="7"/>
  <c r="M139" i="7"/>
  <c r="E139" i="7" s="1"/>
  <c r="G139" i="7"/>
  <c r="D139" i="7"/>
  <c r="M138" i="7"/>
  <c r="E138" i="7" s="1"/>
  <c r="G138" i="7"/>
  <c r="D138" i="7"/>
  <c r="M137" i="7"/>
  <c r="E137" i="7" s="1"/>
  <c r="G137" i="7"/>
  <c r="D137" i="7"/>
  <c r="M136" i="7"/>
  <c r="E136" i="7" s="1"/>
  <c r="G136" i="7" s="1"/>
  <c r="D136" i="7"/>
  <c r="M135" i="7"/>
  <c r="E135" i="7" s="1"/>
  <c r="G135" i="7"/>
  <c r="D135" i="7"/>
  <c r="M134" i="7"/>
  <c r="E134" i="7" s="1"/>
  <c r="G134" i="7" s="1"/>
  <c r="J134" i="7"/>
  <c r="D134" i="7"/>
  <c r="M132" i="7"/>
  <c r="E132" i="7" s="1"/>
  <c r="G132" i="7" s="1"/>
  <c r="D132" i="7"/>
  <c r="M131" i="7"/>
  <c r="E131" i="7" s="1"/>
  <c r="G131" i="7" s="1"/>
  <c r="I131" i="7"/>
  <c r="D131" i="7"/>
  <c r="M129" i="7"/>
  <c r="E129" i="7"/>
  <c r="G129" i="7" s="1"/>
  <c r="D129" i="7"/>
  <c r="M128" i="7"/>
  <c r="E128" i="7"/>
  <c r="G128" i="7" s="1"/>
  <c r="D128" i="7"/>
  <c r="M127" i="7"/>
  <c r="E127" i="7"/>
  <c r="G127" i="7" s="1"/>
  <c r="D127" i="7"/>
  <c r="M126" i="7"/>
  <c r="E126" i="7"/>
  <c r="G126" i="7" s="1"/>
  <c r="D126" i="7"/>
  <c r="M125" i="7"/>
  <c r="I125" i="7"/>
  <c r="J125" i="7" s="1"/>
  <c r="G125" i="7"/>
  <c r="E125" i="7"/>
  <c r="D125" i="7"/>
  <c r="M123" i="7"/>
  <c r="E123" i="7" s="1"/>
  <c r="G123" i="7"/>
  <c r="D123" i="7"/>
  <c r="M122" i="7"/>
  <c r="E122" i="7" s="1"/>
  <c r="G122" i="7"/>
  <c r="D122" i="7"/>
  <c r="M121" i="7"/>
  <c r="E121" i="7" s="1"/>
  <c r="G121" i="7"/>
  <c r="D121" i="7"/>
  <c r="M120" i="7"/>
  <c r="J120" i="7"/>
  <c r="I120" i="7"/>
  <c r="E120" i="7"/>
  <c r="G120" i="7" s="1"/>
  <c r="D120" i="7"/>
  <c r="M118" i="7"/>
  <c r="I118" i="7"/>
  <c r="E118" i="7"/>
  <c r="G118" i="7" s="1"/>
  <c r="D118" i="7"/>
  <c r="M116" i="7"/>
  <c r="E116" i="7"/>
  <c r="G116" i="7" s="1"/>
  <c r="D116" i="7"/>
  <c r="M115" i="7"/>
  <c r="E115" i="7"/>
  <c r="G115" i="7" s="1"/>
  <c r="D115" i="7"/>
  <c r="M114" i="7"/>
  <c r="E114" i="7"/>
  <c r="G114" i="7" s="1"/>
  <c r="D114" i="7"/>
  <c r="M113" i="7"/>
  <c r="E113" i="7"/>
  <c r="G113" i="7" s="1"/>
  <c r="D113" i="7"/>
  <c r="M112" i="7"/>
  <c r="E112" i="7"/>
  <c r="G112" i="7" s="1"/>
  <c r="D112" i="7"/>
  <c r="M111" i="7"/>
  <c r="E111" i="7"/>
  <c r="G111" i="7" s="1"/>
  <c r="D111" i="7"/>
  <c r="M110" i="7"/>
  <c r="E110" i="7"/>
  <c r="G110" i="7" s="1"/>
  <c r="D110" i="7"/>
  <c r="M109" i="7"/>
  <c r="E109" i="7"/>
  <c r="G109" i="7" s="1"/>
  <c r="D109" i="7"/>
  <c r="M108" i="7"/>
  <c r="E108" i="7"/>
  <c r="G108" i="7" s="1"/>
  <c r="D108" i="7"/>
  <c r="M107" i="7"/>
  <c r="E107" i="7"/>
  <c r="G107" i="7" s="1"/>
  <c r="D107" i="7"/>
  <c r="M106" i="7"/>
  <c r="E106" i="7"/>
  <c r="G106" i="7" s="1"/>
  <c r="D106" i="7"/>
  <c r="M105" i="7"/>
  <c r="I105" i="7"/>
  <c r="J105" i="7" s="1"/>
  <c r="E105" i="7"/>
  <c r="G105" i="7" s="1"/>
  <c r="D105" i="7"/>
  <c r="M103" i="7"/>
  <c r="E103" i="7" s="1"/>
  <c r="G103" i="7" s="1"/>
  <c r="D103" i="7"/>
  <c r="M102" i="7"/>
  <c r="E102" i="7" s="1"/>
  <c r="G102" i="7" s="1"/>
  <c r="D102" i="7"/>
  <c r="M101" i="7"/>
  <c r="E101" i="7" s="1"/>
  <c r="G101" i="7" s="1"/>
  <c r="D101" i="7"/>
  <c r="M100" i="7"/>
  <c r="E100" i="7" s="1"/>
  <c r="G100" i="7" s="1"/>
  <c r="D100" i="7"/>
  <c r="M99" i="7"/>
  <c r="I99" i="7"/>
  <c r="J99" i="7" s="1"/>
  <c r="E99" i="7"/>
  <c r="G99" i="7" s="1"/>
  <c r="D99" i="7"/>
  <c r="E97" i="7"/>
  <c r="G97" i="7" s="1"/>
  <c r="D97" i="7"/>
  <c r="M96" i="7"/>
  <c r="E96" i="7"/>
  <c r="G96" i="7" s="1"/>
  <c r="D96" i="7"/>
  <c r="M95" i="7"/>
  <c r="E95" i="7"/>
  <c r="G95" i="7" s="1"/>
  <c r="D95" i="7"/>
  <c r="M94" i="7"/>
  <c r="E94" i="7"/>
  <c r="G94" i="7" s="1"/>
  <c r="D94" i="7"/>
  <c r="M93" i="7"/>
  <c r="E93" i="7"/>
  <c r="G93" i="7" s="1"/>
  <c r="D93" i="7"/>
  <c r="M92" i="7"/>
  <c r="E92" i="7"/>
  <c r="G92" i="7" s="1"/>
  <c r="D92" i="7"/>
  <c r="M91" i="7"/>
  <c r="E91" i="7"/>
  <c r="G91" i="7" s="1"/>
  <c r="D91" i="7"/>
  <c r="M90" i="7"/>
  <c r="E90" i="7"/>
  <c r="G90" i="7" s="1"/>
  <c r="D90" i="7"/>
  <c r="M89" i="7"/>
  <c r="E89" i="7"/>
  <c r="G89" i="7" s="1"/>
  <c r="D89" i="7"/>
  <c r="M88" i="7"/>
  <c r="I88" i="7"/>
  <c r="J88" i="7" s="1"/>
  <c r="G88" i="7"/>
  <c r="E88" i="7"/>
  <c r="D88" i="7"/>
  <c r="M86" i="7"/>
  <c r="E86" i="7" s="1"/>
  <c r="G86" i="7"/>
  <c r="D86" i="7"/>
  <c r="M85" i="7"/>
  <c r="E85" i="7" s="1"/>
  <c r="G85" i="7" s="1"/>
  <c r="D85" i="7"/>
  <c r="M84" i="7"/>
  <c r="E84" i="7" s="1"/>
  <c r="G84" i="7"/>
  <c r="D84" i="7"/>
  <c r="M83" i="7"/>
  <c r="J83" i="7"/>
  <c r="I83" i="7"/>
  <c r="E83" i="7"/>
  <c r="G83" i="7" s="1"/>
  <c r="D83" i="7"/>
  <c r="M81" i="7"/>
  <c r="E81" i="7"/>
  <c r="G81" i="7" s="1"/>
  <c r="D81" i="7"/>
  <c r="M80" i="7"/>
  <c r="E80" i="7"/>
  <c r="G80" i="7" s="1"/>
  <c r="D80" i="7"/>
  <c r="M79" i="7"/>
  <c r="E79" i="7"/>
  <c r="G79" i="7" s="1"/>
  <c r="D79" i="7"/>
  <c r="M78" i="7"/>
  <c r="E78" i="7"/>
  <c r="G78" i="7" s="1"/>
  <c r="D78" i="7"/>
  <c r="M77" i="7"/>
  <c r="E77" i="7"/>
  <c r="G77" i="7" s="1"/>
  <c r="D77" i="7"/>
  <c r="M76" i="7"/>
  <c r="I76" i="7"/>
  <c r="J76" i="7" s="1"/>
  <c r="G76" i="7"/>
  <c r="E76" i="7"/>
  <c r="D76" i="7"/>
  <c r="M74" i="7"/>
  <c r="E74" i="7" s="1"/>
  <c r="G74" i="7"/>
  <c r="D74" i="7"/>
  <c r="M73" i="7"/>
  <c r="E73" i="7" s="1"/>
  <c r="G73" i="7"/>
  <c r="D73" i="7"/>
  <c r="M72" i="7"/>
  <c r="E72" i="7" s="1"/>
  <c r="G72" i="7"/>
  <c r="D72" i="7"/>
  <c r="M71" i="7"/>
  <c r="E71" i="7" s="1"/>
  <c r="G71" i="7" s="1"/>
  <c r="D71" i="7"/>
  <c r="M70" i="7"/>
  <c r="E70" i="7" s="1"/>
  <c r="G70" i="7"/>
  <c r="D70" i="7"/>
  <c r="M69" i="7"/>
  <c r="E69" i="7" s="1"/>
  <c r="G69" i="7"/>
  <c r="D69" i="7"/>
  <c r="M68" i="7"/>
  <c r="E68" i="7" s="1"/>
  <c r="G68" i="7"/>
  <c r="D68" i="7"/>
  <c r="M67" i="7"/>
  <c r="E67" i="7" s="1"/>
  <c r="G67" i="7" s="1"/>
  <c r="D67" i="7"/>
  <c r="M66" i="7"/>
  <c r="E66" i="7" s="1"/>
  <c r="G66" i="7" s="1"/>
  <c r="D66" i="7"/>
  <c r="M65" i="7"/>
  <c r="J65" i="7"/>
  <c r="I65" i="7"/>
  <c r="E65" i="7"/>
  <c r="G65" i="7" s="1"/>
  <c r="D65" i="7"/>
  <c r="M63" i="7"/>
  <c r="E63" i="7"/>
  <c r="G63" i="7" s="1"/>
  <c r="D63" i="7"/>
  <c r="M62" i="7"/>
  <c r="E62" i="7"/>
  <c r="G62" i="7" s="1"/>
  <c r="D62" i="7"/>
  <c r="M61" i="7"/>
  <c r="I61" i="7"/>
  <c r="J61" i="7" s="1"/>
  <c r="G61" i="7"/>
  <c r="E61" i="7"/>
  <c r="D61" i="7"/>
  <c r="M59" i="7"/>
  <c r="E59" i="7" s="1"/>
  <c r="G59" i="7"/>
  <c r="D59" i="7"/>
  <c r="M58" i="7"/>
  <c r="E58" i="7" s="1"/>
  <c r="G58" i="7"/>
  <c r="D58" i="7"/>
  <c r="M57" i="7"/>
  <c r="E57" i="7" s="1"/>
  <c r="G57" i="7" s="1"/>
  <c r="D57" i="7"/>
  <c r="M56" i="7"/>
  <c r="E56" i="7" s="1"/>
  <c r="G56" i="7"/>
  <c r="D56" i="7"/>
  <c r="M55" i="7"/>
  <c r="E55" i="7" s="1"/>
  <c r="G55" i="7"/>
  <c r="D55" i="7"/>
  <c r="M54" i="7"/>
  <c r="E54" i="7" s="1"/>
  <c r="G54" i="7"/>
  <c r="D54" i="7"/>
  <c r="M53" i="7"/>
  <c r="E53" i="7" s="1"/>
  <c r="G53" i="7" s="1"/>
  <c r="D53" i="7"/>
  <c r="M52" i="7"/>
  <c r="E52" i="7" s="1"/>
  <c r="G52" i="7"/>
  <c r="D52" i="7"/>
  <c r="M51" i="7"/>
  <c r="E51" i="7" s="1"/>
  <c r="G51" i="7"/>
  <c r="D51" i="7"/>
  <c r="M50" i="7"/>
  <c r="E50" i="7" s="1"/>
  <c r="G50" i="7"/>
  <c r="D50" i="7"/>
  <c r="M49" i="7"/>
  <c r="M48" i="7"/>
  <c r="E48" i="7" s="1"/>
  <c r="G48" i="7" s="1"/>
  <c r="F48" i="7"/>
  <c r="D48" i="7"/>
  <c r="M47" i="7"/>
  <c r="E47" i="7"/>
  <c r="G47" i="7" s="1"/>
  <c r="D47" i="7"/>
  <c r="M46" i="7"/>
  <c r="E46" i="7"/>
  <c r="G46" i="7" s="1"/>
  <c r="D46" i="7"/>
  <c r="M45" i="7"/>
  <c r="E45" i="7"/>
  <c r="G45" i="7" s="1"/>
  <c r="D45" i="7"/>
  <c r="M44" i="7"/>
  <c r="E44" i="7"/>
  <c r="G44" i="7" s="1"/>
  <c r="D44" i="7"/>
  <c r="M43" i="7"/>
  <c r="E43" i="7"/>
  <c r="G43" i="7" s="1"/>
  <c r="D43" i="7"/>
  <c r="M42" i="7"/>
  <c r="F42" i="7"/>
  <c r="E42" i="7"/>
  <c r="G42" i="7" s="1"/>
  <c r="D42" i="7"/>
  <c r="M41" i="7"/>
  <c r="E41" i="7"/>
  <c r="G41" i="7" s="1"/>
  <c r="D41" i="7"/>
  <c r="M40" i="7"/>
  <c r="E40" i="7"/>
  <c r="G40" i="7" s="1"/>
  <c r="D40" i="7"/>
  <c r="M39" i="7"/>
  <c r="E39" i="7"/>
  <c r="G39" i="7" s="1"/>
  <c r="D39" i="7"/>
  <c r="M38" i="7"/>
  <c r="I38" i="7"/>
  <c r="J38" i="7" s="1"/>
  <c r="G38" i="7"/>
  <c r="E38" i="7"/>
  <c r="D38" i="7"/>
  <c r="M36" i="7"/>
  <c r="E36" i="7" s="1"/>
  <c r="G36" i="7" s="1"/>
  <c r="D36" i="7"/>
  <c r="M35" i="7"/>
  <c r="E35" i="7" s="1"/>
  <c r="G35" i="7" s="1"/>
  <c r="D35" i="7"/>
  <c r="M34" i="7"/>
  <c r="E34" i="7" s="1"/>
  <c r="G34" i="7" s="1"/>
  <c r="D34" i="7"/>
  <c r="M33" i="7"/>
  <c r="E33" i="7" s="1"/>
  <c r="G33" i="7" s="1"/>
  <c r="D33" i="7"/>
  <c r="M32" i="7"/>
  <c r="E32" i="7" s="1"/>
  <c r="G32" i="7" s="1"/>
  <c r="D32" i="7"/>
  <c r="M31" i="7"/>
  <c r="E31" i="7" s="1"/>
  <c r="G31" i="7" s="1"/>
  <c r="D31" i="7"/>
  <c r="M30" i="7"/>
  <c r="E30" i="7" s="1"/>
  <c r="G30" i="7" s="1"/>
  <c r="D30" i="7"/>
  <c r="M29" i="7"/>
  <c r="E29" i="7" s="1"/>
  <c r="G29" i="7" s="1"/>
  <c r="D29" i="7"/>
  <c r="M28" i="7"/>
  <c r="E28" i="7" s="1"/>
  <c r="G28" i="7" s="1"/>
  <c r="D28" i="7"/>
  <c r="M27" i="7"/>
  <c r="E27" i="7" s="1"/>
  <c r="G27" i="7" s="1"/>
  <c r="D27" i="7"/>
  <c r="M26" i="7"/>
  <c r="E26" i="7" s="1"/>
  <c r="G26" i="7" s="1"/>
  <c r="D26" i="7"/>
  <c r="M25" i="7"/>
  <c r="I25" i="7"/>
  <c r="E25" i="7"/>
  <c r="G25" i="7" s="1"/>
  <c r="D25" i="7"/>
  <c r="M23" i="7"/>
  <c r="E23" i="7"/>
  <c r="G23" i="7" s="1"/>
  <c r="D23" i="7"/>
  <c r="M22" i="7"/>
  <c r="E22" i="7"/>
  <c r="G22" i="7" s="1"/>
  <c r="D22" i="7"/>
  <c r="M21" i="7"/>
  <c r="E21" i="7"/>
  <c r="G21" i="7" s="1"/>
  <c r="D21" i="7"/>
  <c r="M20" i="7"/>
  <c r="I20" i="7"/>
  <c r="J20" i="7" s="1"/>
  <c r="G20" i="7"/>
  <c r="E20" i="7"/>
  <c r="D20" i="7"/>
  <c r="M18" i="7"/>
  <c r="E18" i="7" s="1"/>
  <c r="G18" i="7" s="1"/>
  <c r="D18" i="7"/>
  <c r="M17" i="7"/>
  <c r="E17" i="7" s="1"/>
  <c r="G17" i="7"/>
  <c r="D17" i="7"/>
  <c r="M16" i="7"/>
  <c r="E16" i="7" s="1"/>
  <c r="G16" i="7" s="1"/>
  <c r="J16" i="7"/>
  <c r="I16" i="7"/>
  <c r="D16" i="7"/>
  <c r="M14" i="7"/>
  <c r="E14" i="7"/>
  <c r="G14" i="7" s="1"/>
  <c r="D14" i="7"/>
  <c r="M13" i="7"/>
  <c r="E13" i="7"/>
  <c r="G13" i="7" s="1"/>
  <c r="D13" i="7"/>
  <c r="M12" i="7"/>
  <c r="E12" i="7"/>
  <c r="G12" i="7" s="1"/>
  <c r="D12" i="7"/>
  <c r="M11" i="7"/>
  <c r="E11" i="7"/>
  <c r="G11" i="7" s="1"/>
  <c r="D11" i="7"/>
  <c r="M10" i="7"/>
  <c r="E10" i="7"/>
  <c r="G10" i="7" s="1"/>
  <c r="D10" i="7"/>
  <c r="M9" i="7"/>
  <c r="E9" i="7"/>
  <c r="G9" i="7" s="1"/>
  <c r="D9" i="7"/>
  <c r="M8" i="7"/>
  <c r="E8" i="7"/>
  <c r="G8" i="7" s="1"/>
  <c r="D8" i="7"/>
  <c r="M7" i="7"/>
  <c r="I7" i="7"/>
  <c r="J7" i="7" s="1"/>
  <c r="G7" i="7"/>
  <c r="E7" i="7"/>
  <c r="D7" i="7"/>
  <c r="M172" i="6"/>
  <c r="E172" i="6" s="1"/>
  <c r="G172" i="6" s="1"/>
  <c r="D172" i="6"/>
  <c r="M171" i="6"/>
  <c r="E171" i="6" s="1"/>
  <c r="G171" i="6" s="1"/>
  <c r="D171" i="6"/>
  <c r="M170" i="6"/>
  <c r="E170" i="6" s="1"/>
  <c r="G170" i="6" s="1"/>
  <c r="D170" i="6"/>
  <c r="M169" i="6"/>
  <c r="E169" i="6" s="1"/>
  <c r="G169" i="6" s="1"/>
  <c r="D169" i="6"/>
  <c r="M168" i="6"/>
  <c r="E168" i="6" s="1"/>
  <c r="G168" i="6" s="1"/>
  <c r="D168" i="6"/>
  <c r="M167" i="6"/>
  <c r="E167" i="6" s="1"/>
  <c r="G167" i="6" s="1"/>
  <c r="D167" i="6"/>
  <c r="M166" i="6"/>
  <c r="E166" i="6" s="1"/>
  <c r="G166" i="6" s="1"/>
  <c r="D166" i="6"/>
  <c r="M165" i="6"/>
  <c r="E165" i="6" s="1"/>
  <c r="G165" i="6" s="1"/>
  <c r="D165" i="6"/>
  <c r="M164" i="6"/>
  <c r="E164" i="6" s="1"/>
  <c r="G164" i="6" s="1"/>
  <c r="D164" i="6"/>
  <c r="M163" i="6"/>
  <c r="E163" i="6" s="1"/>
  <c r="G163" i="6" s="1"/>
  <c r="D163" i="6"/>
  <c r="M161" i="6"/>
  <c r="E161" i="6" s="1"/>
  <c r="G161" i="6" s="1"/>
  <c r="D161" i="6"/>
  <c r="M160" i="6"/>
  <c r="E160" i="6" s="1"/>
  <c r="G160" i="6" s="1"/>
  <c r="D160" i="6"/>
  <c r="M159" i="6"/>
  <c r="E159" i="6" s="1"/>
  <c r="G159" i="6" s="1"/>
  <c r="D159" i="6"/>
  <c r="M158" i="6"/>
  <c r="E158" i="6" s="1"/>
  <c r="G158" i="6" s="1"/>
  <c r="D158" i="6"/>
  <c r="M157" i="6"/>
  <c r="E157" i="6" s="1"/>
  <c r="G157" i="6" s="1"/>
  <c r="D157" i="6"/>
  <c r="M156" i="6"/>
  <c r="E156" i="6" s="1"/>
  <c r="G156" i="6" s="1"/>
  <c r="D156" i="6"/>
  <c r="M155" i="6"/>
  <c r="E155" i="6" s="1"/>
  <c r="G155" i="6" s="1"/>
  <c r="D155" i="6"/>
  <c r="M154" i="6"/>
  <c r="E154" i="6" s="1"/>
  <c r="G154" i="6" s="1"/>
  <c r="D154" i="6"/>
  <c r="M153" i="6"/>
  <c r="E153" i="6" s="1"/>
  <c r="G153" i="6" s="1"/>
  <c r="D153" i="6"/>
  <c r="M152" i="6"/>
  <c r="E152" i="6" s="1"/>
  <c r="G152" i="6" s="1"/>
  <c r="D152" i="6"/>
  <c r="M151" i="6"/>
  <c r="E151" i="6" s="1"/>
  <c r="G151" i="6" s="1"/>
  <c r="D151" i="6"/>
  <c r="M150" i="6"/>
  <c r="E150" i="6" s="1"/>
  <c r="G150" i="6" s="1"/>
  <c r="D150" i="6"/>
  <c r="M149" i="6"/>
  <c r="E149" i="6" s="1"/>
  <c r="G149" i="6" s="1"/>
  <c r="D149" i="6"/>
  <c r="M148" i="6"/>
  <c r="E148" i="6" s="1"/>
  <c r="G148" i="6" s="1"/>
  <c r="D148" i="6"/>
  <c r="M147" i="6"/>
  <c r="E147" i="6" s="1"/>
  <c r="G147" i="6" s="1"/>
  <c r="D147" i="6"/>
  <c r="M146" i="6"/>
  <c r="E146" i="6" s="1"/>
  <c r="G146" i="6" s="1"/>
  <c r="D146" i="6"/>
  <c r="M145" i="6"/>
  <c r="E145" i="6" s="1"/>
  <c r="G145" i="6" s="1"/>
  <c r="D145" i="6"/>
  <c r="M144" i="6"/>
  <c r="E144" i="6" s="1"/>
  <c r="G144" i="6" s="1"/>
  <c r="D144" i="6"/>
  <c r="M143" i="6"/>
  <c r="E143" i="6" s="1"/>
  <c r="G143" i="6" s="1"/>
  <c r="D143" i="6"/>
  <c r="M141" i="6"/>
  <c r="E141" i="6" s="1"/>
  <c r="G141" i="6" s="1"/>
  <c r="D141" i="6"/>
  <c r="M140" i="6"/>
  <c r="E140" i="6" s="1"/>
  <c r="G140" i="6" s="1"/>
  <c r="D140" i="6"/>
  <c r="M139" i="6"/>
  <c r="E139" i="6" s="1"/>
  <c r="G139" i="6" s="1"/>
  <c r="D139" i="6"/>
  <c r="M138" i="6"/>
  <c r="E138" i="6" s="1"/>
  <c r="G138" i="6" s="1"/>
  <c r="D138" i="6"/>
  <c r="M137" i="6"/>
  <c r="E137" i="6" s="1"/>
  <c r="G137" i="6" s="1"/>
  <c r="D137" i="6"/>
  <c r="M136" i="6"/>
  <c r="E136" i="6" s="1"/>
  <c r="G136" i="6" s="1"/>
  <c r="D136" i="6"/>
  <c r="M135" i="6"/>
  <c r="E135" i="6" s="1"/>
  <c r="G135" i="6" s="1"/>
  <c r="D135" i="6"/>
  <c r="M134" i="6"/>
  <c r="E134" i="6" s="1"/>
  <c r="G134" i="6" s="1"/>
  <c r="D134" i="6"/>
  <c r="M132" i="6"/>
  <c r="E132" i="6" s="1"/>
  <c r="G132" i="6" s="1"/>
  <c r="D132" i="6"/>
  <c r="M131" i="6"/>
  <c r="I131" i="6"/>
  <c r="E131" i="6"/>
  <c r="G131" i="6" s="1"/>
  <c r="D131" i="6"/>
  <c r="M129" i="6"/>
  <c r="E129" i="6"/>
  <c r="G129" i="6" s="1"/>
  <c r="D129" i="6"/>
  <c r="M128" i="6"/>
  <c r="E128" i="6"/>
  <c r="G128" i="6" s="1"/>
  <c r="D128" i="6"/>
  <c r="M127" i="6"/>
  <c r="E127" i="6"/>
  <c r="G127" i="6" s="1"/>
  <c r="D127" i="6"/>
  <c r="M126" i="6"/>
  <c r="E126" i="6"/>
  <c r="G126" i="6" s="1"/>
  <c r="D126" i="6"/>
  <c r="M125" i="6"/>
  <c r="I125" i="6"/>
  <c r="G125" i="6"/>
  <c r="E125" i="6"/>
  <c r="D125" i="6"/>
  <c r="M123" i="6"/>
  <c r="G123" i="6"/>
  <c r="E123" i="6"/>
  <c r="D123" i="6"/>
  <c r="M122" i="6"/>
  <c r="G122" i="6"/>
  <c r="E122" i="6"/>
  <c r="D122" i="6"/>
  <c r="M121" i="6"/>
  <c r="G121" i="6"/>
  <c r="E121" i="6"/>
  <c r="D121" i="6"/>
  <c r="M120" i="6"/>
  <c r="I120" i="6"/>
  <c r="G120" i="6"/>
  <c r="E120" i="6"/>
  <c r="D120" i="6"/>
  <c r="M118" i="6"/>
  <c r="E118" i="6" s="1"/>
  <c r="G118" i="6" s="1"/>
  <c r="I118" i="6"/>
  <c r="D118" i="6"/>
  <c r="M116" i="6"/>
  <c r="E116" i="6" s="1"/>
  <c r="G116" i="6" s="1"/>
  <c r="D116" i="6"/>
  <c r="M115" i="6"/>
  <c r="E115" i="6" s="1"/>
  <c r="G115" i="6" s="1"/>
  <c r="D115" i="6"/>
  <c r="M114" i="6"/>
  <c r="E114" i="6" s="1"/>
  <c r="G114" i="6" s="1"/>
  <c r="D114" i="6"/>
  <c r="M113" i="6"/>
  <c r="E113" i="6" s="1"/>
  <c r="G113" i="6" s="1"/>
  <c r="D113" i="6"/>
  <c r="M112" i="6"/>
  <c r="E112" i="6" s="1"/>
  <c r="G112" i="6" s="1"/>
  <c r="D112" i="6"/>
  <c r="M111" i="6"/>
  <c r="E111" i="6" s="1"/>
  <c r="G111" i="6" s="1"/>
  <c r="D111" i="6"/>
  <c r="M110" i="6"/>
  <c r="E110" i="6" s="1"/>
  <c r="G110" i="6" s="1"/>
  <c r="D110" i="6"/>
  <c r="M109" i="6"/>
  <c r="E109" i="6" s="1"/>
  <c r="G109" i="6" s="1"/>
  <c r="D109" i="6"/>
  <c r="M108" i="6"/>
  <c r="E108" i="6" s="1"/>
  <c r="G108" i="6" s="1"/>
  <c r="D108" i="6"/>
  <c r="M107" i="6"/>
  <c r="E107" i="6" s="1"/>
  <c r="G107" i="6" s="1"/>
  <c r="D107" i="6"/>
  <c r="M106" i="6"/>
  <c r="E106" i="6" s="1"/>
  <c r="G106" i="6" s="1"/>
  <c r="D106" i="6"/>
  <c r="M105" i="6"/>
  <c r="E105" i="6" s="1"/>
  <c r="G105" i="6" s="1"/>
  <c r="I105" i="6"/>
  <c r="D105" i="6"/>
  <c r="M103" i="6"/>
  <c r="G103" i="6"/>
  <c r="D103" i="6"/>
  <c r="M102" i="6"/>
  <c r="E102" i="6" s="1"/>
  <c r="G102" i="6" s="1"/>
  <c r="D102" i="6"/>
  <c r="M101" i="6"/>
  <c r="E101" i="6" s="1"/>
  <c r="G101" i="6" s="1"/>
  <c r="D101" i="6"/>
  <c r="M100" i="6"/>
  <c r="E100" i="6" s="1"/>
  <c r="G100" i="6" s="1"/>
  <c r="D100" i="6"/>
  <c r="M99" i="6"/>
  <c r="I99" i="6"/>
  <c r="E99" i="6"/>
  <c r="G99" i="6" s="1"/>
  <c r="D99" i="6"/>
  <c r="E97" i="6"/>
  <c r="G97" i="6" s="1"/>
  <c r="D97" i="6"/>
  <c r="M96" i="6"/>
  <c r="E96" i="6" s="1"/>
  <c r="G96" i="6" s="1"/>
  <c r="D96" i="6"/>
  <c r="M95" i="6"/>
  <c r="E95" i="6" s="1"/>
  <c r="G95" i="6" s="1"/>
  <c r="D95" i="6"/>
  <c r="M94" i="6"/>
  <c r="E94" i="6" s="1"/>
  <c r="G94" i="6" s="1"/>
  <c r="D94" i="6"/>
  <c r="M93" i="6"/>
  <c r="E93" i="6" s="1"/>
  <c r="G93" i="6" s="1"/>
  <c r="D93" i="6"/>
  <c r="M92" i="6"/>
  <c r="E92" i="6" s="1"/>
  <c r="G92" i="6" s="1"/>
  <c r="D92" i="6"/>
  <c r="M91" i="6"/>
  <c r="E91" i="6" s="1"/>
  <c r="G91" i="6" s="1"/>
  <c r="D91" i="6"/>
  <c r="M90" i="6"/>
  <c r="E90" i="6" s="1"/>
  <c r="G90" i="6" s="1"/>
  <c r="D90" i="6"/>
  <c r="M89" i="6"/>
  <c r="E89" i="6" s="1"/>
  <c r="G89" i="6" s="1"/>
  <c r="D89" i="6"/>
  <c r="M88" i="6"/>
  <c r="E88" i="6" s="1"/>
  <c r="G88" i="6" s="1"/>
  <c r="I88" i="6"/>
  <c r="J88" i="6" s="1"/>
  <c r="D88" i="6"/>
  <c r="M86" i="6"/>
  <c r="G86" i="6"/>
  <c r="E86" i="6"/>
  <c r="D86" i="6"/>
  <c r="M85" i="6"/>
  <c r="G85" i="6"/>
  <c r="E85" i="6"/>
  <c r="D85" i="6"/>
  <c r="M84" i="6"/>
  <c r="G84" i="6"/>
  <c r="E84" i="6"/>
  <c r="D84" i="6"/>
  <c r="M83" i="6"/>
  <c r="E83" i="6" s="1"/>
  <c r="G83" i="6" s="1"/>
  <c r="I83" i="6"/>
  <c r="D83" i="6"/>
  <c r="M81" i="6"/>
  <c r="E81" i="6" s="1"/>
  <c r="G81" i="6"/>
  <c r="D81" i="6"/>
  <c r="M80" i="6"/>
  <c r="E80" i="6" s="1"/>
  <c r="G80" i="6" s="1"/>
  <c r="D80" i="6"/>
  <c r="M79" i="6"/>
  <c r="E79" i="6" s="1"/>
  <c r="G79" i="6"/>
  <c r="D79" i="6"/>
  <c r="M78" i="6"/>
  <c r="E78" i="6" s="1"/>
  <c r="G78" i="6" s="1"/>
  <c r="D78" i="6"/>
  <c r="M77" i="6"/>
  <c r="E77" i="6" s="1"/>
  <c r="G77" i="6"/>
  <c r="D77" i="6"/>
  <c r="M76" i="6"/>
  <c r="E76" i="6" s="1"/>
  <c r="G76" i="6" s="1"/>
  <c r="I76" i="6"/>
  <c r="D76" i="6"/>
  <c r="M74" i="6"/>
  <c r="E74" i="6" s="1"/>
  <c r="G74" i="6" s="1"/>
  <c r="D74" i="6"/>
  <c r="M73" i="6"/>
  <c r="E73" i="6" s="1"/>
  <c r="G73" i="6" s="1"/>
  <c r="D73" i="6"/>
  <c r="M72" i="6"/>
  <c r="E72" i="6" s="1"/>
  <c r="G72" i="6" s="1"/>
  <c r="D72" i="6"/>
  <c r="M71" i="6"/>
  <c r="E71" i="6" s="1"/>
  <c r="G71" i="6" s="1"/>
  <c r="D71" i="6"/>
  <c r="M70" i="6"/>
  <c r="E70" i="6" s="1"/>
  <c r="G70" i="6" s="1"/>
  <c r="D70" i="6"/>
  <c r="M69" i="6"/>
  <c r="E69" i="6" s="1"/>
  <c r="G69" i="6" s="1"/>
  <c r="D69" i="6"/>
  <c r="M68" i="6"/>
  <c r="E68" i="6" s="1"/>
  <c r="G68" i="6" s="1"/>
  <c r="D68" i="6"/>
  <c r="M67" i="6"/>
  <c r="E67" i="6" s="1"/>
  <c r="G67" i="6" s="1"/>
  <c r="D67" i="6"/>
  <c r="M66" i="6"/>
  <c r="E66" i="6" s="1"/>
  <c r="G66" i="6" s="1"/>
  <c r="D66" i="6"/>
  <c r="M65" i="6"/>
  <c r="E65" i="6" s="1"/>
  <c r="G65" i="6" s="1"/>
  <c r="I65" i="6"/>
  <c r="D65" i="6"/>
  <c r="M63" i="6"/>
  <c r="E63" i="6"/>
  <c r="G63" i="6" s="1"/>
  <c r="D63" i="6"/>
  <c r="M62" i="6"/>
  <c r="E62" i="6"/>
  <c r="G62" i="6" s="1"/>
  <c r="D62" i="6"/>
  <c r="M61" i="6"/>
  <c r="I61" i="6"/>
  <c r="G61" i="6"/>
  <c r="E61" i="6"/>
  <c r="J61" i="6" s="1"/>
  <c r="D61" i="6"/>
  <c r="M59" i="6"/>
  <c r="E59" i="6" s="1"/>
  <c r="G59" i="6" s="1"/>
  <c r="D59" i="6"/>
  <c r="M58" i="6"/>
  <c r="E58" i="6" s="1"/>
  <c r="G58" i="6" s="1"/>
  <c r="D58" i="6"/>
  <c r="M57" i="6"/>
  <c r="E57" i="6" s="1"/>
  <c r="G57" i="6" s="1"/>
  <c r="D57" i="6"/>
  <c r="M56" i="6"/>
  <c r="E56" i="6" s="1"/>
  <c r="G56" i="6" s="1"/>
  <c r="D56" i="6"/>
  <c r="M55" i="6"/>
  <c r="E55" i="6" s="1"/>
  <c r="G55" i="6" s="1"/>
  <c r="D55" i="6"/>
  <c r="M54" i="6"/>
  <c r="E54" i="6" s="1"/>
  <c r="G54" i="6" s="1"/>
  <c r="D54" i="6"/>
  <c r="M53" i="6"/>
  <c r="E53" i="6" s="1"/>
  <c r="G53" i="6" s="1"/>
  <c r="D53" i="6"/>
  <c r="M52" i="6"/>
  <c r="E52" i="6" s="1"/>
  <c r="G52" i="6" s="1"/>
  <c r="D52" i="6"/>
  <c r="M51" i="6"/>
  <c r="E51" i="6" s="1"/>
  <c r="G51" i="6" s="1"/>
  <c r="D51" i="6"/>
  <c r="M50" i="6"/>
  <c r="E50" i="6" s="1"/>
  <c r="G50" i="6" s="1"/>
  <c r="D50" i="6"/>
  <c r="M49" i="6"/>
  <c r="M48" i="6"/>
  <c r="E48" i="6" s="1"/>
  <c r="G48" i="6" s="1"/>
  <c r="F48" i="6"/>
  <c r="D48" i="6"/>
  <c r="M47" i="6"/>
  <c r="E47" i="6" s="1"/>
  <c r="G47" i="6" s="1"/>
  <c r="D47" i="6"/>
  <c r="M46" i="6"/>
  <c r="E46" i="6" s="1"/>
  <c r="G46" i="6" s="1"/>
  <c r="D46" i="6"/>
  <c r="M45" i="6"/>
  <c r="E45" i="6" s="1"/>
  <c r="G45" i="6" s="1"/>
  <c r="D45" i="6"/>
  <c r="M44" i="6"/>
  <c r="E44" i="6" s="1"/>
  <c r="G44" i="6" s="1"/>
  <c r="D44" i="6"/>
  <c r="M43" i="6"/>
  <c r="E43" i="6" s="1"/>
  <c r="G43" i="6" s="1"/>
  <c r="D43" i="6"/>
  <c r="M42" i="6"/>
  <c r="E42" i="6" s="1"/>
  <c r="G42" i="6" s="1"/>
  <c r="F42" i="6"/>
  <c r="D42" i="6"/>
  <c r="M41" i="6"/>
  <c r="E41" i="6" s="1"/>
  <c r="G41" i="6" s="1"/>
  <c r="D41" i="6"/>
  <c r="M40" i="6"/>
  <c r="E40" i="6" s="1"/>
  <c r="G40" i="6" s="1"/>
  <c r="D40" i="6"/>
  <c r="M39" i="6"/>
  <c r="E39" i="6" s="1"/>
  <c r="G39" i="6" s="1"/>
  <c r="D39" i="6"/>
  <c r="M38" i="6"/>
  <c r="E38" i="6" s="1"/>
  <c r="G38" i="6" s="1"/>
  <c r="I38" i="6"/>
  <c r="D38" i="6"/>
  <c r="M36" i="6"/>
  <c r="E36" i="6"/>
  <c r="G36" i="6" s="1"/>
  <c r="D36" i="6"/>
  <c r="M35" i="6"/>
  <c r="E35" i="6"/>
  <c r="G35" i="6" s="1"/>
  <c r="D35" i="6"/>
  <c r="M34" i="6"/>
  <c r="E34" i="6"/>
  <c r="G34" i="6" s="1"/>
  <c r="D34" i="6"/>
  <c r="M33" i="6"/>
  <c r="E33" i="6"/>
  <c r="G33" i="6" s="1"/>
  <c r="D33" i="6"/>
  <c r="M32" i="6"/>
  <c r="E32" i="6"/>
  <c r="G32" i="6" s="1"/>
  <c r="D32" i="6"/>
  <c r="M31" i="6"/>
  <c r="E31" i="6"/>
  <c r="G31" i="6" s="1"/>
  <c r="D31" i="6"/>
  <c r="M30" i="6"/>
  <c r="E30" i="6"/>
  <c r="G30" i="6" s="1"/>
  <c r="D30" i="6"/>
  <c r="M29" i="6"/>
  <c r="E29" i="6"/>
  <c r="G29" i="6" s="1"/>
  <c r="D29" i="6"/>
  <c r="M28" i="6"/>
  <c r="E28" i="6"/>
  <c r="G28" i="6" s="1"/>
  <c r="D28" i="6"/>
  <c r="M27" i="6"/>
  <c r="E27" i="6"/>
  <c r="G27" i="6" s="1"/>
  <c r="D27" i="6"/>
  <c r="M26" i="6"/>
  <c r="E26" i="6"/>
  <c r="G26" i="6" s="1"/>
  <c r="D26" i="6"/>
  <c r="M25" i="6"/>
  <c r="I25" i="6"/>
  <c r="E25" i="6"/>
  <c r="G25" i="6" s="1"/>
  <c r="D25" i="6"/>
  <c r="M23" i="6"/>
  <c r="E23" i="6"/>
  <c r="G23" i="6" s="1"/>
  <c r="D23" i="6"/>
  <c r="M22" i="6"/>
  <c r="E22" i="6"/>
  <c r="G22" i="6" s="1"/>
  <c r="D22" i="6"/>
  <c r="M21" i="6"/>
  <c r="E21" i="6"/>
  <c r="G21" i="6" s="1"/>
  <c r="D21" i="6"/>
  <c r="M20" i="6"/>
  <c r="I20" i="6"/>
  <c r="G20" i="6"/>
  <c r="E20" i="6"/>
  <c r="D20" i="6"/>
  <c r="M18" i="6"/>
  <c r="E18" i="6" s="1"/>
  <c r="G18" i="6" s="1"/>
  <c r="D18" i="6"/>
  <c r="M17" i="6"/>
  <c r="E17" i="6" s="1"/>
  <c r="G17" i="6" s="1"/>
  <c r="D17" i="6"/>
  <c r="M16" i="6"/>
  <c r="E16" i="6" s="1"/>
  <c r="G16" i="6" s="1"/>
  <c r="I16" i="6"/>
  <c r="D16" i="6"/>
  <c r="M14" i="6"/>
  <c r="E14" i="6" s="1"/>
  <c r="G14" i="6" s="1"/>
  <c r="D14" i="6"/>
  <c r="M13" i="6"/>
  <c r="E13" i="6" s="1"/>
  <c r="G13" i="6" s="1"/>
  <c r="D13" i="6"/>
  <c r="M12" i="6"/>
  <c r="E12" i="6" s="1"/>
  <c r="G12" i="6" s="1"/>
  <c r="D12" i="6"/>
  <c r="M11" i="6"/>
  <c r="E11" i="6" s="1"/>
  <c r="G11" i="6" s="1"/>
  <c r="D11" i="6"/>
  <c r="M10" i="6"/>
  <c r="E10" i="6" s="1"/>
  <c r="G10" i="6" s="1"/>
  <c r="D10" i="6"/>
  <c r="M9" i="6"/>
  <c r="E9" i="6" s="1"/>
  <c r="G9" i="6" s="1"/>
  <c r="D9" i="6"/>
  <c r="M8" i="6"/>
  <c r="E8" i="6" s="1"/>
  <c r="G8" i="6" s="1"/>
  <c r="D8" i="6"/>
  <c r="M7" i="6"/>
  <c r="J7" i="6"/>
  <c r="J173" i="6" s="1"/>
  <c r="I7" i="6"/>
  <c r="E7" i="6"/>
  <c r="G7" i="6" s="1"/>
  <c r="D7" i="6"/>
  <c r="M172" i="5"/>
  <c r="E172" i="5"/>
  <c r="G172" i="5" s="1"/>
  <c r="D172" i="5"/>
  <c r="M171" i="5"/>
  <c r="E171" i="5"/>
  <c r="G171" i="5" s="1"/>
  <c r="D171" i="5"/>
  <c r="M170" i="5"/>
  <c r="E170" i="5"/>
  <c r="G170" i="5" s="1"/>
  <c r="D170" i="5"/>
  <c r="M169" i="5"/>
  <c r="E169" i="5"/>
  <c r="G169" i="5" s="1"/>
  <c r="D169" i="5"/>
  <c r="M168" i="5"/>
  <c r="E168" i="5"/>
  <c r="G168" i="5" s="1"/>
  <c r="D168" i="5"/>
  <c r="M167" i="5"/>
  <c r="E167" i="5"/>
  <c r="G167" i="5" s="1"/>
  <c r="D167" i="5"/>
  <c r="M166" i="5"/>
  <c r="E166" i="5"/>
  <c r="G166" i="5" s="1"/>
  <c r="D166" i="5"/>
  <c r="M165" i="5"/>
  <c r="E165" i="5"/>
  <c r="G165" i="5" s="1"/>
  <c r="D165" i="5"/>
  <c r="M164" i="5"/>
  <c r="E164" i="5"/>
  <c r="G164" i="5" s="1"/>
  <c r="D164" i="5"/>
  <c r="M163" i="5"/>
  <c r="E163" i="5"/>
  <c r="G163" i="5" s="1"/>
  <c r="D163" i="5"/>
  <c r="M161" i="5"/>
  <c r="E161" i="5"/>
  <c r="G161" i="5" s="1"/>
  <c r="D161" i="5"/>
  <c r="M160" i="5"/>
  <c r="E160" i="5"/>
  <c r="G160" i="5" s="1"/>
  <c r="D160" i="5"/>
  <c r="M159" i="5"/>
  <c r="E159" i="5"/>
  <c r="G159" i="5" s="1"/>
  <c r="D159" i="5"/>
  <c r="M158" i="5"/>
  <c r="E158" i="5"/>
  <c r="G158" i="5" s="1"/>
  <c r="D158" i="5"/>
  <c r="M157" i="5"/>
  <c r="E157" i="5"/>
  <c r="G157" i="5" s="1"/>
  <c r="D157" i="5"/>
  <c r="M156" i="5"/>
  <c r="E156" i="5"/>
  <c r="G156" i="5" s="1"/>
  <c r="D156" i="5"/>
  <c r="M155" i="5"/>
  <c r="E155" i="5"/>
  <c r="G155" i="5" s="1"/>
  <c r="D155" i="5"/>
  <c r="M154" i="5"/>
  <c r="E154" i="5"/>
  <c r="G154" i="5" s="1"/>
  <c r="D154" i="5"/>
  <c r="M153" i="5"/>
  <c r="E153" i="5"/>
  <c r="G153" i="5" s="1"/>
  <c r="D153" i="5"/>
  <c r="M152" i="5"/>
  <c r="E152" i="5"/>
  <c r="G152" i="5" s="1"/>
  <c r="D152" i="5"/>
  <c r="M151" i="5"/>
  <c r="E151" i="5"/>
  <c r="G151" i="5" s="1"/>
  <c r="D151" i="5"/>
  <c r="M150" i="5"/>
  <c r="E150" i="5"/>
  <c r="G150" i="5" s="1"/>
  <c r="D150" i="5"/>
  <c r="M149" i="5"/>
  <c r="E149" i="5"/>
  <c r="G149" i="5" s="1"/>
  <c r="D149" i="5"/>
  <c r="M148" i="5"/>
  <c r="E148" i="5"/>
  <c r="G148" i="5" s="1"/>
  <c r="D148" i="5"/>
  <c r="M147" i="5"/>
  <c r="E147" i="5"/>
  <c r="G147" i="5" s="1"/>
  <c r="D147" i="5"/>
  <c r="M146" i="5"/>
  <c r="E146" i="5"/>
  <c r="G146" i="5" s="1"/>
  <c r="D146" i="5"/>
  <c r="M145" i="5"/>
  <c r="E145" i="5"/>
  <c r="G145" i="5" s="1"/>
  <c r="D145" i="5"/>
  <c r="M144" i="5"/>
  <c r="E144" i="5"/>
  <c r="G144" i="5" s="1"/>
  <c r="D144" i="5"/>
  <c r="M143" i="5"/>
  <c r="E143" i="5"/>
  <c r="G143" i="5" s="1"/>
  <c r="D143" i="5"/>
  <c r="M141" i="5"/>
  <c r="E141" i="5"/>
  <c r="G141" i="5" s="1"/>
  <c r="D141" i="5"/>
  <c r="M140" i="5"/>
  <c r="E140" i="5"/>
  <c r="G140" i="5" s="1"/>
  <c r="D140" i="5"/>
  <c r="M139" i="5"/>
  <c r="E139" i="5"/>
  <c r="G139" i="5" s="1"/>
  <c r="D139" i="5"/>
  <c r="M138" i="5"/>
  <c r="E138" i="5"/>
  <c r="G138" i="5" s="1"/>
  <c r="D138" i="5"/>
  <c r="M137" i="5"/>
  <c r="E137" i="5"/>
  <c r="G137" i="5" s="1"/>
  <c r="D137" i="5"/>
  <c r="M136" i="5"/>
  <c r="E136" i="5"/>
  <c r="G136" i="5" s="1"/>
  <c r="D136" i="5"/>
  <c r="M135" i="5"/>
  <c r="E135" i="5"/>
  <c r="G135" i="5" s="1"/>
  <c r="D135" i="5"/>
  <c r="M134" i="5"/>
  <c r="E134" i="5"/>
  <c r="G134" i="5" s="1"/>
  <c r="D134" i="5"/>
  <c r="M132" i="5"/>
  <c r="E132" i="5"/>
  <c r="G132" i="5" s="1"/>
  <c r="D132" i="5"/>
  <c r="M131" i="5"/>
  <c r="I131" i="5"/>
  <c r="G131" i="5"/>
  <c r="E131" i="5"/>
  <c r="D131" i="5"/>
  <c r="M129" i="5"/>
  <c r="G129" i="5"/>
  <c r="E129" i="5"/>
  <c r="D129" i="5"/>
  <c r="M128" i="5"/>
  <c r="G128" i="5"/>
  <c r="E128" i="5"/>
  <c r="D128" i="5"/>
  <c r="M127" i="5"/>
  <c r="G127" i="5"/>
  <c r="E127" i="5"/>
  <c r="D127" i="5"/>
  <c r="M126" i="5"/>
  <c r="G126" i="5"/>
  <c r="E126" i="5"/>
  <c r="D126" i="5"/>
  <c r="M125" i="5"/>
  <c r="I125" i="5"/>
  <c r="G125" i="5"/>
  <c r="E125" i="5"/>
  <c r="D125" i="5"/>
  <c r="M123" i="5"/>
  <c r="E123" i="5" s="1"/>
  <c r="G123" i="5" s="1"/>
  <c r="D123" i="5"/>
  <c r="M122" i="5"/>
  <c r="E122" i="5" s="1"/>
  <c r="G122" i="5"/>
  <c r="D122" i="5"/>
  <c r="M121" i="5"/>
  <c r="E121" i="5" s="1"/>
  <c r="G121" i="5" s="1"/>
  <c r="D121" i="5"/>
  <c r="M120" i="5"/>
  <c r="E120" i="5" s="1"/>
  <c r="G120" i="5" s="1"/>
  <c r="I120" i="5"/>
  <c r="D120" i="5"/>
  <c r="M118" i="5"/>
  <c r="E118" i="5" s="1"/>
  <c r="G118" i="5" s="1"/>
  <c r="I118" i="5"/>
  <c r="D118" i="5"/>
  <c r="M116" i="5"/>
  <c r="E116" i="5"/>
  <c r="G116" i="5" s="1"/>
  <c r="D116" i="5"/>
  <c r="M115" i="5"/>
  <c r="E115" i="5"/>
  <c r="G115" i="5" s="1"/>
  <c r="D115" i="5"/>
  <c r="M114" i="5"/>
  <c r="E114" i="5"/>
  <c r="G114" i="5" s="1"/>
  <c r="D114" i="5"/>
  <c r="M113" i="5"/>
  <c r="E113" i="5"/>
  <c r="G113" i="5" s="1"/>
  <c r="D113" i="5"/>
  <c r="M112" i="5"/>
  <c r="E112" i="5"/>
  <c r="G112" i="5" s="1"/>
  <c r="D112" i="5"/>
  <c r="M111" i="5"/>
  <c r="E111" i="5"/>
  <c r="G111" i="5" s="1"/>
  <c r="D111" i="5"/>
  <c r="M110" i="5"/>
  <c r="E110" i="5"/>
  <c r="G110" i="5" s="1"/>
  <c r="D110" i="5"/>
  <c r="M109" i="5"/>
  <c r="E109" i="5"/>
  <c r="G109" i="5" s="1"/>
  <c r="D109" i="5"/>
  <c r="M108" i="5"/>
  <c r="E108" i="5"/>
  <c r="G108" i="5" s="1"/>
  <c r="D108" i="5"/>
  <c r="M107" i="5"/>
  <c r="E107" i="5"/>
  <c r="G107" i="5" s="1"/>
  <c r="D107" i="5"/>
  <c r="M106" i="5"/>
  <c r="E106" i="5"/>
  <c r="G106" i="5" s="1"/>
  <c r="D106" i="5"/>
  <c r="M105" i="5"/>
  <c r="I105" i="5"/>
  <c r="E105" i="5"/>
  <c r="G105" i="5" s="1"/>
  <c r="D105" i="5"/>
  <c r="M103" i="5"/>
  <c r="G103" i="5"/>
  <c r="D103" i="5"/>
  <c r="M102" i="5"/>
  <c r="E102" i="5"/>
  <c r="G102" i="5" s="1"/>
  <c r="D102" i="5"/>
  <c r="M101" i="5"/>
  <c r="E101" i="5"/>
  <c r="G101" i="5" s="1"/>
  <c r="D101" i="5"/>
  <c r="M100" i="5"/>
  <c r="E100" i="5"/>
  <c r="G100" i="5" s="1"/>
  <c r="D100" i="5"/>
  <c r="M99" i="5"/>
  <c r="I99" i="5"/>
  <c r="G99" i="5"/>
  <c r="E99" i="5"/>
  <c r="D99" i="5"/>
  <c r="E97" i="5"/>
  <c r="G97" i="5" s="1"/>
  <c r="D97" i="5"/>
  <c r="M96" i="5"/>
  <c r="E96" i="5"/>
  <c r="G96" i="5" s="1"/>
  <c r="D96" i="5"/>
  <c r="M95" i="5"/>
  <c r="E95" i="5"/>
  <c r="G95" i="5" s="1"/>
  <c r="D95" i="5"/>
  <c r="M94" i="5"/>
  <c r="E94" i="5"/>
  <c r="G94" i="5" s="1"/>
  <c r="D94" i="5"/>
  <c r="M93" i="5"/>
  <c r="E93" i="5"/>
  <c r="G93" i="5" s="1"/>
  <c r="D93" i="5"/>
  <c r="M92" i="5"/>
  <c r="E92" i="5"/>
  <c r="G92" i="5" s="1"/>
  <c r="D92" i="5"/>
  <c r="M91" i="5"/>
  <c r="E91" i="5"/>
  <c r="G91" i="5" s="1"/>
  <c r="D91" i="5"/>
  <c r="M90" i="5"/>
  <c r="E90" i="5"/>
  <c r="G90" i="5" s="1"/>
  <c r="D90" i="5"/>
  <c r="M89" i="5"/>
  <c r="E89" i="5"/>
  <c r="G89" i="5" s="1"/>
  <c r="D89" i="5"/>
  <c r="M88" i="5"/>
  <c r="I88" i="5"/>
  <c r="J88" i="5" s="1"/>
  <c r="G88" i="5"/>
  <c r="E88" i="5"/>
  <c r="D88" i="5"/>
  <c r="M86" i="5"/>
  <c r="E86" i="5"/>
  <c r="G86" i="5" s="1"/>
  <c r="D86" i="5"/>
  <c r="M85" i="5"/>
  <c r="E85" i="5"/>
  <c r="G85" i="5" s="1"/>
  <c r="D85" i="5"/>
  <c r="M84" i="5"/>
  <c r="E84" i="5"/>
  <c r="G84" i="5" s="1"/>
  <c r="D84" i="5"/>
  <c r="M83" i="5"/>
  <c r="E83" i="5" s="1"/>
  <c r="I83" i="5"/>
  <c r="G83" i="5"/>
  <c r="D83" i="5"/>
  <c r="M81" i="5"/>
  <c r="E81" i="5" s="1"/>
  <c r="G81" i="5"/>
  <c r="D81" i="5"/>
  <c r="M80" i="5"/>
  <c r="E80" i="5" s="1"/>
  <c r="G80" i="5"/>
  <c r="D80" i="5"/>
  <c r="M79" i="5"/>
  <c r="E79" i="5" s="1"/>
  <c r="G79" i="5" s="1"/>
  <c r="D79" i="5"/>
  <c r="M78" i="5"/>
  <c r="E78" i="5" s="1"/>
  <c r="G78" i="5"/>
  <c r="D78" i="5"/>
  <c r="M77" i="5"/>
  <c r="E77" i="5" s="1"/>
  <c r="G77" i="5"/>
  <c r="D77" i="5"/>
  <c r="M76" i="5"/>
  <c r="J76" i="5"/>
  <c r="I76" i="5"/>
  <c r="G76" i="5"/>
  <c r="E76" i="5"/>
  <c r="D76" i="5"/>
  <c r="M74" i="5"/>
  <c r="G74" i="5"/>
  <c r="E74" i="5"/>
  <c r="D74" i="5"/>
  <c r="M73" i="5"/>
  <c r="G73" i="5"/>
  <c r="E73" i="5"/>
  <c r="D73" i="5"/>
  <c r="M72" i="5"/>
  <c r="G72" i="5"/>
  <c r="E72" i="5"/>
  <c r="D72" i="5"/>
  <c r="M71" i="5"/>
  <c r="G71" i="5"/>
  <c r="E71" i="5"/>
  <c r="D71" i="5"/>
  <c r="M70" i="5"/>
  <c r="G70" i="5"/>
  <c r="E70" i="5"/>
  <c r="D70" i="5"/>
  <c r="M69" i="5"/>
  <c r="G69" i="5"/>
  <c r="E69" i="5"/>
  <c r="D69" i="5"/>
  <c r="M68" i="5"/>
  <c r="G68" i="5"/>
  <c r="E68" i="5"/>
  <c r="D68" i="5"/>
  <c r="M67" i="5"/>
  <c r="G67" i="5"/>
  <c r="E67" i="5"/>
  <c r="D67" i="5"/>
  <c r="M66" i="5"/>
  <c r="G66" i="5"/>
  <c r="E66" i="5"/>
  <c r="D66" i="5"/>
  <c r="M65" i="5"/>
  <c r="J65" i="5"/>
  <c r="I65" i="5"/>
  <c r="G65" i="5"/>
  <c r="E65" i="5"/>
  <c r="D65" i="5"/>
  <c r="M63" i="5"/>
  <c r="E63" i="5" s="1"/>
  <c r="G63" i="5" s="1"/>
  <c r="D63" i="5"/>
  <c r="M62" i="5"/>
  <c r="E62" i="5" s="1"/>
  <c r="G62" i="5" s="1"/>
  <c r="D62" i="5"/>
  <c r="M61" i="5"/>
  <c r="J61" i="5"/>
  <c r="I61" i="5"/>
  <c r="E61" i="5"/>
  <c r="G61" i="5" s="1"/>
  <c r="D61" i="5"/>
  <c r="M59" i="5"/>
  <c r="E59" i="5"/>
  <c r="G59" i="5" s="1"/>
  <c r="D59" i="5"/>
  <c r="M58" i="5"/>
  <c r="E58" i="5"/>
  <c r="G58" i="5" s="1"/>
  <c r="D58" i="5"/>
  <c r="M57" i="5"/>
  <c r="E57" i="5"/>
  <c r="G57" i="5" s="1"/>
  <c r="D57" i="5"/>
  <c r="M56" i="5"/>
  <c r="E56" i="5"/>
  <c r="G56" i="5" s="1"/>
  <c r="D56" i="5"/>
  <c r="M55" i="5"/>
  <c r="E55" i="5"/>
  <c r="G55" i="5" s="1"/>
  <c r="D55" i="5"/>
  <c r="M54" i="5"/>
  <c r="E54" i="5"/>
  <c r="G54" i="5" s="1"/>
  <c r="D54" i="5"/>
  <c r="M53" i="5"/>
  <c r="E53" i="5"/>
  <c r="G53" i="5" s="1"/>
  <c r="D53" i="5"/>
  <c r="M52" i="5"/>
  <c r="E52" i="5"/>
  <c r="G52" i="5" s="1"/>
  <c r="D52" i="5"/>
  <c r="M51" i="5"/>
  <c r="E51" i="5"/>
  <c r="G51" i="5" s="1"/>
  <c r="D51" i="5"/>
  <c r="M50" i="5"/>
  <c r="E50" i="5"/>
  <c r="G50" i="5" s="1"/>
  <c r="D50" i="5"/>
  <c r="M49" i="5"/>
  <c r="M48" i="5"/>
  <c r="E48" i="5" s="1"/>
  <c r="F48" i="5"/>
  <c r="G48" i="5" s="1"/>
  <c r="D48" i="5"/>
  <c r="M47" i="5"/>
  <c r="E47" i="5" s="1"/>
  <c r="G47" i="5"/>
  <c r="D47" i="5"/>
  <c r="M46" i="5"/>
  <c r="E46" i="5" s="1"/>
  <c r="G46" i="5" s="1"/>
  <c r="D46" i="5"/>
  <c r="M45" i="5"/>
  <c r="E45" i="5" s="1"/>
  <c r="G45" i="5" s="1"/>
  <c r="D45" i="5"/>
  <c r="M44" i="5"/>
  <c r="E44" i="5" s="1"/>
  <c r="G44" i="5"/>
  <c r="D44" i="5"/>
  <c r="M43" i="5"/>
  <c r="E43" i="5" s="1"/>
  <c r="G43" i="5"/>
  <c r="D43" i="5"/>
  <c r="M42" i="5"/>
  <c r="F42" i="5"/>
  <c r="E42" i="5"/>
  <c r="G42" i="5" s="1"/>
  <c r="D42" i="5"/>
  <c r="M41" i="5"/>
  <c r="E41" i="5"/>
  <c r="G41" i="5" s="1"/>
  <c r="D41" i="5"/>
  <c r="M40" i="5"/>
  <c r="E40" i="5" s="1"/>
  <c r="G40" i="5" s="1"/>
  <c r="D40" i="5"/>
  <c r="M39" i="5"/>
  <c r="E39" i="5" s="1"/>
  <c r="G39" i="5" s="1"/>
  <c r="D39" i="5"/>
  <c r="M38" i="5"/>
  <c r="E38" i="5" s="1"/>
  <c r="G38" i="5" s="1"/>
  <c r="I38" i="5"/>
  <c r="J38" i="5" s="1"/>
  <c r="D38" i="5"/>
  <c r="M36" i="5"/>
  <c r="E36" i="5" s="1"/>
  <c r="G36" i="5" s="1"/>
  <c r="D36" i="5"/>
  <c r="M35" i="5"/>
  <c r="E35" i="5" s="1"/>
  <c r="G35" i="5" s="1"/>
  <c r="D35" i="5"/>
  <c r="M34" i="5"/>
  <c r="E34" i="5" s="1"/>
  <c r="G34" i="5" s="1"/>
  <c r="D34" i="5"/>
  <c r="M33" i="5"/>
  <c r="E33" i="5" s="1"/>
  <c r="G33" i="5" s="1"/>
  <c r="D33" i="5"/>
  <c r="M32" i="5"/>
  <c r="E32" i="5" s="1"/>
  <c r="G32" i="5" s="1"/>
  <c r="D32" i="5"/>
  <c r="M31" i="5"/>
  <c r="E31" i="5" s="1"/>
  <c r="G31" i="5" s="1"/>
  <c r="D31" i="5"/>
  <c r="M30" i="5"/>
  <c r="E30" i="5" s="1"/>
  <c r="G30" i="5" s="1"/>
  <c r="D30" i="5"/>
  <c r="M29" i="5"/>
  <c r="E29" i="5" s="1"/>
  <c r="G29" i="5" s="1"/>
  <c r="D29" i="5"/>
  <c r="M28" i="5"/>
  <c r="E28" i="5" s="1"/>
  <c r="G28" i="5" s="1"/>
  <c r="D28" i="5"/>
  <c r="M27" i="5"/>
  <c r="E27" i="5" s="1"/>
  <c r="G27" i="5" s="1"/>
  <c r="D27" i="5"/>
  <c r="M26" i="5"/>
  <c r="E26" i="5" s="1"/>
  <c r="G26" i="5" s="1"/>
  <c r="D26" i="5"/>
  <c r="M25" i="5"/>
  <c r="E25" i="5" s="1"/>
  <c r="G25" i="5" s="1"/>
  <c r="I25" i="5"/>
  <c r="D25" i="5"/>
  <c r="M23" i="5"/>
  <c r="E23" i="5" s="1"/>
  <c r="G23" i="5" s="1"/>
  <c r="D23" i="5"/>
  <c r="M22" i="5"/>
  <c r="E22" i="5" s="1"/>
  <c r="G22" i="5" s="1"/>
  <c r="D22" i="5"/>
  <c r="M21" i="5"/>
  <c r="E21" i="5" s="1"/>
  <c r="G21" i="5" s="1"/>
  <c r="D21" i="5"/>
  <c r="M20" i="5"/>
  <c r="J20" i="5"/>
  <c r="I20" i="5"/>
  <c r="E20" i="5"/>
  <c r="G20" i="5" s="1"/>
  <c r="D20" i="5"/>
  <c r="M18" i="5"/>
  <c r="E18" i="5"/>
  <c r="G18" i="5" s="1"/>
  <c r="D18" i="5"/>
  <c r="M17" i="5"/>
  <c r="E17" i="5"/>
  <c r="G17" i="5" s="1"/>
  <c r="D17" i="5"/>
  <c r="M16" i="5"/>
  <c r="I16" i="5"/>
  <c r="J16" i="5" s="1"/>
  <c r="G16" i="5"/>
  <c r="E16" i="5"/>
  <c r="D16" i="5"/>
  <c r="M14" i="5"/>
  <c r="E14" i="5" s="1"/>
  <c r="G14" i="5" s="1"/>
  <c r="D14" i="5"/>
  <c r="M13" i="5"/>
  <c r="E13" i="5" s="1"/>
  <c r="G13" i="5" s="1"/>
  <c r="D13" i="5"/>
  <c r="M12" i="5"/>
  <c r="E12" i="5" s="1"/>
  <c r="G12" i="5" s="1"/>
  <c r="D12" i="5"/>
  <c r="M11" i="5"/>
  <c r="E11" i="5" s="1"/>
  <c r="G11" i="5" s="1"/>
  <c r="D11" i="5"/>
  <c r="M10" i="5"/>
  <c r="E10" i="5" s="1"/>
  <c r="G10" i="5" s="1"/>
  <c r="D10" i="5"/>
  <c r="M9" i="5"/>
  <c r="E9" i="5" s="1"/>
  <c r="G9" i="5" s="1"/>
  <c r="D9" i="5"/>
  <c r="M8" i="5"/>
  <c r="E8" i="5" s="1"/>
  <c r="G8" i="5" s="1"/>
  <c r="D8" i="5"/>
  <c r="M7" i="5"/>
  <c r="J7" i="5"/>
  <c r="J173" i="5" s="1"/>
  <c r="I7" i="5"/>
  <c r="E7" i="5"/>
  <c r="G7" i="5" s="1"/>
  <c r="D7" i="5"/>
  <c r="M172" i="4"/>
  <c r="E172" i="4" s="1"/>
  <c r="G172" i="4" s="1"/>
  <c r="D172" i="4"/>
  <c r="M171" i="4"/>
  <c r="E171" i="4" s="1"/>
  <c r="G171" i="4" s="1"/>
  <c r="D171" i="4"/>
  <c r="M170" i="4"/>
  <c r="E170" i="4" s="1"/>
  <c r="G170" i="4" s="1"/>
  <c r="D170" i="4"/>
  <c r="M169" i="4"/>
  <c r="E169" i="4" s="1"/>
  <c r="G169" i="4" s="1"/>
  <c r="D169" i="4"/>
  <c r="M168" i="4"/>
  <c r="E168" i="4" s="1"/>
  <c r="G168" i="4" s="1"/>
  <c r="D168" i="4"/>
  <c r="M167" i="4"/>
  <c r="E167" i="4" s="1"/>
  <c r="G167" i="4" s="1"/>
  <c r="D167" i="4"/>
  <c r="M166" i="4"/>
  <c r="E166" i="4" s="1"/>
  <c r="G166" i="4" s="1"/>
  <c r="D166" i="4"/>
  <c r="M165" i="4"/>
  <c r="E165" i="4" s="1"/>
  <c r="G165" i="4" s="1"/>
  <c r="D165" i="4"/>
  <c r="M164" i="4"/>
  <c r="E164" i="4" s="1"/>
  <c r="G164" i="4" s="1"/>
  <c r="D164" i="4"/>
  <c r="M163" i="4"/>
  <c r="E163" i="4" s="1"/>
  <c r="G163" i="4" s="1"/>
  <c r="D163" i="4"/>
  <c r="M161" i="4"/>
  <c r="E161" i="4" s="1"/>
  <c r="G161" i="4" s="1"/>
  <c r="D161" i="4"/>
  <c r="M160" i="4"/>
  <c r="E160" i="4" s="1"/>
  <c r="G160" i="4" s="1"/>
  <c r="D160" i="4"/>
  <c r="M159" i="4"/>
  <c r="E159" i="4" s="1"/>
  <c r="G159" i="4" s="1"/>
  <c r="D159" i="4"/>
  <c r="M158" i="4"/>
  <c r="E158" i="4" s="1"/>
  <c r="G158" i="4" s="1"/>
  <c r="D158" i="4"/>
  <c r="M157" i="4"/>
  <c r="E157" i="4" s="1"/>
  <c r="G157" i="4" s="1"/>
  <c r="D157" i="4"/>
  <c r="M156" i="4"/>
  <c r="E156" i="4" s="1"/>
  <c r="G156" i="4" s="1"/>
  <c r="D156" i="4"/>
  <c r="M155" i="4"/>
  <c r="E155" i="4" s="1"/>
  <c r="G155" i="4" s="1"/>
  <c r="D155" i="4"/>
  <c r="M154" i="4"/>
  <c r="E154" i="4" s="1"/>
  <c r="G154" i="4" s="1"/>
  <c r="D154" i="4"/>
  <c r="M153" i="4"/>
  <c r="E153" i="4" s="1"/>
  <c r="G153" i="4" s="1"/>
  <c r="D153" i="4"/>
  <c r="M152" i="4"/>
  <c r="E152" i="4" s="1"/>
  <c r="G152" i="4" s="1"/>
  <c r="D152" i="4"/>
  <c r="M151" i="4"/>
  <c r="E151" i="4" s="1"/>
  <c r="G151" i="4" s="1"/>
  <c r="D151" i="4"/>
  <c r="M150" i="4"/>
  <c r="E150" i="4" s="1"/>
  <c r="G150" i="4" s="1"/>
  <c r="D150" i="4"/>
  <c r="M149" i="4"/>
  <c r="E149" i="4" s="1"/>
  <c r="G149" i="4" s="1"/>
  <c r="D149" i="4"/>
  <c r="M148" i="4"/>
  <c r="E148" i="4" s="1"/>
  <c r="G148" i="4" s="1"/>
  <c r="D148" i="4"/>
  <c r="M147" i="4"/>
  <c r="E147" i="4" s="1"/>
  <c r="G147" i="4" s="1"/>
  <c r="D147" i="4"/>
  <c r="M146" i="4"/>
  <c r="E146" i="4" s="1"/>
  <c r="G146" i="4" s="1"/>
  <c r="D146" i="4"/>
  <c r="M145" i="4"/>
  <c r="E145" i="4" s="1"/>
  <c r="G145" i="4" s="1"/>
  <c r="D145" i="4"/>
  <c r="M144" i="4"/>
  <c r="E144" i="4" s="1"/>
  <c r="G144" i="4" s="1"/>
  <c r="D144" i="4"/>
  <c r="M143" i="4"/>
  <c r="E143" i="4" s="1"/>
  <c r="G143" i="4" s="1"/>
  <c r="D143" i="4"/>
  <c r="M141" i="4"/>
  <c r="E141" i="4" s="1"/>
  <c r="G141" i="4" s="1"/>
  <c r="D141" i="4"/>
  <c r="M140" i="4"/>
  <c r="E140" i="4" s="1"/>
  <c r="G140" i="4" s="1"/>
  <c r="D140" i="4"/>
  <c r="M139" i="4"/>
  <c r="E139" i="4" s="1"/>
  <c r="G139" i="4" s="1"/>
  <c r="D139" i="4"/>
  <c r="M138" i="4"/>
  <c r="E138" i="4" s="1"/>
  <c r="G138" i="4" s="1"/>
  <c r="D138" i="4"/>
  <c r="M137" i="4"/>
  <c r="E137" i="4" s="1"/>
  <c r="G137" i="4" s="1"/>
  <c r="D137" i="4"/>
  <c r="M136" i="4"/>
  <c r="E136" i="4" s="1"/>
  <c r="G136" i="4" s="1"/>
  <c r="D136" i="4"/>
  <c r="M135" i="4"/>
  <c r="E135" i="4" s="1"/>
  <c r="G135" i="4" s="1"/>
  <c r="D135" i="4"/>
  <c r="M134" i="4"/>
  <c r="E134" i="4" s="1"/>
  <c r="G134" i="4" s="1"/>
  <c r="D134" i="4"/>
  <c r="M132" i="4"/>
  <c r="E132" i="4" s="1"/>
  <c r="G132" i="4" s="1"/>
  <c r="D132" i="4"/>
  <c r="M131" i="4"/>
  <c r="I131" i="4"/>
  <c r="E131" i="4"/>
  <c r="G131" i="4" s="1"/>
  <c r="D131" i="4"/>
  <c r="M129" i="4"/>
  <c r="E129" i="4"/>
  <c r="G129" i="4" s="1"/>
  <c r="D129" i="4"/>
  <c r="M128" i="4"/>
  <c r="E128" i="4"/>
  <c r="G128" i="4" s="1"/>
  <c r="D128" i="4"/>
  <c r="M127" i="4"/>
  <c r="E127" i="4"/>
  <c r="G127" i="4" s="1"/>
  <c r="D127" i="4"/>
  <c r="M126" i="4"/>
  <c r="E126" i="4"/>
  <c r="G126" i="4" s="1"/>
  <c r="D126" i="4"/>
  <c r="M125" i="4"/>
  <c r="I125" i="4"/>
  <c r="G125" i="4"/>
  <c r="E125" i="4"/>
  <c r="D125" i="4"/>
  <c r="M123" i="4"/>
  <c r="G123" i="4"/>
  <c r="E123" i="4"/>
  <c r="D123" i="4"/>
  <c r="M122" i="4"/>
  <c r="G122" i="4"/>
  <c r="E122" i="4"/>
  <c r="D122" i="4"/>
  <c r="M121" i="4"/>
  <c r="G121" i="4"/>
  <c r="E121" i="4"/>
  <c r="D121" i="4"/>
  <c r="M120" i="4"/>
  <c r="I120" i="4"/>
  <c r="G120" i="4"/>
  <c r="E120" i="4"/>
  <c r="D120" i="4"/>
  <c r="M118" i="4"/>
  <c r="E118" i="4" s="1"/>
  <c r="G118" i="4" s="1"/>
  <c r="I118" i="4"/>
  <c r="D118" i="4"/>
  <c r="M116" i="4"/>
  <c r="E116" i="4" s="1"/>
  <c r="G116" i="4" s="1"/>
  <c r="D116" i="4"/>
  <c r="M115" i="4"/>
  <c r="E115" i="4" s="1"/>
  <c r="G115" i="4" s="1"/>
  <c r="D115" i="4"/>
  <c r="M114" i="4"/>
  <c r="E114" i="4" s="1"/>
  <c r="G114" i="4" s="1"/>
  <c r="D114" i="4"/>
  <c r="M113" i="4"/>
  <c r="E113" i="4" s="1"/>
  <c r="G113" i="4" s="1"/>
  <c r="D113" i="4"/>
  <c r="M112" i="4"/>
  <c r="E112" i="4" s="1"/>
  <c r="G112" i="4" s="1"/>
  <c r="D112" i="4"/>
  <c r="M111" i="4"/>
  <c r="E111" i="4" s="1"/>
  <c r="G111" i="4" s="1"/>
  <c r="D111" i="4"/>
  <c r="M110" i="4"/>
  <c r="E110" i="4" s="1"/>
  <c r="G110" i="4" s="1"/>
  <c r="D110" i="4"/>
  <c r="M109" i="4"/>
  <c r="E109" i="4" s="1"/>
  <c r="G109" i="4" s="1"/>
  <c r="D109" i="4"/>
  <c r="M108" i="4"/>
  <c r="E108" i="4" s="1"/>
  <c r="G108" i="4" s="1"/>
  <c r="D108" i="4"/>
  <c r="M107" i="4"/>
  <c r="E107" i="4" s="1"/>
  <c r="G107" i="4" s="1"/>
  <c r="D107" i="4"/>
  <c r="M106" i="4"/>
  <c r="E106" i="4" s="1"/>
  <c r="G106" i="4" s="1"/>
  <c r="D106" i="4"/>
  <c r="M105" i="4"/>
  <c r="I105" i="4"/>
  <c r="E105" i="4"/>
  <c r="G105" i="4" s="1"/>
  <c r="D105" i="4"/>
  <c r="M103" i="4"/>
  <c r="G103" i="4"/>
  <c r="D103" i="4"/>
  <c r="M102" i="4"/>
  <c r="E102" i="4" s="1"/>
  <c r="G102" i="4" s="1"/>
  <c r="D102" i="4"/>
  <c r="M101" i="4"/>
  <c r="E101" i="4" s="1"/>
  <c r="G101" i="4" s="1"/>
  <c r="D101" i="4"/>
  <c r="M100" i="4"/>
  <c r="E100" i="4" s="1"/>
  <c r="G100" i="4" s="1"/>
  <c r="D100" i="4"/>
  <c r="M99" i="4"/>
  <c r="I99" i="4"/>
  <c r="E99" i="4"/>
  <c r="G99" i="4" s="1"/>
  <c r="D99" i="4"/>
  <c r="G97" i="4"/>
  <c r="E97" i="4"/>
  <c r="D97" i="4"/>
  <c r="M96" i="4"/>
  <c r="E96" i="4" s="1"/>
  <c r="G96" i="4" s="1"/>
  <c r="D96" i="4"/>
  <c r="M95" i="4"/>
  <c r="E95" i="4" s="1"/>
  <c r="G95" i="4" s="1"/>
  <c r="D95" i="4"/>
  <c r="M94" i="4"/>
  <c r="E94" i="4" s="1"/>
  <c r="G94" i="4" s="1"/>
  <c r="D94" i="4"/>
  <c r="M93" i="4"/>
  <c r="E93" i="4" s="1"/>
  <c r="G93" i="4" s="1"/>
  <c r="D93" i="4"/>
  <c r="M92" i="4"/>
  <c r="E92" i="4" s="1"/>
  <c r="G92" i="4" s="1"/>
  <c r="D92" i="4"/>
  <c r="M91" i="4"/>
  <c r="E91" i="4" s="1"/>
  <c r="G91" i="4" s="1"/>
  <c r="D91" i="4"/>
  <c r="M90" i="4"/>
  <c r="E90" i="4" s="1"/>
  <c r="G90" i="4" s="1"/>
  <c r="D90" i="4"/>
  <c r="M89" i="4"/>
  <c r="E89" i="4" s="1"/>
  <c r="G89" i="4" s="1"/>
  <c r="D89" i="4"/>
  <c r="M88" i="4"/>
  <c r="I88" i="4"/>
  <c r="J88" i="4" s="1"/>
  <c r="E88" i="4"/>
  <c r="G88" i="4" s="1"/>
  <c r="D88" i="4"/>
  <c r="M86" i="4"/>
  <c r="E86" i="4"/>
  <c r="G86" i="4" s="1"/>
  <c r="D86" i="4"/>
  <c r="M85" i="4"/>
  <c r="E85" i="4"/>
  <c r="G85" i="4" s="1"/>
  <c r="D85" i="4"/>
  <c r="M84" i="4"/>
  <c r="E84" i="4"/>
  <c r="G84" i="4" s="1"/>
  <c r="D84" i="4"/>
  <c r="M83" i="4"/>
  <c r="E83" i="4" s="1"/>
  <c r="I83" i="4"/>
  <c r="G83" i="4"/>
  <c r="D83" i="4"/>
  <c r="M81" i="4"/>
  <c r="E81" i="4" s="1"/>
  <c r="G81" i="4"/>
  <c r="D81" i="4"/>
  <c r="M80" i="4"/>
  <c r="E80" i="4" s="1"/>
  <c r="G80" i="4" s="1"/>
  <c r="D80" i="4"/>
  <c r="M79" i="4"/>
  <c r="E79" i="4" s="1"/>
  <c r="G79" i="4" s="1"/>
  <c r="D79" i="4"/>
  <c r="M78" i="4"/>
  <c r="E78" i="4" s="1"/>
  <c r="G78" i="4"/>
  <c r="D78" i="4"/>
  <c r="M77" i="4"/>
  <c r="E77" i="4" s="1"/>
  <c r="G77" i="4"/>
  <c r="D77" i="4"/>
  <c r="M76" i="4"/>
  <c r="E76" i="4" s="1"/>
  <c r="G76" i="4" s="1"/>
  <c r="I76" i="4"/>
  <c r="D76" i="4"/>
  <c r="M74" i="4"/>
  <c r="E74" i="4" s="1"/>
  <c r="G74" i="4" s="1"/>
  <c r="D74" i="4"/>
  <c r="M73" i="4"/>
  <c r="E73" i="4" s="1"/>
  <c r="G73" i="4" s="1"/>
  <c r="D73" i="4"/>
  <c r="M72" i="4"/>
  <c r="E72" i="4" s="1"/>
  <c r="G72" i="4" s="1"/>
  <c r="D72" i="4"/>
  <c r="M71" i="4"/>
  <c r="E71" i="4" s="1"/>
  <c r="G71" i="4" s="1"/>
  <c r="D71" i="4"/>
  <c r="M70" i="4"/>
  <c r="E70" i="4" s="1"/>
  <c r="G70" i="4" s="1"/>
  <c r="D70" i="4"/>
  <c r="M69" i="4"/>
  <c r="E69" i="4" s="1"/>
  <c r="G69" i="4" s="1"/>
  <c r="D69" i="4"/>
  <c r="M68" i="4"/>
  <c r="E68" i="4" s="1"/>
  <c r="G68" i="4" s="1"/>
  <c r="D68" i="4"/>
  <c r="M67" i="4"/>
  <c r="E67" i="4" s="1"/>
  <c r="G67" i="4" s="1"/>
  <c r="D67" i="4"/>
  <c r="M66" i="4"/>
  <c r="E66" i="4" s="1"/>
  <c r="G66" i="4" s="1"/>
  <c r="D66" i="4"/>
  <c r="M65" i="4"/>
  <c r="I65" i="4"/>
  <c r="E65" i="4"/>
  <c r="G65" i="4" s="1"/>
  <c r="D65" i="4"/>
  <c r="M63" i="4"/>
  <c r="E63" i="4"/>
  <c r="G63" i="4" s="1"/>
  <c r="D63" i="4"/>
  <c r="M62" i="4"/>
  <c r="E62" i="4"/>
  <c r="G62" i="4" s="1"/>
  <c r="D62" i="4"/>
  <c r="M61" i="4"/>
  <c r="I61" i="4"/>
  <c r="G61" i="4"/>
  <c r="E61" i="4"/>
  <c r="J61" i="4" s="1"/>
  <c r="D61" i="4"/>
  <c r="M59" i="4"/>
  <c r="E59" i="4"/>
  <c r="G59" i="4" s="1"/>
  <c r="D59" i="4"/>
  <c r="M58" i="4"/>
  <c r="E58" i="4"/>
  <c r="G58" i="4" s="1"/>
  <c r="D58" i="4"/>
  <c r="M57" i="4"/>
  <c r="E57" i="4"/>
  <c r="G57" i="4" s="1"/>
  <c r="D57" i="4"/>
  <c r="M56" i="4"/>
  <c r="E56" i="4"/>
  <c r="G56" i="4" s="1"/>
  <c r="D56" i="4"/>
  <c r="M55" i="4"/>
  <c r="E55" i="4"/>
  <c r="G55" i="4" s="1"/>
  <c r="D55" i="4"/>
  <c r="M54" i="4"/>
  <c r="E54" i="4"/>
  <c r="G54" i="4" s="1"/>
  <c r="D54" i="4"/>
  <c r="M53" i="4"/>
  <c r="E53" i="4"/>
  <c r="G53" i="4" s="1"/>
  <c r="D53" i="4"/>
  <c r="M52" i="4"/>
  <c r="E52" i="4"/>
  <c r="G52" i="4" s="1"/>
  <c r="D52" i="4"/>
  <c r="M51" i="4"/>
  <c r="E51" i="4"/>
  <c r="G51" i="4" s="1"/>
  <c r="D51" i="4"/>
  <c r="M50" i="4"/>
  <c r="E50" i="4"/>
  <c r="G50" i="4" s="1"/>
  <c r="D50" i="4"/>
  <c r="M49" i="4"/>
  <c r="M48" i="4"/>
  <c r="G48" i="4"/>
  <c r="F48" i="4"/>
  <c r="E48" i="4"/>
  <c r="D48" i="4"/>
  <c r="M47" i="4"/>
  <c r="E47" i="4"/>
  <c r="G47" i="4" s="1"/>
  <c r="D47" i="4"/>
  <c r="M46" i="4"/>
  <c r="E46" i="4"/>
  <c r="G46" i="4" s="1"/>
  <c r="D46" i="4"/>
  <c r="M45" i="4"/>
  <c r="E45" i="4"/>
  <c r="G45" i="4" s="1"/>
  <c r="D45" i="4"/>
  <c r="M44" i="4"/>
  <c r="E44" i="4"/>
  <c r="G44" i="4" s="1"/>
  <c r="D44" i="4"/>
  <c r="M43" i="4"/>
  <c r="E43" i="4"/>
  <c r="G43" i="4" s="1"/>
  <c r="D43" i="4"/>
  <c r="M42" i="4"/>
  <c r="F42" i="4"/>
  <c r="E42" i="4"/>
  <c r="G42" i="4" s="1"/>
  <c r="D42" i="4"/>
  <c r="M41" i="4"/>
  <c r="E41" i="4"/>
  <c r="G41" i="4" s="1"/>
  <c r="D41" i="4"/>
  <c r="M40" i="4"/>
  <c r="E40" i="4"/>
  <c r="G40" i="4" s="1"/>
  <c r="D40" i="4"/>
  <c r="M39" i="4"/>
  <c r="E39" i="4"/>
  <c r="G39" i="4" s="1"/>
  <c r="D39" i="4"/>
  <c r="M38" i="4"/>
  <c r="I38" i="4"/>
  <c r="J38" i="4" s="1"/>
  <c r="G38" i="4"/>
  <c r="E38" i="4"/>
  <c r="D38" i="4"/>
  <c r="M36" i="4"/>
  <c r="E36" i="4" s="1"/>
  <c r="G36" i="4" s="1"/>
  <c r="D36" i="4"/>
  <c r="M35" i="4"/>
  <c r="E35" i="4" s="1"/>
  <c r="G35" i="4" s="1"/>
  <c r="D35" i="4"/>
  <c r="M34" i="4"/>
  <c r="E34" i="4" s="1"/>
  <c r="G34" i="4" s="1"/>
  <c r="D34" i="4"/>
  <c r="M33" i="4"/>
  <c r="E33" i="4" s="1"/>
  <c r="G33" i="4" s="1"/>
  <c r="D33" i="4"/>
  <c r="M32" i="4"/>
  <c r="E32" i="4" s="1"/>
  <c r="G32" i="4" s="1"/>
  <c r="D32" i="4"/>
  <c r="M31" i="4"/>
  <c r="E31" i="4" s="1"/>
  <c r="G31" i="4" s="1"/>
  <c r="D31" i="4"/>
  <c r="M30" i="4"/>
  <c r="E30" i="4" s="1"/>
  <c r="G30" i="4" s="1"/>
  <c r="D30" i="4"/>
  <c r="M29" i="4"/>
  <c r="E29" i="4" s="1"/>
  <c r="G29" i="4" s="1"/>
  <c r="D29" i="4"/>
  <c r="M28" i="4"/>
  <c r="E28" i="4" s="1"/>
  <c r="G28" i="4" s="1"/>
  <c r="D28" i="4"/>
  <c r="M27" i="4"/>
  <c r="E27" i="4" s="1"/>
  <c r="G27" i="4" s="1"/>
  <c r="D27" i="4"/>
  <c r="M26" i="4"/>
  <c r="E26" i="4" s="1"/>
  <c r="G26" i="4" s="1"/>
  <c r="D26" i="4"/>
  <c r="M25" i="4"/>
  <c r="E25" i="4" s="1"/>
  <c r="G25" i="4" s="1"/>
  <c r="I25" i="4"/>
  <c r="D25" i="4"/>
  <c r="M23" i="4"/>
  <c r="E23" i="4"/>
  <c r="G23" i="4" s="1"/>
  <c r="D23" i="4"/>
  <c r="M22" i="4"/>
  <c r="E22" i="4"/>
  <c r="G22" i="4" s="1"/>
  <c r="D22" i="4"/>
  <c r="M21" i="4"/>
  <c r="E21" i="4"/>
  <c r="G21" i="4" s="1"/>
  <c r="D21" i="4"/>
  <c r="M20" i="4"/>
  <c r="I20" i="4"/>
  <c r="J20" i="4" s="1"/>
  <c r="G20" i="4"/>
  <c r="E20" i="4"/>
  <c r="D20" i="4"/>
  <c r="M18" i="4"/>
  <c r="E18" i="4" s="1"/>
  <c r="G18" i="4" s="1"/>
  <c r="D18" i="4"/>
  <c r="M17" i="4"/>
  <c r="E17" i="4" s="1"/>
  <c r="G17" i="4" s="1"/>
  <c r="D17" i="4"/>
  <c r="M16" i="4"/>
  <c r="J16" i="4"/>
  <c r="I16" i="4"/>
  <c r="E16" i="4"/>
  <c r="G16" i="4" s="1"/>
  <c r="D16" i="4"/>
  <c r="M14" i="4"/>
  <c r="E14" i="4"/>
  <c r="G14" i="4" s="1"/>
  <c r="D14" i="4"/>
  <c r="M13" i="4"/>
  <c r="E13" i="4"/>
  <c r="G13" i="4" s="1"/>
  <c r="D13" i="4"/>
  <c r="M12" i="4"/>
  <c r="E12" i="4"/>
  <c r="G12" i="4" s="1"/>
  <c r="D12" i="4"/>
  <c r="M11" i="4"/>
  <c r="E11" i="4"/>
  <c r="G11" i="4" s="1"/>
  <c r="D11" i="4"/>
  <c r="M10" i="4"/>
  <c r="E10" i="4"/>
  <c r="G10" i="4" s="1"/>
  <c r="D10" i="4"/>
  <c r="M9" i="4"/>
  <c r="E9" i="4"/>
  <c r="G9" i="4" s="1"/>
  <c r="D9" i="4"/>
  <c r="M8" i="4"/>
  <c r="E8" i="4"/>
  <c r="G8" i="4" s="1"/>
  <c r="D8" i="4"/>
  <c r="M7" i="4"/>
  <c r="I7" i="4"/>
  <c r="J7" i="4" s="1"/>
  <c r="J173" i="4" s="1"/>
  <c r="G7" i="4"/>
  <c r="E7" i="4"/>
  <c r="D7" i="4"/>
  <c r="M172" i="3"/>
  <c r="E172" i="3" s="1"/>
  <c r="G172" i="3" s="1"/>
  <c r="D172" i="3"/>
  <c r="M171" i="3"/>
  <c r="E171" i="3"/>
  <c r="G171" i="3" s="1"/>
  <c r="D171" i="3"/>
  <c r="M170" i="3"/>
  <c r="E170" i="3" s="1"/>
  <c r="G170" i="3" s="1"/>
  <c r="D170" i="3"/>
  <c r="M169" i="3"/>
  <c r="E169" i="3"/>
  <c r="G169" i="3" s="1"/>
  <c r="D169" i="3"/>
  <c r="M168" i="3"/>
  <c r="E168" i="3" s="1"/>
  <c r="G168" i="3" s="1"/>
  <c r="D168" i="3"/>
  <c r="M167" i="3"/>
  <c r="E167" i="3"/>
  <c r="G167" i="3" s="1"/>
  <c r="D167" i="3"/>
  <c r="M166" i="3"/>
  <c r="E166" i="3" s="1"/>
  <c r="G166" i="3" s="1"/>
  <c r="D166" i="3"/>
  <c r="M165" i="3"/>
  <c r="E165" i="3"/>
  <c r="G165" i="3" s="1"/>
  <c r="D165" i="3"/>
  <c r="M164" i="3"/>
  <c r="E164" i="3" s="1"/>
  <c r="G164" i="3" s="1"/>
  <c r="D164" i="3"/>
  <c r="M163" i="3"/>
  <c r="E163" i="3"/>
  <c r="G163" i="3" s="1"/>
  <c r="D163" i="3"/>
  <c r="M161" i="3"/>
  <c r="E161" i="3" s="1"/>
  <c r="G161" i="3" s="1"/>
  <c r="D161" i="3"/>
  <c r="M160" i="3"/>
  <c r="E160" i="3"/>
  <c r="G160" i="3" s="1"/>
  <c r="D160" i="3"/>
  <c r="M159" i="3"/>
  <c r="E159" i="3" s="1"/>
  <c r="G159" i="3" s="1"/>
  <c r="D159" i="3"/>
  <c r="M158" i="3"/>
  <c r="E158" i="3"/>
  <c r="G158" i="3" s="1"/>
  <c r="D158" i="3"/>
  <c r="M157" i="3"/>
  <c r="E157" i="3" s="1"/>
  <c r="G157" i="3" s="1"/>
  <c r="D157" i="3"/>
  <c r="M156" i="3"/>
  <c r="E156" i="3"/>
  <c r="G156" i="3" s="1"/>
  <c r="D156" i="3"/>
  <c r="M155" i="3"/>
  <c r="E155" i="3" s="1"/>
  <c r="G155" i="3" s="1"/>
  <c r="D155" i="3"/>
  <c r="M154" i="3"/>
  <c r="E154" i="3"/>
  <c r="G154" i="3" s="1"/>
  <c r="D154" i="3"/>
  <c r="M153" i="3"/>
  <c r="E153" i="3" s="1"/>
  <c r="G153" i="3" s="1"/>
  <c r="D153" i="3"/>
  <c r="M152" i="3"/>
  <c r="E152" i="3"/>
  <c r="G152" i="3" s="1"/>
  <c r="D152" i="3"/>
  <c r="M151" i="3"/>
  <c r="E151" i="3" s="1"/>
  <c r="G151" i="3" s="1"/>
  <c r="D151" i="3"/>
  <c r="M150" i="3"/>
  <c r="E150" i="3"/>
  <c r="G150" i="3" s="1"/>
  <c r="D150" i="3"/>
  <c r="M149" i="3"/>
  <c r="E149" i="3" s="1"/>
  <c r="G149" i="3" s="1"/>
  <c r="D149" i="3"/>
  <c r="M148" i="3"/>
  <c r="E148" i="3"/>
  <c r="G148" i="3" s="1"/>
  <c r="D148" i="3"/>
  <c r="M147" i="3"/>
  <c r="E147" i="3" s="1"/>
  <c r="G147" i="3" s="1"/>
  <c r="D147" i="3"/>
  <c r="M146" i="3"/>
  <c r="E146" i="3"/>
  <c r="G146" i="3" s="1"/>
  <c r="D146" i="3"/>
  <c r="M145" i="3"/>
  <c r="E145" i="3" s="1"/>
  <c r="G145" i="3" s="1"/>
  <c r="D145" i="3"/>
  <c r="M144" i="3"/>
  <c r="E144" i="3"/>
  <c r="G144" i="3" s="1"/>
  <c r="D144" i="3"/>
  <c r="M143" i="3"/>
  <c r="E143" i="3" s="1"/>
  <c r="G143" i="3" s="1"/>
  <c r="D143" i="3"/>
  <c r="M141" i="3"/>
  <c r="E141" i="3"/>
  <c r="G141" i="3" s="1"/>
  <c r="D141" i="3"/>
  <c r="M140" i="3"/>
  <c r="E140" i="3" s="1"/>
  <c r="G140" i="3" s="1"/>
  <c r="D140" i="3"/>
  <c r="M139" i="3"/>
  <c r="E139" i="3"/>
  <c r="G139" i="3" s="1"/>
  <c r="D139" i="3"/>
  <c r="M138" i="3"/>
  <c r="E138" i="3" s="1"/>
  <c r="G138" i="3" s="1"/>
  <c r="D138" i="3"/>
  <c r="M137" i="3"/>
  <c r="E137" i="3"/>
  <c r="G137" i="3" s="1"/>
  <c r="D137" i="3"/>
  <c r="M136" i="3"/>
  <c r="E136" i="3" s="1"/>
  <c r="G136" i="3" s="1"/>
  <c r="D136" i="3"/>
  <c r="M135" i="3"/>
  <c r="E135" i="3"/>
  <c r="G135" i="3" s="1"/>
  <c r="D135" i="3"/>
  <c r="M134" i="3"/>
  <c r="E134" i="3" s="1"/>
  <c r="G134" i="3" s="1"/>
  <c r="D134" i="3"/>
  <c r="M132" i="3"/>
  <c r="E132" i="3"/>
  <c r="G132" i="3" s="1"/>
  <c r="D132" i="3"/>
  <c r="M131" i="3"/>
  <c r="E131" i="3" s="1"/>
  <c r="G131" i="3" s="1"/>
  <c r="I131" i="3"/>
  <c r="D131" i="3"/>
  <c r="M129" i="3"/>
  <c r="G129" i="3"/>
  <c r="E129" i="3"/>
  <c r="D129" i="3"/>
  <c r="M128" i="3"/>
  <c r="E128" i="3"/>
  <c r="G128" i="3" s="1"/>
  <c r="D128" i="3"/>
  <c r="M127" i="3"/>
  <c r="E127" i="3"/>
  <c r="G127" i="3" s="1"/>
  <c r="D127" i="3"/>
  <c r="M126" i="3"/>
  <c r="E126" i="3"/>
  <c r="G126" i="3" s="1"/>
  <c r="D126" i="3"/>
  <c r="M125" i="3"/>
  <c r="I125" i="3"/>
  <c r="G125" i="3"/>
  <c r="E125" i="3"/>
  <c r="D125" i="3"/>
  <c r="M123" i="3"/>
  <c r="G123" i="3"/>
  <c r="E123" i="3"/>
  <c r="D123" i="3"/>
  <c r="M122" i="3"/>
  <c r="G122" i="3"/>
  <c r="E122" i="3"/>
  <c r="D122" i="3"/>
  <c r="M121" i="3"/>
  <c r="G121" i="3"/>
  <c r="E121" i="3"/>
  <c r="D121" i="3"/>
  <c r="M120" i="3"/>
  <c r="E120" i="3" s="1"/>
  <c r="I120" i="3"/>
  <c r="G120" i="3"/>
  <c r="D120" i="3"/>
  <c r="M118" i="3"/>
  <c r="I118" i="3"/>
  <c r="E118" i="3"/>
  <c r="G118" i="3" s="1"/>
  <c r="D118" i="3"/>
  <c r="M116" i="3"/>
  <c r="E116" i="3"/>
  <c r="G116" i="3" s="1"/>
  <c r="D116" i="3"/>
  <c r="M115" i="3"/>
  <c r="E115" i="3" s="1"/>
  <c r="G115" i="3" s="1"/>
  <c r="D115" i="3"/>
  <c r="M114" i="3"/>
  <c r="E114" i="3"/>
  <c r="G114" i="3" s="1"/>
  <c r="D114" i="3"/>
  <c r="M113" i="3"/>
  <c r="E113" i="3" s="1"/>
  <c r="G113" i="3" s="1"/>
  <c r="D113" i="3"/>
  <c r="M112" i="3"/>
  <c r="E112" i="3"/>
  <c r="G112" i="3" s="1"/>
  <c r="D112" i="3"/>
  <c r="M111" i="3"/>
  <c r="E111" i="3" s="1"/>
  <c r="G111" i="3" s="1"/>
  <c r="D111" i="3"/>
  <c r="M110" i="3"/>
  <c r="E110" i="3"/>
  <c r="G110" i="3" s="1"/>
  <c r="D110" i="3"/>
  <c r="M109" i="3"/>
  <c r="E109" i="3" s="1"/>
  <c r="G109" i="3" s="1"/>
  <c r="D109" i="3"/>
  <c r="M108" i="3"/>
  <c r="E108" i="3"/>
  <c r="G108" i="3" s="1"/>
  <c r="D108" i="3"/>
  <c r="M107" i="3"/>
  <c r="E107" i="3" s="1"/>
  <c r="G107" i="3" s="1"/>
  <c r="D107" i="3"/>
  <c r="M106" i="3"/>
  <c r="E106" i="3"/>
  <c r="G106" i="3" s="1"/>
  <c r="D106" i="3"/>
  <c r="M105" i="3"/>
  <c r="E105" i="3" s="1"/>
  <c r="G105" i="3" s="1"/>
  <c r="I105" i="3"/>
  <c r="D105" i="3"/>
  <c r="M103" i="3"/>
  <c r="G103" i="3"/>
  <c r="D103" i="3"/>
  <c r="M102" i="3"/>
  <c r="E102" i="3" s="1"/>
  <c r="G102" i="3" s="1"/>
  <c r="D102" i="3"/>
  <c r="M101" i="3"/>
  <c r="E101" i="3"/>
  <c r="G101" i="3" s="1"/>
  <c r="D101" i="3"/>
  <c r="M100" i="3"/>
  <c r="E100" i="3" s="1"/>
  <c r="G100" i="3" s="1"/>
  <c r="D100" i="3"/>
  <c r="M99" i="3"/>
  <c r="I99" i="3"/>
  <c r="E99" i="3"/>
  <c r="G99" i="3" s="1"/>
  <c r="D99" i="3"/>
  <c r="E97" i="3"/>
  <c r="G97" i="3" s="1"/>
  <c r="D97" i="3"/>
  <c r="M96" i="3"/>
  <c r="E96" i="3" s="1"/>
  <c r="G96" i="3" s="1"/>
  <c r="D96" i="3"/>
  <c r="M95" i="3"/>
  <c r="E95" i="3"/>
  <c r="G95" i="3" s="1"/>
  <c r="D95" i="3"/>
  <c r="M94" i="3"/>
  <c r="E94" i="3" s="1"/>
  <c r="G94" i="3" s="1"/>
  <c r="D94" i="3"/>
  <c r="M93" i="3"/>
  <c r="E93" i="3"/>
  <c r="G93" i="3" s="1"/>
  <c r="D93" i="3"/>
  <c r="M92" i="3"/>
  <c r="E92" i="3" s="1"/>
  <c r="G92" i="3" s="1"/>
  <c r="D92" i="3"/>
  <c r="M91" i="3"/>
  <c r="E91" i="3"/>
  <c r="G91" i="3" s="1"/>
  <c r="D91" i="3"/>
  <c r="M90" i="3"/>
  <c r="E90" i="3" s="1"/>
  <c r="G90" i="3" s="1"/>
  <c r="D90" i="3"/>
  <c r="M89" i="3"/>
  <c r="E89" i="3"/>
  <c r="G89" i="3" s="1"/>
  <c r="D89" i="3"/>
  <c r="M88" i="3"/>
  <c r="E88" i="3" s="1"/>
  <c r="G88" i="3" s="1"/>
  <c r="I88" i="3"/>
  <c r="J88" i="3" s="1"/>
  <c r="D88" i="3"/>
  <c r="M86" i="3"/>
  <c r="E86" i="3" s="1"/>
  <c r="G86" i="3" s="1"/>
  <c r="D86" i="3"/>
  <c r="M85" i="3"/>
  <c r="E85" i="3" s="1"/>
  <c r="G85" i="3" s="1"/>
  <c r="D85" i="3"/>
  <c r="M84" i="3"/>
  <c r="E84" i="3" s="1"/>
  <c r="G84" i="3" s="1"/>
  <c r="D84" i="3"/>
  <c r="M83" i="3"/>
  <c r="E83" i="3" s="1"/>
  <c r="G83" i="3" s="1"/>
  <c r="I83" i="3"/>
  <c r="D83" i="3"/>
  <c r="M81" i="3"/>
  <c r="E81" i="3" s="1"/>
  <c r="G81" i="3"/>
  <c r="D81" i="3"/>
  <c r="M80" i="3"/>
  <c r="E80" i="3" s="1"/>
  <c r="G80" i="3" s="1"/>
  <c r="D80" i="3"/>
  <c r="M79" i="3"/>
  <c r="E79" i="3" s="1"/>
  <c r="G79" i="3"/>
  <c r="D79" i="3"/>
  <c r="M78" i="3"/>
  <c r="E78" i="3" s="1"/>
  <c r="G78" i="3" s="1"/>
  <c r="D78" i="3"/>
  <c r="M77" i="3"/>
  <c r="E77" i="3" s="1"/>
  <c r="G77" i="3"/>
  <c r="D77" i="3"/>
  <c r="M76" i="3"/>
  <c r="E76" i="3" s="1"/>
  <c r="G76" i="3" s="1"/>
  <c r="I76" i="3"/>
  <c r="D76" i="3"/>
  <c r="M74" i="3"/>
  <c r="E74" i="3" s="1"/>
  <c r="G74" i="3" s="1"/>
  <c r="D74" i="3"/>
  <c r="M73" i="3"/>
  <c r="E73" i="3"/>
  <c r="G73" i="3" s="1"/>
  <c r="D73" i="3"/>
  <c r="M72" i="3"/>
  <c r="E72" i="3" s="1"/>
  <c r="G72" i="3" s="1"/>
  <c r="D72" i="3"/>
  <c r="M71" i="3"/>
  <c r="E71" i="3"/>
  <c r="G71" i="3" s="1"/>
  <c r="D71" i="3"/>
  <c r="M70" i="3"/>
  <c r="E70" i="3" s="1"/>
  <c r="G70" i="3" s="1"/>
  <c r="D70" i="3"/>
  <c r="M69" i="3"/>
  <c r="E69" i="3"/>
  <c r="G69" i="3" s="1"/>
  <c r="D69" i="3"/>
  <c r="M68" i="3"/>
  <c r="E68" i="3" s="1"/>
  <c r="G68" i="3" s="1"/>
  <c r="D68" i="3"/>
  <c r="M67" i="3"/>
  <c r="E67" i="3"/>
  <c r="G67" i="3" s="1"/>
  <c r="D67" i="3"/>
  <c r="M66" i="3"/>
  <c r="E66" i="3" s="1"/>
  <c r="G66" i="3" s="1"/>
  <c r="D66" i="3"/>
  <c r="M65" i="3"/>
  <c r="I65" i="3"/>
  <c r="E65" i="3"/>
  <c r="G65" i="3" s="1"/>
  <c r="D65" i="3"/>
  <c r="M63" i="3"/>
  <c r="E63" i="3"/>
  <c r="G63" i="3" s="1"/>
  <c r="D63" i="3"/>
  <c r="M62" i="3"/>
  <c r="E62" i="3"/>
  <c r="G62" i="3" s="1"/>
  <c r="D62" i="3"/>
  <c r="M61" i="3"/>
  <c r="J61" i="3"/>
  <c r="I61" i="3"/>
  <c r="G61" i="3"/>
  <c r="E61" i="3"/>
  <c r="D61" i="3"/>
  <c r="M59" i="3"/>
  <c r="E59" i="3" s="1"/>
  <c r="G59" i="3" s="1"/>
  <c r="D59" i="3"/>
  <c r="M58" i="3"/>
  <c r="E58" i="3" s="1"/>
  <c r="G58" i="3"/>
  <c r="D58" i="3"/>
  <c r="M57" i="3"/>
  <c r="E57" i="3" s="1"/>
  <c r="G57" i="3" s="1"/>
  <c r="D57" i="3"/>
  <c r="M56" i="3"/>
  <c r="E56" i="3" s="1"/>
  <c r="G56" i="3"/>
  <c r="D56" i="3"/>
  <c r="M55" i="3"/>
  <c r="E55" i="3" s="1"/>
  <c r="G55" i="3" s="1"/>
  <c r="D55" i="3"/>
  <c r="M54" i="3"/>
  <c r="E54" i="3" s="1"/>
  <c r="G54" i="3" s="1"/>
  <c r="D54" i="3"/>
  <c r="M53" i="3"/>
  <c r="E53" i="3" s="1"/>
  <c r="G53" i="3" s="1"/>
  <c r="D53" i="3"/>
  <c r="M52" i="3"/>
  <c r="E52" i="3" s="1"/>
  <c r="G52" i="3" s="1"/>
  <c r="D52" i="3"/>
  <c r="M51" i="3"/>
  <c r="E51" i="3" s="1"/>
  <c r="G51" i="3" s="1"/>
  <c r="D51" i="3"/>
  <c r="M50" i="3"/>
  <c r="E50" i="3" s="1"/>
  <c r="G50" i="3" s="1"/>
  <c r="D50" i="3"/>
  <c r="M49" i="3"/>
  <c r="M48" i="3"/>
  <c r="F48" i="3"/>
  <c r="E48" i="3"/>
  <c r="G48" i="3" s="1"/>
  <c r="D48" i="3"/>
  <c r="M47" i="3"/>
  <c r="E47" i="3"/>
  <c r="G47" i="3" s="1"/>
  <c r="D47" i="3"/>
  <c r="M46" i="3"/>
  <c r="E46" i="3"/>
  <c r="G46" i="3" s="1"/>
  <c r="D46" i="3"/>
  <c r="M45" i="3"/>
  <c r="E45" i="3"/>
  <c r="G45" i="3" s="1"/>
  <c r="D45" i="3"/>
  <c r="M44" i="3"/>
  <c r="E44" i="3"/>
  <c r="G44" i="3" s="1"/>
  <c r="D44" i="3"/>
  <c r="M43" i="3"/>
  <c r="E43" i="3"/>
  <c r="G43" i="3" s="1"/>
  <c r="D43" i="3"/>
  <c r="M42" i="3"/>
  <c r="E42" i="3" s="1"/>
  <c r="G42" i="3" s="1"/>
  <c r="F42" i="3"/>
  <c r="D42" i="3"/>
  <c r="M41" i="3"/>
  <c r="E41" i="3" s="1"/>
  <c r="G41" i="3" s="1"/>
  <c r="D41" i="3"/>
  <c r="M40" i="3"/>
  <c r="E40" i="3" s="1"/>
  <c r="G40" i="3" s="1"/>
  <c r="D40" i="3"/>
  <c r="M39" i="3"/>
  <c r="E39" i="3" s="1"/>
  <c r="G39" i="3" s="1"/>
  <c r="D39" i="3"/>
  <c r="M38" i="3"/>
  <c r="I38" i="3"/>
  <c r="E38" i="3"/>
  <c r="G38" i="3" s="1"/>
  <c r="D38" i="3"/>
  <c r="M36" i="3"/>
  <c r="E36" i="3" s="1"/>
  <c r="G36" i="3" s="1"/>
  <c r="D36" i="3"/>
  <c r="M35" i="3"/>
  <c r="E35" i="3" s="1"/>
  <c r="G35" i="3" s="1"/>
  <c r="D35" i="3"/>
  <c r="M34" i="3"/>
  <c r="E34" i="3" s="1"/>
  <c r="G34" i="3" s="1"/>
  <c r="D34" i="3"/>
  <c r="M33" i="3"/>
  <c r="E33" i="3" s="1"/>
  <c r="G33" i="3" s="1"/>
  <c r="D33" i="3"/>
  <c r="M32" i="3"/>
  <c r="E32" i="3" s="1"/>
  <c r="G32" i="3" s="1"/>
  <c r="D32" i="3"/>
  <c r="M31" i="3"/>
  <c r="E31" i="3" s="1"/>
  <c r="G31" i="3" s="1"/>
  <c r="D31" i="3"/>
  <c r="M30" i="3"/>
  <c r="E30" i="3" s="1"/>
  <c r="G30" i="3" s="1"/>
  <c r="D30" i="3"/>
  <c r="M29" i="3"/>
  <c r="E29" i="3" s="1"/>
  <c r="G29" i="3" s="1"/>
  <c r="D29" i="3"/>
  <c r="M28" i="3"/>
  <c r="E28" i="3" s="1"/>
  <c r="G28" i="3" s="1"/>
  <c r="D28" i="3"/>
  <c r="M27" i="3"/>
  <c r="E27" i="3" s="1"/>
  <c r="G27" i="3" s="1"/>
  <c r="D27" i="3"/>
  <c r="M26" i="3"/>
  <c r="E26" i="3" s="1"/>
  <c r="G26" i="3" s="1"/>
  <c r="D26" i="3"/>
  <c r="M25" i="3"/>
  <c r="E25" i="3" s="1"/>
  <c r="G25" i="3" s="1"/>
  <c r="I25" i="3"/>
  <c r="D25" i="3"/>
  <c r="M23" i="3"/>
  <c r="G23" i="3"/>
  <c r="E23" i="3"/>
  <c r="D23" i="3"/>
  <c r="M22" i="3"/>
  <c r="G22" i="3"/>
  <c r="E22" i="3"/>
  <c r="D22" i="3"/>
  <c r="M21" i="3"/>
  <c r="G21" i="3"/>
  <c r="E21" i="3"/>
  <c r="D21" i="3"/>
  <c r="M20" i="3"/>
  <c r="I20" i="3"/>
  <c r="E20" i="3"/>
  <c r="G20" i="3" s="1"/>
  <c r="D20" i="3"/>
  <c r="M18" i="3"/>
  <c r="E18" i="3"/>
  <c r="G18" i="3" s="1"/>
  <c r="D18" i="3"/>
  <c r="M17" i="3"/>
  <c r="E17" i="3"/>
  <c r="G17" i="3" s="1"/>
  <c r="D17" i="3"/>
  <c r="M16" i="3"/>
  <c r="I16" i="3"/>
  <c r="J16" i="3" s="1"/>
  <c r="E16" i="3"/>
  <c r="G16" i="3" s="1"/>
  <c r="D16" i="3"/>
  <c r="M14" i="3"/>
  <c r="E14" i="3" s="1"/>
  <c r="G14" i="3" s="1"/>
  <c r="D14" i="3"/>
  <c r="M13" i="3"/>
  <c r="E13" i="3" s="1"/>
  <c r="G13" i="3" s="1"/>
  <c r="D13" i="3"/>
  <c r="M12" i="3"/>
  <c r="E12" i="3" s="1"/>
  <c r="G12" i="3" s="1"/>
  <c r="D12" i="3"/>
  <c r="M11" i="3"/>
  <c r="E11" i="3" s="1"/>
  <c r="G11" i="3" s="1"/>
  <c r="D11" i="3"/>
  <c r="M10" i="3"/>
  <c r="E10" i="3" s="1"/>
  <c r="G10" i="3" s="1"/>
  <c r="D10" i="3"/>
  <c r="M9" i="3"/>
  <c r="E9" i="3" s="1"/>
  <c r="G9" i="3" s="1"/>
  <c r="D9" i="3"/>
  <c r="M8" i="3"/>
  <c r="E8" i="3" s="1"/>
  <c r="G8" i="3" s="1"/>
  <c r="D8" i="3"/>
  <c r="M7" i="3"/>
  <c r="I7" i="3"/>
  <c r="J7" i="3" s="1"/>
  <c r="E7" i="3"/>
  <c r="G7" i="3" s="1"/>
  <c r="D7" i="3"/>
  <c r="M172" i="2"/>
  <c r="E172" i="2"/>
  <c r="G172" i="2" s="1"/>
  <c r="D172" i="2"/>
  <c r="M171" i="2"/>
  <c r="E171" i="2"/>
  <c r="G171" i="2" s="1"/>
  <c r="D171" i="2"/>
  <c r="M170" i="2"/>
  <c r="E170" i="2"/>
  <c r="G170" i="2" s="1"/>
  <c r="D170" i="2"/>
  <c r="M169" i="2"/>
  <c r="E169" i="2"/>
  <c r="G169" i="2" s="1"/>
  <c r="D169" i="2"/>
  <c r="M168" i="2"/>
  <c r="E168" i="2"/>
  <c r="G168" i="2" s="1"/>
  <c r="D168" i="2"/>
  <c r="M167" i="2"/>
  <c r="E167" i="2"/>
  <c r="G167" i="2" s="1"/>
  <c r="D167" i="2"/>
  <c r="M166" i="2"/>
  <c r="E166" i="2"/>
  <c r="G166" i="2" s="1"/>
  <c r="D166" i="2"/>
  <c r="M165" i="2"/>
  <c r="E165" i="2"/>
  <c r="G165" i="2" s="1"/>
  <c r="D165" i="2"/>
  <c r="M164" i="2"/>
  <c r="E164" i="2"/>
  <c r="G164" i="2" s="1"/>
  <c r="D164" i="2"/>
  <c r="M163" i="2"/>
  <c r="E163" i="2"/>
  <c r="G163" i="2" s="1"/>
  <c r="D163" i="2"/>
  <c r="M161" i="2"/>
  <c r="E161" i="2"/>
  <c r="G161" i="2" s="1"/>
  <c r="D161" i="2"/>
  <c r="M160" i="2"/>
  <c r="E160" i="2"/>
  <c r="G160" i="2" s="1"/>
  <c r="D160" i="2"/>
  <c r="M159" i="2"/>
  <c r="E159" i="2"/>
  <c r="G159" i="2" s="1"/>
  <c r="D159" i="2"/>
  <c r="M158" i="2"/>
  <c r="E158" i="2"/>
  <c r="G158" i="2" s="1"/>
  <c r="D158" i="2"/>
  <c r="M157" i="2"/>
  <c r="E157" i="2"/>
  <c r="G157" i="2" s="1"/>
  <c r="D157" i="2"/>
  <c r="M156" i="2"/>
  <c r="E156" i="2"/>
  <c r="G156" i="2" s="1"/>
  <c r="D156" i="2"/>
  <c r="M155" i="2"/>
  <c r="E155" i="2"/>
  <c r="G155" i="2" s="1"/>
  <c r="D155" i="2"/>
  <c r="M154" i="2"/>
  <c r="E154" i="2"/>
  <c r="G154" i="2" s="1"/>
  <c r="D154" i="2"/>
  <c r="M153" i="2"/>
  <c r="E153" i="2"/>
  <c r="G153" i="2" s="1"/>
  <c r="D153" i="2"/>
  <c r="M152" i="2"/>
  <c r="E152" i="2"/>
  <c r="G152" i="2" s="1"/>
  <c r="D152" i="2"/>
  <c r="M151" i="2"/>
  <c r="E151" i="2"/>
  <c r="G151" i="2" s="1"/>
  <c r="D151" i="2"/>
  <c r="M150" i="2"/>
  <c r="E150" i="2"/>
  <c r="G150" i="2" s="1"/>
  <c r="D150" i="2"/>
  <c r="M149" i="2"/>
  <c r="E149" i="2"/>
  <c r="G149" i="2" s="1"/>
  <c r="D149" i="2"/>
  <c r="M148" i="2"/>
  <c r="E148" i="2"/>
  <c r="G148" i="2" s="1"/>
  <c r="D148" i="2"/>
  <c r="M147" i="2"/>
  <c r="E147" i="2"/>
  <c r="G147" i="2" s="1"/>
  <c r="D147" i="2"/>
  <c r="M146" i="2"/>
  <c r="E146" i="2"/>
  <c r="G146" i="2" s="1"/>
  <c r="D146" i="2"/>
  <c r="M145" i="2"/>
  <c r="E145" i="2"/>
  <c r="G145" i="2" s="1"/>
  <c r="D145" i="2"/>
  <c r="M144" i="2"/>
  <c r="E144" i="2"/>
  <c r="G144" i="2" s="1"/>
  <c r="D144" i="2"/>
  <c r="M143" i="2"/>
  <c r="E143" i="2"/>
  <c r="G143" i="2" s="1"/>
  <c r="D143" i="2"/>
  <c r="M141" i="2"/>
  <c r="E141" i="2"/>
  <c r="G141" i="2" s="1"/>
  <c r="D141" i="2"/>
  <c r="M140" i="2"/>
  <c r="E140" i="2"/>
  <c r="G140" i="2" s="1"/>
  <c r="D140" i="2"/>
  <c r="M139" i="2"/>
  <c r="E139" i="2"/>
  <c r="G139" i="2" s="1"/>
  <c r="D139" i="2"/>
  <c r="M138" i="2"/>
  <c r="E138" i="2"/>
  <c r="G138" i="2" s="1"/>
  <c r="D138" i="2"/>
  <c r="M137" i="2"/>
  <c r="E137" i="2"/>
  <c r="G137" i="2" s="1"/>
  <c r="D137" i="2"/>
  <c r="M136" i="2"/>
  <c r="E136" i="2"/>
  <c r="G136" i="2" s="1"/>
  <c r="D136" i="2"/>
  <c r="M135" i="2"/>
  <c r="E135" i="2"/>
  <c r="G135" i="2" s="1"/>
  <c r="D135" i="2"/>
  <c r="M134" i="2"/>
  <c r="E134" i="2"/>
  <c r="G134" i="2" s="1"/>
  <c r="D134" i="2"/>
  <c r="M132" i="2"/>
  <c r="E132" i="2"/>
  <c r="G132" i="2" s="1"/>
  <c r="D132" i="2"/>
  <c r="M131" i="2"/>
  <c r="I131" i="2"/>
  <c r="J131" i="2" s="1"/>
  <c r="E131" i="2"/>
  <c r="G131" i="2" s="1"/>
  <c r="D131" i="2"/>
  <c r="M129" i="2"/>
  <c r="E129" i="2" s="1"/>
  <c r="G129" i="2" s="1"/>
  <c r="D129" i="2"/>
  <c r="M128" i="2"/>
  <c r="E128" i="2" s="1"/>
  <c r="G128" i="2" s="1"/>
  <c r="D128" i="2"/>
  <c r="M127" i="2"/>
  <c r="E127" i="2" s="1"/>
  <c r="G127" i="2" s="1"/>
  <c r="D127" i="2"/>
  <c r="M126" i="2"/>
  <c r="E126" i="2" s="1"/>
  <c r="G126" i="2" s="1"/>
  <c r="D126" i="2"/>
  <c r="M125" i="2"/>
  <c r="I125" i="2"/>
  <c r="J125" i="2" s="1"/>
  <c r="E125" i="2"/>
  <c r="G125" i="2" s="1"/>
  <c r="D125" i="2"/>
  <c r="M123" i="2"/>
  <c r="E123" i="2"/>
  <c r="G123" i="2" s="1"/>
  <c r="D123" i="2"/>
  <c r="M122" i="2"/>
  <c r="E122" i="2"/>
  <c r="G122" i="2" s="1"/>
  <c r="D122" i="2"/>
  <c r="M121" i="2"/>
  <c r="E121" i="2"/>
  <c r="G121" i="2" s="1"/>
  <c r="D121" i="2"/>
  <c r="M120" i="2"/>
  <c r="E120" i="2" s="1"/>
  <c r="I120" i="2"/>
  <c r="G120" i="2"/>
  <c r="D120" i="2"/>
  <c r="M118" i="2"/>
  <c r="J118" i="2"/>
  <c r="I118" i="2"/>
  <c r="G118" i="2"/>
  <c r="E118" i="2"/>
  <c r="D118" i="2"/>
  <c r="M116" i="2"/>
  <c r="E116" i="2"/>
  <c r="G116" i="2" s="1"/>
  <c r="D116" i="2"/>
  <c r="M115" i="2"/>
  <c r="E115" i="2"/>
  <c r="G115" i="2" s="1"/>
  <c r="D115" i="2"/>
  <c r="M114" i="2"/>
  <c r="E114" i="2"/>
  <c r="G114" i="2" s="1"/>
  <c r="D114" i="2"/>
  <c r="M113" i="2"/>
  <c r="E113" i="2"/>
  <c r="G113" i="2" s="1"/>
  <c r="D113" i="2"/>
  <c r="M112" i="2"/>
  <c r="E112" i="2"/>
  <c r="G112" i="2" s="1"/>
  <c r="D112" i="2"/>
  <c r="M111" i="2"/>
  <c r="E111" i="2"/>
  <c r="G111" i="2" s="1"/>
  <c r="D111" i="2"/>
  <c r="M110" i="2"/>
  <c r="E110" i="2"/>
  <c r="G110" i="2" s="1"/>
  <c r="D110" i="2"/>
  <c r="M109" i="2"/>
  <c r="E109" i="2"/>
  <c r="G109" i="2" s="1"/>
  <c r="D109" i="2"/>
  <c r="M108" i="2"/>
  <c r="E108" i="2"/>
  <c r="G108" i="2" s="1"/>
  <c r="D108" i="2"/>
  <c r="M107" i="2"/>
  <c r="E107" i="2"/>
  <c r="G107" i="2" s="1"/>
  <c r="D107" i="2"/>
  <c r="M106" i="2"/>
  <c r="E106" i="2"/>
  <c r="G106" i="2" s="1"/>
  <c r="D106" i="2"/>
  <c r="M105" i="2"/>
  <c r="I105" i="2"/>
  <c r="E105" i="2"/>
  <c r="G105" i="2" s="1"/>
  <c r="D105" i="2"/>
  <c r="M103" i="2"/>
  <c r="G103" i="2"/>
  <c r="D103" i="2"/>
  <c r="M102" i="2"/>
  <c r="E102" i="2"/>
  <c r="G102" i="2" s="1"/>
  <c r="D102" i="2"/>
  <c r="M101" i="2"/>
  <c r="E101" i="2"/>
  <c r="G101" i="2" s="1"/>
  <c r="D101" i="2"/>
  <c r="M100" i="2"/>
  <c r="E100" i="2"/>
  <c r="G100" i="2" s="1"/>
  <c r="D100" i="2"/>
  <c r="M99" i="2"/>
  <c r="I99" i="2"/>
  <c r="J99" i="2" s="1"/>
  <c r="G99" i="2"/>
  <c r="E99" i="2"/>
  <c r="D99" i="2"/>
  <c r="E97" i="2"/>
  <c r="G97" i="2" s="1"/>
  <c r="D97" i="2"/>
  <c r="M96" i="2"/>
  <c r="E96" i="2"/>
  <c r="G96" i="2" s="1"/>
  <c r="D96" i="2"/>
  <c r="M95" i="2"/>
  <c r="E95" i="2"/>
  <c r="G95" i="2" s="1"/>
  <c r="D95" i="2"/>
  <c r="M94" i="2"/>
  <c r="E94" i="2"/>
  <c r="G94" i="2" s="1"/>
  <c r="D94" i="2"/>
  <c r="M93" i="2"/>
  <c r="E93" i="2"/>
  <c r="G93" i="2" s="1"/>
  <c r="D93" i="2"/>
  <c r="M92" i="2"/>
  <c r="E92" i="2"/>
  <c r="G92" i="2" s="1"/>
  <c r="D92" i="2"/>
  <c r="M91" i="2"/>
  <c r="E91" i="2"/>
  <c r="G91" i="2" s="1"/>
  <c r="D91" i="2"/>
  <c r="M90" i="2"/>
  <c r="E90" i="2"/>
  <c r="G90" i="2" s="1"/>
  <c r="D90" i="2"/>
  <c r="M89" i="2"/>
  <c r="E89" i="2"/>
  <c r="G89" i="2" s="1"/>
  <c r="D89" i="2"/>
  <c r="M88" i="2"/>
  <c r="I88" i="2"/>
  <c r="J88" i="2" s="1"/>
  <c r="E88" i="2"/>
  <c r="G88" i="2" s="1"/>
  <c r="D88" i="2"/>
  <c r="M86" i="2"/>
  <c r="E86" i="2" s="1"/>
  <c r="G86" i="2" s="1"/>
  <c r="D86" i="2"/>
  <c r="M85" i="2"/>
  <c r="E85" i="2" s="1"/>
  <c r="G85" i="2" s="1"/>
  <c r="D85" i="2"/>
  <c r="M84" i="2"/>
  <c r="E84" i="2" s="1"/>
  <c r="G84" i="2" s="1"/>
  <c r="D84" i="2"/>
  <c r="M83" i="2"/>
  <c r="I83" i="2"/>
  <c r="J83" i="2" s="1"/>
  <c r="E83" i="2"/>
  <c r="G83" i="2" s="1"/>
  <c r="D83" i="2"/>
  <c r="M81" i="2"/>
  <c r="E81" i="2"/>
  <c r="G81" i="2" s="1"/>
  <c r="D81" i="2"/>
  <c r="M80" i="2"/>
  <c r="E80" i="2"/>
  <c r="G80" i="2" s="1"/>
  <c r="D80" i="2"/>
  <c r="M79" i="2"/>
  <c r="E79" i="2"/>
  <c r="G79" i="2" s="1"/>
  <c r="D79" i="2"/>
  <c r="M78" i="2"/>
  <c r="E78" i="2"/>
  <c r="G78" i="2" s="1"/>
  <c r="D78" i="2"/>
  <c r="M77" i="2"/>
  <c r="E77" i="2"/>
  <c r="G77" i="2" s="1"/>
  <c r="D77" i="2"/>
  <c r="M76" i="2"/>
  <c r="I76" i="2"/>
  <c r="J76" i="2" s="1"/>
  <c r="E76" i="2"/>
  <c r="G76" i="2" s="1"/>
  <c r="D76" i="2"/>
  <c r="M74" i="2"/>
  <c r="E74" i="2" s="1"/>
  <c r="G74" i="2" s="1"/>
  <c r="D74" i="2"/>
  <c r="M73" i="2"/>
  <c r="E73" i="2" s="1"/>
  <c r="G73" i="2" s="1"/>
  <c r="D73" i="2"/>
  <c r="M72" i="2"/>
  <c r="E72" i="2" s="1"/>
  <c r="G72" i="2" s="1"/>
  <c r="D72" i="2"/>
  <c r="M71" i="2"/>
  <c r="E71" i="2" s="1"/>
  <c r="G71" i="2" s="1"/>
  <c r="D71" i="2"/>
  <c r="M70" i="2"/>
  <c r="E70" i="2" s="1"/>
  <c r="G70" i="2" s="1"/>
  <c r="D70" i="2"/>
  <c r="M69" i="2"/>
  <c r="E69" i="2" s="1"/>
  <c r="G69" i="2" s="1"/>
  <c r="D69" i="2"/>
  <c r="M68" i="2"/>
  <c r="E68" i="2" s="1"/>
  <c r="G68" i="2" s="1"/>
  <c r="D68" i="2"/>
  <c r="M67" i="2"/>
  <c r="E67" i="2" s="1"/>
  <c r="G67" i="2" s="1"/>
  <c r="D67" i="2"/>
  <c r="M66" i="2"/>
  <c r="E66" i="2" s="1"/>
  <c r="G66" i="2" s="1"/>
  <c r="D66" i="2"/>
  <c r="M65" i="2"/>
  <c r="E65" i="2" s="1"/>
  <c r="G65" i="2" s="1"/>
  <c r="I65" i="2"/>
  <c r="J65" i="2" s="1"/>
  <c r="D65" i="2"/>
  <c r="M63" i="2"/>
  <c r="E63" i="2"/>
  <c r="G63" i="2" s="1"/>
  <c r="D63" i="2"/>
  <c r="M62" i="2"/>
  <c r="E62" i="2"/>
  <c r="G62" i="2" s="1"/>
  <c r="D62" i="2"/>
  <c r="M61" i="2"/>
  <c r="E61" i="2" s="1"/>
  <c r="G61" i="2" s="1"/>
  <c r="I61" i="2"/>
  <c r="J61" i="2" s="1"/>
  <c r="D61" i="2"/>
  <c r="M59" i="2"/>
  <c r="E59" i="2" s="1"/>
  <c r="G59" i="2" s="1"/>
  <c r="D59" i="2"/>
  <c r="M58" i="2"/>
  <c r="E58" i="2" s="1"/>
  <c r="G58" i="2" s="1"/>
  <c r="D58" i="2"/>
  <c r="M57" i="2"/>
  <c r="E57" i="2" s="1"/>
  <c r="G57" i="2" s="1"/>
  <c r="D57" i="2"/>
  <c r="M56" i="2"/>
  <c r="E56" i="2" s="1"/>
  <c r="G56" i="2" s="1"/>
  <c r="D56" i="2"/>
  <c r="M55" i="2"/>
  <c r="E55" i="2" s="1"/>
  <c r="G55" i="2" s="1"/>
  <c r="D55" i="2"/>
  <c r="M54" i="2"/>
  <c r="E54" i="2" s="1"/>
  <c r="G54" i="2" s="1"/>
  <c r="D54" i="2"/>
  <c r="M53" i="2"/>
  <c r="E53" i="2" s="1"/>
  <c r="G53" i="2" s="1"/>
  <c r="D53" i="2"/>
  <c r="M52" i="2"/>
  <c r="E52" i="2" s="1"/>
  <c r="G52" i="2" s="1"/>
  <c r="D52" i="2"/>
  <c r="M51" i="2"/>
  <c r="E51" i="2" s="1"/>
  <c r="G51" i="2" s="1"/>
  <c r="D51" i="2"/>
  <c r="M50" i="2"/>
  <c r="E50" i="2" s="1"/>
  <c r="G50" i="2" s="1"/>
  <c r="D50" i="2"/>
  <c r="M49" i="2"/>
  <c r="M48" i="2"/>
  <c r="F48" i="2"/>
  <c r="E48" i="2"/>
  <c r="G48" i="2" s="1"/>
  <c r="D48" i="2"/>
  <c r="M47" i="2"/>
  <c r="E47" i="2"/>
  <c r="G47" i="2" s="1"/>
  <c r="D47" i="2"/>
  <c r="M46" i="2"/>
  <c r="E46" i="2"/>
  <c r="G46" i="2" s="1"/>
  <c r="D46" i="2"/>
  <c r="M45" i="2"/>
  <c r="E45" i="2"/>
  <c r="G45" i="2" s="1"/>
  <c r="D45" i="2"/>
  <c r="M44" i="2"/>
  <c r="E44" i="2"/>
  <c r="G44" i="2" s="1"/>
  <c r="D44" i="2"/>
  <c r="M43" i="2"/>
  <c r="E43" i="2"/>
  <c r="G43" i="2" s="1"/>
  <c r="D43" i="2"/>
  <c r="M42" i="2"/>
  <c r="E42" i="2" s="1"/>
  <c r="G42" i="2" s="1"/>
  <c r="F42" i="2"/>
  <c r="D42" i="2"/>
  <c r="M41" i="2"/>
  <c r="E41" i="2" s="1"/>
  <c r="G41" i="2"/>
  <c r="D41" i="2"/>
  <c r="M40" i="2"/>
  <c r="E40" i="2" s="1"/>
  <c r="G40" i="2" s="1"/>
  <c r="D40" i="2"/>
  <c r="M39" i="2"/>
  <c r="E39" i="2" s="1"/>
  <c r="G39" i="2"/>
  <c r="D39" i="2"/>
  <c r="M38" i="2"/>
  <c r="J38" i="2"/>
  <c r="I38" i="2"/>
  <c r="E38" i="2"/>
  <c r="G38" i="2" s="1"/>
  <c r="D38" i="2"/>
  <c r="M36" i="2"/>
  <c r="E36" i="2"/>
  <c r="G36" i="2" s="1"/>
  <c r="D36" i="2"/>
  <c r="M35" i="2"/>
  <c r="E35" i="2"/>
  <c r="G35" i="2" s="1"/>
  <c r="D35" i="2"/>
  <c r="M34" i="2"/>
  <c r="E34" i="2"/>
  <c r="G34" i="2" s="1"/>
  <c r="D34" i="2"/>
  <c r="M33" i="2"/>
  <c r="E33" i="2"/>
  <c r="G33" i="2" s="1"/>
  <c r="D33" i="2"/>
  <c r="M32" i="2"/>
  <c r="E32" i="2"/>
  <c r="G32" i="2" s="1"/>
  <c r="D32" i="2"/>
  <c r="M31" i="2"/>
  <c r="E31" i="2"/>
  <c r="G31" i="2" s="1"/>
  <c r="D31" i="2"/>
  <c r="M30" i="2"/>
  <c r="E30" i="2"/>
  <c r="G30" i="2" s="1"/>
  <c r="D30" i="2"/>
  <c r="M29" i="2"/>
  <c r="E29" i="2"/>
  <c r="G29" i="2" s="1"/>
  <c r="D29" i="2"/>
  <c r="M28" i="2"/>
  <c r="E28" i="2"/>
  <c r="G28" i="2" s="1"/>
  <c r="D28" i="2"/>
  <c r="M27" i="2"/>
  <c r="E27" i="2"/>
  <c r="G27" i="2" s="1"/>
  <c r="D27" i="2"/>
  <c r="M26" i="2"/>
  <c r="E26" i="2"/>
  <c r="G26" i="2" s="1"/>
  <c r="D26" i="2"/>
  <c r="M25" i="2"/>
  <c r="I25" i="2"/>
  <c r="E25" i="2"/>
  <c r="G25" i="2" s="1"/>
  <c r="D25" i="2"/>
  <c r="M23" i="2"/>
  <c r="E23" i="2"/>
  <c r="G23" i="2" s="1"/>
  <c r="D23" i="2"/>
  <c r="M22" i="2"/>
  <c r="E22" i="2"/>
  <c r="G22" i="2" s="1"/>
  <c r="D22" i="2"/>
  <c r="M21" i="2"/>
  <c r="E21" i="2"/>
  <c r="G21" i="2" s="1"/>
  <c r="D21" i="2"/>
  <c r="M20" i="2"/>
  <c r="I20" i="2"/>
  <c r="J20" i="2" s="1"/>
  <c r="E20" i="2"/>
  <c r="G20" i="2" s="1"/>
  <c r="D20" i="2"/>
  <c r="M18" i="2"/>
  <c r="E18" i="2" s="1"/>
  <c r="G18" i="2" s="1"/>
  <c r="D18" i="2"/>
  <c r="M17" i="2"/>
  <c r="E17" i="2" s="1"/>
  <c r="G17" i="2" s="1"/>
  <c r="D17" i="2"/>
  <c r="M16" i="2"/>
  <c r="E16" i="2" s="1"/>
  <c r="G16" i="2" s="1"/>
  <c r="I16" i="2"/>
  <c r="J16" i="2" s="1"/>
  <c r="D16" i="2"/>
  <c r="M14" i="2"/>
  <c r="E14" i="2"/>
  <c r="G14" i="2" s="1"/>
  <c r="D14" i="2"/>
  <c r="M13" i="2"/>
  <c r="E13" i="2"/>
  <c r="G13" i="2" s="1"/>
  <c r="D13" i="2"/>
  <c r="M12" i="2"/>
  <c r="E12" i="2"/>
  <c r="G12" i="2" s="1"/>
  <c r="D12" i="2"/>
  <c r="M11" i="2"/>
  <c r="E11" i="2"/>
  <c r="G11" i="2" s="1"/>
  <c r="D11" i="2"/>
  <c r="M10" i="2"/>
  <c r="E10" i="2"/>
  <c r="G10" i="2" s="1"/>
  <c r="D10" i="2"/>
  <c r="M9" i="2"/>
  <c r="E9" i="2"/>
  <c r="G9" i="2" s="1"/>
  <c r="D9" i="2"/>
  <c r="M8" i="2"/>
  <c r="E8" i="2"/>
  <c r="G8" i="2" s="1"/>
  <c r="D8" i="2"/>
  <c r="M7" i="2"/>
  <c r="I7" i="2"/>
  <c r="J7" i="2" s="1"/>
  <c r="J173" i="2" s="1"/>
  <c r="E7" i="2"/>
  <c r="G7" i="2" s="1"/>
  <c r="D7" i="2"/>
  <c r="G173" i="9" l="1"/>
  <c r="G174" i="9" s="1"/>
  <c r="J173" i="9"/>
  <c r="G173" i="8"/>
  <c r="G174" i="8" s="1"/>
  <c r="J173" i="8"/>
  <c r="G42" i="8"/>
  <c r="G173" i="7"/>
  <c r="G174" i="7" s="1"/>
  <c r="J173" i="7"/>
  <c r="G173" i="6"/>
  <c r="G174" i="6" s="1"/>
  <c r="G173" i="5"/>
  <c r="G174" i="5" s="1"/>
  <c r="G173" i="4"/>
  <c r="G174" i="4" s="1"/>
  <c r="J173" i="3"/>
  <c r="G173" i="3"/>
  <c r="G174" i="3" s="1"/>
  <c r="G173" i="2"/>
  <c r="G174" i="2" s="1"/>
</calcChain>
</file>

<file path=xl/sharedStrings.xml><?xml version="1.0" encoding="utf-8"?>
<sst xmlns="http://schemas.openxmlformats.org/spreadsheetml/2006/main" count="1657" uniqueCount="167">
  <si>
    <t>LOKASI</t>
  </si>
  <si>
    <t>ILALANG 01</t>
  </si>
  <si>
    <t>TYPE</t>
  </si>
  <si>
    <t>No.</t>
  </si>
  <si>
    <t>URAIAN PEKERJAAN</t>
  </si>
  <si>
    <t>BAHAN</t>
  </si>
  <si>
    <t xml:space="preserve">HARGA BAHAN </t>
  </si>
  <si>
    <t>TOTAL HARGA</t>
  </si>
  <si>
    <t>UPAH</t>
  </si>
  <si>
    <t xml:space="preserve">BORONGAN </t>
  </si>
  <si>
    <t>UNTUNG/RUGI</t>
  </si>
  <si>
    <t>PROGRES</t>
  </si>
  <si>
    <t>BAKU</t>
  </si>
  <si>
    <t>OUT</t>
  </si>
  <si>
    <t>( Rp )</t>
  </si>
  <si>
    <t>A</t>
  </si>
  <si>
    <t>PONDASI</t>
  </si>
  <si>
    <t>Besi ø6</t>
  </si>
  <si>
    <t>Besi ø8 Ulir</t>
  </si>
  <si>
    <t>Kayu 3/5</t>
  </si>
  <si>
    <t>Cerucuk</t>
  </si>
  <si>
    <t>Papan Mal</t>
  </si>
  <si>
    <t xml:space="preserve">Pasir </t>
  </si>
  <si>
    <t>Batu</t>
  </si>
  <si>
    <t>Semen PCC 40 Kg Tiga Roda</t>
  </si>
  <si>
    <t>B</t>
  </si>
  <si>
    <t>URUG</t>
  </si>
  <si>
    <t>Pipa 4"</t>
  </si>
  <si>
    <t>Pipa 2"</t>
  </si>
  <si>
    <t>C</t>
  </si>
  <si>
    <t>COR LANTAI</t>
  </si>
  <si>
    <t>Pasir</t>
  </si>
  <si>
    <t>Plastik cor</t>
  </si>
  <si>
    <t>D</t>
  </si>
  <si>
    <t>PINTU</t>
  </si>
  <si>
    <t>Pintu Kayu 120 x 220</t>
  </si>
  <si>
    <t>Pintu Kayu 80 x 220</t>
  </si>
  <si>
    <t>Pintu WC PVC Biru</t>
  </si>
  <si>
    <t>Pintu WC Edenjoice Putih</t>
  </si>
  <si>
    <t>Engsel Pintu 4"</t>
  </si>
  <si>
    <t>Peganggan pintu 2 daun</t>
  </si>
  <si>
    <t>Pengunci Pintu 2 daun</t>
  </si>
  <si>
    <t>Pegangan kunci 1 daun</t>
  </si>
  <si>
    <t xml:space="preserve">Avian </t>
  </si>
  <si>
    <t>Tinner Nb Kaleng</t>
  </si>
  <si>
    <t>Slot 6 "</t>
  </si>
  <si>
    <t>Slot 4"</t>
  </si>
  <si>
    <t>E</t>
  </si>
  <si>
    <t>BATA</t>
  </si>
  <si>
    <t>Papan</t>
  </si>
  <si>
    <t xml:space="preserve">Besi ø8 </t>
  </si>
  <si>
    <t xml:space="preserve">Besi ø6 </t>
  </si>
  <si>
    <t>Kusen Pintu ( 2 Daun )</t>
  </si>
  <si>
    <t>Kusen Pintu ( 1 Daun )</t>
  </si>
  <si>
    <t>Bata</t>
  </si>
  <si>
    <t>F</t>
  </si>
  <si>
    <t>Cor Tiang Depan</t>
  </si>
  <si>
    <t>Besi ø8</t>
  </si>
  <si>
    <t>Multiplek</t>
  </si>
  <si>
    <t>G</t>
  </si>
  <si>
    <t>PLASTER</t>
  </si>
  <si>
    <t xml:space="preserve"> </t>
  </si>
  <si>
    <t>Pipa 5/8</t>
  </si>
  <si>
    <t>H</t>
  </si>
  <si>
    <t>ATAP</t>
  </si>
  <si>
    <t>Kayu 4/6</t>
  </si>
  <si>
    <t>Kayu 5/7</t>
  </si>
  <si>
    <t>Lisplank</t>
  </si>
  <si>
    <t>Seng  Metal 4 Susun (merah)</t>
  </si>
  <si>
    <t>Seng  Metal 2 Susun (hitam)</t>
  </si>
  <si>
    <t>Perabung Hitam</t>
  </si>
  <si>
    <t>Perabung Merah</t>
  </si>
  <si>
    <t>Paku 2 inch</t>
  </si>
  <si>
    <t>Paku 3 inch</t>
  </si>
  <si>
    <t>I</t>
  </si>
  <si>
    <t>DEK</t>
  </si>
  <si>
    <t>Gypsum</t>
  </si>
  <si>
    <t>Baut</t>
  </si>
  <si>
    <t>Paku Beton 4 inch</t>
  </si>
  <si>
    <t>Paku 3 imch</t>
  </si>
  <si>
    <t>paku 2 inch</t>
  </si>
  <si>
    <t>J</t>
  </si>
  <si>
    <t>MINIMALIS</t>
  </si>
  <si>
    <t>Keramik 60 x 60 Blackmatt</t>
  </si>
  <si>
    <t>K</t>
  </si>
  <si>
    <t>CARPORT</t>
  </si>
  <si>
    <t>L</t>
  </si>
  <si>
    <t>KERAMIK</t>
  </si>
  <si>
    <t>Keramik 60 x 60 Cream</t>
  </si>
  <si>
    <t>Oker</t>
  </si>
  <si>
    <t>M</t>
  </si>
  <si>
    <t>WC</t>
  </si>
  <si>
    <t xml:space="preserve">Keramik 30 x 30 </t>
  </si>
  <si>
    <t>Keramik 25 x 40</t>
  </si>
  <si>
    <t>Closed jongkok Ina</t>
  </si>
  <si>
    <t>Closed Duduk Volk</t>
  </si>
  <si>
    <t>Floor drain</t>
  </si>
  <si>
    <t>Bak Air</t>
  </si>
  <si>
    <t>Pipa 1/2"</t>
  </si>
  <si>
    <t>Lbow 1/2"</t>
  </si>
  <si>
    <t>Kran Air Plastik 1/2"</t>
  </si>
  <si>
    <t>SDD 1/2"</t>
  </si>
  <si>
    <t>N</t>
  </si>
  <si>
    <t>ACI MINIMALIS</t>
  </si>
  <si>
    <t>Semen TR-30 40 Kg Tiga Roda</t>
  </si>
  <si>
    <t>O</t>
  </si>
  <si>
    <t>CAT</t>
  </si>
  <si>
    <t>Mowilex weathercoat</t>
  </si>
  <si>
    <t>Nippon pain  Q--luc</t>
  </si>
  <si>
    <t>Semen Aci Putih 25 kg</t>
  </si>
  <si>
    <t>P</t>
  </si>
  <si>
    <t>PAGAR</t>
  </si>
  <si>
    <t>Q</t>
  </si>
  <si>
    <t>MINIMALIS CARPORT</t>
  </si>
  <si>
    <t>R</t>
  </si>
  <si>
    <t>TALANG AIR</t>
  </si>
  <si>
    <t>Pipa 3"</t>
  </si>
  <si>
    <t>Pipa 2 "</t>
  </si>
  <si>
    <t>Cekakan pipa 2 "</t>
  </si>
  <si>
    <t>Lbow 3" ke 2"</t>
  </si>
  <si>
    <t>Sambungan 3" ke 2"</t>
  </si>
  <si>
    <t>Lbow 2"</t>
  </si>
  <si>
    <t>Penutup pipa 3"</t>
  </si>
  <si>
    <t xml:space="preserve">Lem pipa fox </t>
  </si>
  <si>
    <t>S</t>
  </si>
  <si>
    <t xml:space="preserve">JENDELA </t>
  </si>
  <si>
    <t>Aluminium white ink (openback)</t>
  </si>
  <si>
    <t>Aluminium white ink (m)</t>
  </si>
  <si>
    <t>Aluminium white ink (stoper casmen)</t>
  </si>
  <si>
    <t>List ornamen 20 mm white(0117,4)</t>
  </si>
  <si>
    <t>Klem sedang 13 x 26 x1,4 mm (KSD)</t>
  </si>
  <si>
    <t>Karet C besar htm 35 m (0788)</t>
  </si>
  <si>
    <t>Karet cacing htm 35 m (606lkh)</t>
  </si>
  <si>
    <t>Rambuncis dks white kanan (425,4)</t>
  </si>
  <si>
    <t>Rambuncis dks white kiri (425,4)</t>
  </si>
  <si>
    <t>Engsel casment glatino 8 inch</t>
  </si>
  <si>
    <t>Marks sosis black 620 ml (msb)</t>
  </si>
  <si>
    <t>Sekrup 8 x 3 rata</t>
  </si>
  <si>
    <t>Sekrup 8 x 1,5 rata @ 50 pcs</t>
  </si>
  <si>
    <t>Sekrup 8 x 1 bulat</t>
  </si>
  <si>
    <t>Sekrup 8 x 0,5 rata</t>
  </si>
  <si>
    <t>Rivet gt 429</t>
  </si>
  <si>
    <t>Fisher S6 vini star</t>
  </si>
  <si>
    <t>Reben 5, 203 cm x 102 cm asahi (r8040)</t>
  </si>
  <si>
    <t>Marks sosis white 620 ml (msw)</t>
  </si>
  <si>
    <t>T</t>
  </si>
  <si>
    <t>ELEKTICAL</t>
  </si>
  <si>
    <t>Saklar tunggal broco</t>
  </si>
  <si>
    <t>Saklar dobel broco</t>
  </si>
  <si>
    <t>Stop kontak tunggal broco</t>
  </si>
  <si>
    <t>Kabel NYA 1,5 Eterna (100m)</t>
  </si>
  <si>
    <t>Kabel NYA 2,5 Eterna (100m)</t>
  </si>
  <si>
    <t>Kabel NYM 2 x 1,5 Jumbo (50m)</t>
  </si>
  <si>
    <t>Kabel NYM 2 x 2,5 Jumbo (50m)</t>
  </si>
  <si>
    <t>Mcb 10A Powell</t>
  </si>
  <si>
    <t>Box Mcb tanam 3 grup</t>
  </si>
  <si>
    <t>`</t>
  </si>
  <si>
    <t>Mcb Kwh 1300 amper</t>
  </si>
  <si>
    <t>JUMLAH TOTAL</t>
  </si>
  <si>
    <t>( TOTAL HARGA BAHAN + TOTAL HK )</t>
  </si>
  <si>
    <t>KARYA HILS 01</t>
  </si>
  <si>
    <t>PELANGI 01</t>
  </si>
  <si>
    <t>ILALANG 02</t>
  </si>
  <si>
    <t>PELANGI 04</t>
  </si>
  <si>
    <t>SUKABASUKI</t>
  </si>
  <si>
    <t>RIDHO 01</t>
  </si>
  <si>
    <t>PELANGI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</si>
</sst>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2" formatCode="_(&quot;Rp&quot;* #,##0_);_(&quot;Rp&quot;* \(#,##0\);_(&quot;Rp&quot;* &quot;-&quot;_);_(@_)"/>
    <numFmt numFmtId="41" formatCode="_(* #,##0_);_(* \(#,##0\);_(* &quot;-&quot;_);_(@_)"/>
    <numFmt numFmtId="164" formatCode="_-[$Rp-421]* #,##0_-;\-[$Rp-421]* #,##0_-;_-[$Rp-421]* &quot;-&quot;_-;_-@_-"/>
    <numFmt numFmtId="165" formatCode="_-[$Rp-421]* #,##0.00_-;\-[$Rp-421]* #,##0.00_-;_-[$Rp-421]* &quot;-&quot;??_-;_-@_-"/>
    <numFmt numFmtId="166" formatCode="_-[$Rp-421]* #,##0_-;\-[$Rp-421]* #,##0_-;_-[$Rp-421]* &quot;-&quot;??_-;_-@_-"/>
    <numFmt numFmtId="167" formatCode="_-&quot;Rp&quot;* #,##0_-;\-&quot;Rp&quot;* #,##0_-;_-&quot;Rp&quot;* &quot;-&quot;??_-;_-@_-"/>
    <numFmt numFmtId="168" formatCode="_-* #,##0.00_-;\-* #,##0.00_-;_-* &quot;-&quot;??_-;_-@_-"/>
    <numFmt numFmtId="169" formatCode="_-&quot;Rp&quot;* #,##0.00_-;\-&quot;Rp&quot;* #,##0.00_-;_-&quot;Rp&quot;* &quot;-&quot;??_-;_-@_-"/>
    <numFmt numFmtId="170" formatCode="_([$Rp-421]* #,##0_);_([$Rp-421]* \(#,##0\);_([$Rp-421]* &quot;-&quot;??_);_(@_)"/>
    <numFmt numFmtId="171" formatCode="_([$Rp-421]* #,##0.00_);_([$Rp-421]* \(#,##0.00\);_([$Rp-421]* &quot;-&quot;??_);_(@_)"/>
  </numFmts>
  <fonts count="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Agency FB"/>
      <family val="2"/>
    </font>
    <font>
      <b/>
      <sz val="12"/>
      <color rgb="FFFF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</cellStyleXfs>
  <cellXfs count="221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9" fontId="3" fillId="0" borderId="5" xfId="3" applyFont="1" applyBorder="1" applyAlignment="1"/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164" fontId="3" fillId="0" borderId="7" xfId="0" applyNumberFormat="1" applyFont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9" fontId="3" fillId="0" borderId="10" xfId="3" applyFont="1" applyBorder="1" applyAlignment="1"/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165" fontId="3" fillId="0" borderId="0" xfId="0" applyNumberFormat="1" applyFont="1"/>
    <xf numFmtId="0" fontId="3" fillId="4" borderId="15" xfId="0" applyFont="1" applyFill="1" applyBorder="1" applyAlignment="1">
      <alignment vertical="center"/>
    </xf>
    <xf numFmtId="0" fontId="3" fillId="4" borderId="13" xfId="0" applyFont="1" applyFill="1" applyBorder="1" applyAlignment="1">
      <alignment vertical="center"/>
    </xf>
    <xf numFmtId="164" fontId="3" fillId="4" borderId="13" xfId="0" applyNumberFormat="1" applyFont="1" applyFill="1" applyBorder="1" applyAlignment="1">
      <alignment vertical="center"/>
    </xf>
    <xf numFmtId="164" fontId="3" fillId="4" borderId="13" xfId="0" applyNumberFormat="1" applyFont="1" applyFill="1" applyBorder="1" applyAlignment="1">
      <alignment horizontal="center" vertical="center"/>
    </xf>
    <xf numFmtId="166" fontId="3" fillId="4" borderId="13" xfId="0" applyNumberFormat="1" applyFont="1" applyFill="1" applyBorder="1" applyAlignment="1">
      <alignment horizontal="center" vertical="center"/>
    </xf>
    <xf numFmtId="9" fontId="3" fillId="4" borderId="14" xfId="3" applyFont="1" applyFill="1" applyBorder="1" applyAlignment="1">
      <alignment vertical="center"/>
    </xf>
    <xf numFmtId="0" fontId="3" fillId="4" borderId="12" xfId="0" applyFont="1" applyFill="1" applyBorder="1" applyAlignment="1">
      <alignment vertical="center"/>
    </xf>
    <xf numFmtId="167" fontId="3" fillId="4" borderId="13" xfId="0" applyNumberFormat="1" applyFont="1" applyFill="1" applyBorder="1" applyAlignment="1">
      <alignment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vertical="center"/>
    </xf>
    <xf numFmtId="0" fontId="3" fillId="3" borderId="17" xfId="0" applyFont="1" applyFill="1" applyBorder="1" applyAlignment="1">
      <alignment vertical="center"/>
    </xf>
    <xf numFmtId="164" fontId="3" fillId="3" borderId="17" xfId="0" applyNumberFormat="1" applyFont="1" applyFill="1" applyBorder="1" applyAlignment="1">
      <alignment vertical="center"/>
    </xf>
    <xf numFmtId="0" fontId="3" fillId="3" borderId="18" xfId="0" applyFont="1" applyFill="1" applyBorder="1" applyAlignment="1">
      <alignment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left" vertical="center"/>
    </xf>
    <xf numFmtId="0" fontId="2" fillId="3" borderId="13" xfId="0" applyFont="1" applyFill="1" applyBorder="1" applyAlignment="1">
      <alignment horizontal="center" vertical="center"/>
    </xf>
    <xf numFmtId="164" fontId="2" fillId="3" borderId="13" xfId="4" applyNumberFormat="1" applyFont="1" applyFill="1" applyBorder="1" applyAlignment="1">
      <alignment horizontal="center" vertical="center"/>
    </xf>
    <xf numFmtId="166" fontId="2" fillId="3" borderId="13" xfId="5" applyNumberFormat="1" applyFont="1" applyFill="1" applyBorder="1" applyAlignment="1">
      <alignment horizontal="center" vertical="center"/>
    </xf>
    <xf numFmtId="164" fontId="3" fillId="3" borderId="19" xfId="0" applyNumberFormat="1" applyFont="1" applyFill="1" applyBorder="1" applyAlignment="1">
      <alignment horizontal="center" vertical="center"/>
    </xf>
    <xf numFmtId="167" fontId="2" fillId="3" borderId="19" xfId="4" applyNumberFormat="1" applyFont="1" applyFill="1" applyBorder="1" applyAlignment="1">
      <alignment vertical="center"/>
    </xf>
    <xf numFmtId="9" fontId="2" fillId="3" borderId="20" xfId="3" applyFont="1" applyFill="1" applyBorder="1" applyAlignment="1">
      <alignment horizontal="center" vertical="center"/>
    </xf>
    <xf numFmtId="164" fontId="3" fillId="3" borderId="21" xfId="0" applyNumberFormat="1" applyFont="1" applyFill="1" applyBorder="1" applyAlignment="1">
      <alignment horizontal="center" vertical="center"/>
    </xf>
    <xf numFmtId="167" fontId="2" fillId="3" borderId="21" xfId="4" applyNumberFormat="1" applyFont="1" applyFill="1" applyBorder="1" applyAlignment="1">
      <alignment vertical="center"/>
    </xf>
    <xf numFmtId="9" fontId="2" fillId="3" borderId="22" xfId="3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vertical="center"/>
    </xf>
    <xf numFmtId="164" fontId="2" fillId="3" borderId="13" xfId="4" applyNumberFormat="1" applyFont="1" applyFill="1" applyBorder="1" applyAlignment="1">
      <alignment vertical="center"/>
    </xf>
    <xf numFmtId="164" fontId="3" fillId="3" borderId="12" xfId="0" applyNumberFormat="1" applyFont="1" applyFill="1" applyBorder="1" applyAlignment="1">
      <alignment horizontal="center" vertical="center"/>
    </xf>
    <xf numFmtId="167" fontId="2" fillId="3" borderId="12" xfId="4" applyNumberFormat="1" applyFont="1" applyFill="1" applyBorder="1" applyAlignment="1">
      <alignment vertical="center"/>
    </xf>
    <xf numFmtId="9" fontId="2" fillId="3" borderId="10" xfId="3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left" vertical="center"/>
    </xf>
    <xf numFmtId="42" fontId="2" fillId="3" borderId="19" xfId="2" applyFont="1" applyFill="1" applyBorder="1" applyAlignment="1">
      <alignment horizontal="center" vertical="center"/>
    </xf>
    <xf numFmtId="167" fontId="2" fillId="3" borderId="19" xfId="4" applyNumberFormat="1" applyFont="1" applyFill="1" applyBorder="1" applyAlignment="1">
      <alignment horizontal="center" vertical="center"/>
    </xf>
    <xf numFmtId="42" fontId="2" fillId="3" borderId="21" xfId="2" applyFont="1" applyFill="1" applyBorder="1" applyAlignment="1">
      <alignment horizontal="center" vertical="center"/>
    </xf>
    <xf numFmtId="167" fontId="2" fillId="3" borderId="21" xfId="4" applyNumberFormat="1" applyFont="1" applyFill="1" applyBorder="1" applyAlignment="1">
      <alignment horizontal="center" vertical="center"/>
    </xf>
    <xf numFmtId="42" fontId="2" fillId="3" borderId="12" xfId="2" applyFont="1" applyFill="1" applyBorder="1" applyAlignment="1">
      <alignment horizontal="center" vertical="center"/>
    </xf>
    <xf numFmtId="167" fontId="2" fillId="3" borderId="12" xfId="4" applyNumberFormat="1" applyFont="1" applyFill="1" applyBorder="1" applyAlignment="1">
      <alignment horizontal="center" vertical="center"/>
    </xf>
    <xf numFmtId="164" fontId="2" fillId="3" borderId="13" xfId="4" applyNumberFormat="1" applyFont="1" applyFill="1" applyBorder="1" applyAlignment="1">
      <alignment horizontal="right"/>
    </xf>
    <xf numFmtId="0" fontId="3" fillId="3" borderId="13" xfId="0" applyFont="1" applyFill="1" applyBorder="1" applyAlignment="1">
      <alignment vertical="center"/>
    </xf>
    <xf numFmtId="166" fontId="2" fillId="3" borderId="13" xfId="5" applyNumberFormat="1" applyFont="1" applyFill="1" applyBorder="1" applyAlignment="1">
      <alignment vertical="center"/>
    </xf>
    <xf numFmtId="0" fontId="2" fillId="3" borderId="13" xfId="0" applyFont="1" applyFill="1" applyBorder="1" applyAlignment="1">
      <alignment horizontal="center" vertical="center"/>
    </xf>
    <xf numFmtId="164" fontId="3" fillId="3" borderId="13" xfId="0" applyNumberFormat="1" applyFont="1" applyFill="1" applyBorder="1" applyAlignment="1">
      <alignment horizontal="center" vertical="center"/>
    </xf>
    <xf numFmtId="167" fontId="2" fillId="3" borderId="13" xfId="0" applyNumberFormat="1" applyFont="1" applyFill="1" applyBorder="1" applyAlignment="1">
      <alignment horizontal="center" vertical="center"/>
    </xf>
    <xf numFmtId="9" fontId="2" fillId="3" borderId="13" xfId="3" applyFont="1" applyFill="1" applyBorder="1" applyAlignment="1">
      <alignment horizontal="center" vertical="center"/>
    </xf>
    <xf numFmtId="164" fontId="2" fillId="3" borderId="13" xfId="4" applyNumberFormat="1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left" vertical="top"/>
    </xf>
    <xf numFmtId="0" fontId="2" fillId="3" borderId="0" xfId="0" applyFont="1" applyFill="1"/>
    <xf numFmtId="166" fontId="2" fillId="3" borderId="16" xfId="5" applyNumberFormat="1" applyFont="1" applyFill="1" applyBorder="1" applyAlignment="1">
      <alignment horizontal="center" vertical="center"/>
    </xf>
    <xf numFmtId="42" fontId="3" fillId="3" borderId="13" xfId="2" applyFont="1" applyFill="1" applyBorder="1" applyAlignment="1">
      <alignment horizontal="center" vertical="center"/>
    </xf>
    <xf numFmtId="164" fontId="3" fillId="3" borderId="13" xfId="0" applyNumberFormat="1" applyFont="1" applyFill="1" applyBorder="1" applyAlignment="1">
      <alignment vertical="center"/>
    </xf>
    <xf numFmtId="9" fontId="3" fillId="3" borderId="13" xfId="3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vertical="center"/>
    </xf>
    <xf numFmtId="0" fontId="2" fillId="3" borderId="13" xfId="0" applyFont="1" applyFill="1" applyBorder="1" applyAlignment="1">
      <alignment horizontal="left" vertical="top"/>
    </xf>
    <xf numFmtId="0" fontId="3" fillId="3" borderId="17" xfId="0" applyFont="1" applyFill="1" applyBorder="1" applyAlignment="1">
      <alignment vertical="top"/>
    </xf>
    <xf numFmtId="0" fontId="3" fillId="3" borderId="23" xfId="0" applyFont="1" applyFill="1" applyBorder="1" applyAlignment="1">
      <alignment vertical="top"/>
    </xf>
    <xf numFmtId="166" fontId="2" fillId="3" borderId="13" xfId="5" applyNumberFormat="1" applyFont="1" applyFill="1" applyBorder="1" applyAlignment="1">
      <alignment horizontal="left"/>
    </xf>
    <xf numFmtId="164" fontId="3" fillId="3" borderId="19" xfId="1" applyNumberFormat="1" applyFont="1" applyFill="1" applyBorder="1" applyAlignment="1">
      <alignment horizontal="center" vertical="center"/>
    </xf>
    <xf numFmtId="167" fontId="5" fillId="3" borderId="19" xfId="5" applyNumberFormat="1" applyFont="1" applyFill="1" applyBorder="1" applyAlignment="1">
      <alignment vertical="center"/>
    </xf>
    <xf numFmtId="164" fontId="3" fillId="3" borderId="21" xfId="1" applyNumberFormat="1" applyFont="1" applyFill="1" applyBorder="1" applyAlignment="1">
      <alignment horizontal="center" vertical="center"/>
    </xf>
    <xf numFmtId="167" fontId="5" fillId="3" borderId="21" xfId="5" applyNumberFormat="1" applyFont="1" applyFill="1" applyBorder="1" applyAlignment="1">
      <alignment vertical="center"/>
    </xf>
    <xf numFmtId="164" fontId="3" fillId="3" borderId="12" xfId="1" applyNumberFormat="1" applyFont="1" applyFill="1" applyBorder="1" applyAlignment="1">
      <alignment horizontal="center" vertical="center"/>
    </xf>
    <xf numFmtId="167" fontId="5" fillId="3" borderId="12" xfId="5" applyNumberFormat="1" applyFont="1" applyFill="1" applyBorder="1" applyAlignment="1">
      <alignment vertical="center"/>
    </xf>
    <xf numFmtId="166" fontId="2" fillId="3" borderId="13" xfId="1" applyNumberFormat="1" applyFont="1" applyFill="1" applyBorder="1" applyAlignment="1">
      <alignment horizontal="right" vertical="center"/>
    </xf>
    <xf numFmtId="164" fontId="5" fillId="3" borderId="19" xfId="0" applyNumberFormat="1" applyFont="1" applyFill="1" applyBorder="1" applyAlignment="1">
      <alignment vertical="center"/>
    </xf>
    <xf numFmtId="9" fontId="2" fillId="3" borderId="19" xfId="3" applyFont="1" applyFill="1" applyBorder="1" applyAlignment="1">
      <alignment horizontal="center" vertical="center"/>
    </xf>
    <xf numFmtId="164" fontId="2" fillId="3" borderId="13" xfId="1" applyNumberFormat="1" applyFont="1" applyFill="1" applyBorder="1" applyAlignment="1">
      <alignment horizontal="right" vertical="center"/>
    </xf>
    <xf numFmtId="0" fontId="5" fillId="3" borderId="21" xfId="0" applyFont="1" applyFill="1" applyBorder="1" applyAlignment="1">
      <alignment vertical="center"/>
    </xf>
    <xf numFmtId="9" fontId="2" fillId="3" borderId="21" xfId="3" applyFont="1" applyFill="1" applyBorder="1" applyAlignment="1">
      <alignment horizontal="center" vertical="center"/>
    </xf>
    <xf numFmtId="164" fontId="2" fillId="3" borderId="13" xfId="4" applyNumberFormat="1" applyFont="1" applyFill="1" applyBorder="1" applyAlignment="1">
      <alignment horizontal="right" vertical="center"/>
    </xf>
    <xf numFmtId="0" fontId="5" fillId="3" borderId="12" xfId="0" applyFont="1" applyFill="1" applyBorder="1" applyAlignment="1">
      <alignment vertical="center"/>
    </xf>
    <xf numFmtId="9" fontId="2" fillId="3" borderId="12" xfId="3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vertical="center"/>
    </xf>
    <xf numFmtId="164" fontId="3" fillId="5" borderId="17" xfId="0" applyNumberFormat="1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2" fillId="3" borderId="15" xfId="0" applyFont="1" applyFill="1" applyBorder="1" applyAlignment="1">
      <alignment horizontal="center" vertical="top"/>
    </xf>
    <xf numFmtId="0" fontId="2" fillId="3" borderId="13" xfId="0" applyFont="1" applyFill="1" applyBorder="1" applyAlignment="1">
      <alignment horizontal="left"/>
    </xf>
    <xf numFmtId="166" fontId="2" fillId="3" borderId="13" xfId="0" applyNumberFormat="1" applyFont="1" applyFill="1" applyBorder="1" applyAlignment="1">
      <alignment horizontal="left"/>
    </xf>
    <xf numFmtId="164" fontId="2" fillId="3" borderId="19" xfId="0" applyNumberFormat="1" applyFont="1" applyFill="1" applyBorder="1" applyAlignment="1">
      <alignment horizontal="center" vertical="center"/>
    </xf>
    <xf numFmtId="164" fontId="2" fillId="3" borderId="21" xfId="0" applyNumberFormat="1" applyFont="1" applyFill="1" applyBorder="1" applyAlignment="1">
      <alignment horizontal="center" vertical="center"/>
    </xf>
    <xf numFmtId="164" fontId="2" fillId="3" borderId="12" xfId="0" applyNumberFormat="1" applyFont="1" applyFill="1" applyBorder="1" applyAlignment="1">
      <alignment horizontal="center" vertical="center"/>
    </xf>
    <xf numFmtId="164" fontId="2" fillId="3" borderId="19" xfId="0" applyNumberFormat="1" applyFont="1" applyFill="1" applyBorder="1" applyAlignment="1">
      <alignment vertical="center"/>
    </xf>
    <xf numFmtId="9" fontId="3" fillId="3" borderId="19" xfId="3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vertical="center"/>
    </xf>
    <xf numFmtId="9" fontId="3" fillId="3" borderId="21" xfId="3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vertical="center"/>
    </xf>
    <xf numFmtId="9" fontId="3" fillId="3" borderId="12" xfId="3" applyFont="1" applyFill="1" applyBorder="1" applyAlignment="1">
      <alignment horizontal="center" vertical="center"/>
    </xf>
    <xf numFmtId="42" fontId="3" fillId="3" borderId="19" xfId="2" applyFont="1" applyFill="1" applyBorder="1" applyAlignment="1">
      <alignment horizontal="center" vertical="center"/>
    </xf>
    <xf numFmtId="164" fontId="3" fillId="3" borderId="19" xfId="0" applyNumberFormat="1" applyFont="1" applyFill="1" applyBorder="1" applyAlignment="1">
      <alignment vertical="center"/>
    </xf>
    <xf numFmtId="42" fontId="3" fillId="3" borderId="21" xfId="2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vertical="center"/>
    </xf>
    <xf numFmtId="42" fontId="3" fillId="3" borderId="12" xfId="2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vertical="center"/>
    </xf>
    <xf numFmtId="0" fontId="3" fillId="3" borderId="24" xfId="0" applyFont="1" applyFill="1" applyBorder="1" applyAlignment="1">
      <alignment horizontal="center" vertical="center"/>
    </xf>
    <xf numFmtId="164" fontId="3" fillId="3" borderId="24" xfId="0" applyNumberFormat="1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vertical="center"/>
    </xf>
    <xf numFmtId="9" fontId="3" fillId="3" borderId="24" xfId="3" applyFont="1" applyFill="1" applyBorder="1" applyAlignment="1">
      <alignment horizontal="center" vertical="center"/>
    </xf>
    <xf numFmtId="9" fontId="3" fillId="3" borderId="25" xfId="3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9" fontId="3" fillId="3" borderId="26" xfId="3" applyFont="1" applyFill="1" applyBorder="1" applyAlignment="1">
      <alignment horizontal="center" vertical="center"/>
    </xf>
    <xf numFmtId="164" fontId="2" fillId="3" borderId="17" xfId="4" applyNumberFormat="1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9" fontId="3" fillId="3" borderId="27" xfId="3" applyFont="1" applyFill="1" applyBorder="1" applyAlignment="1">
      <alignment horizontal="center" vertical="center"/>
    </xf>
    <xf numFmtId="0" fontId="3" fillId="3" borderId="13" xfId="0" applyFont="1" applyFill="1" applyBorder="1"/>
    <xf numFmtId="164" fontId="6" fillId="3" borderId="13" xfId="0" applyNumberFormat="1" applyFont="1" applyFill="1" applyBorder="1" applyAlignment="1">
      <alignment horizontal="center" vertical="center"/>
    </xf>
    <xf numFmtId="164" fontId="3" fillId="3" borderId="13" xfId="0" applyNumberFormat="1" applyFont="1" applyFill="1" applyBorder="1" applyAlignment="1">
      <alignment horizontal="center" vertical="center"/>
    </xf>
    <xf numFmtId="167" fontId="2" fillId="3" borderId="13" xfId="5" applyNumberFormat="1" applyFont="1" applyFill="1" applyBorder="1" applyAlignment="1">
      <alignment vertical="center"/>
    </xf>
    <xf numFmtId="9" fontId="2" fillId="3" borderId="14" xfId="3" applyFont="1" applyFill="1" applyBorder="1" applyAlignment="1">
      <alignment horizontal="center"/>
    </xf>
    <xf numFmtId="164" fontId="7" fillId="3" borderId="19" xfId="0" applyNumberFormat="1" applyFont="1" applyFill="1" applyBorder="1" applyAlignment="1">
      <alignment vertical="center"/>
    </xf>
    <xf numFmtId="0" fontId="7" fillId="3" borderId="21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3" fillId="3" borderId="17" xfId="0" applyFont="1" applyFill="1" applyBorder="1"/>
    <xf numFmtId="164" fontId="3" fillId="3" borderId="17" xfId="0" applyNumberFormat="1" applyFont="1" applyFill="1" applyBorder="1"/>
    <xf numFmtId="0" fontId="3" fillId="3" borderId="18" xfId="0" applyFont="1" applyFill="1" applyBorder="1"/>
    <xf numFmtId="166" fontId="2" fillId="3" borderId="13" xfId="0" applyNumberFormat="1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13" xfId="0" applyFont="1" applyFill="1" applyBorder="1"/>
    <xf numFmtId="0" fontId="2" fillId="3" borderId="12" xfId="0" applyFont="1" applyFill="1" applyBorder="1" applyAlignment="1">
      <alignment horizontal="center" vertical="center"/>
    </xf>
    <xf numFmtId="164" fontId="2" fillId="3" borderId="13" xfId="0" applyNumberFormat="1" applyFont="1" applyFill="1" applyBorder="1"/>
    <xf numFmtId="0" fontId="2" fillId="6" borderId="0" xfId="0" applyFont="1" applyFill="1"/>
    <xf numFmtId="0" fontId="3" fillId="7" borderId="28" xfId="0" applyFont="1" applyFill="1" applyBorder="1" applyAlignment="1">
      <alignment horizontal="center" vertical="center"/>
    </xf>
    <xf numFmtId="0" fontId="3" fillId="7" borderId="17" xfId="0" applyFont="1" applyFill="1" applyBorder="1" applyAlignment="1">
      <alignment horizontal="center" vertical="center"/>
    </xf>
    <xf numFmtId="0" fontId="3" fillId="7" borderId="23" xfId="0" applyFont="1" applyFill="1" applyBorder="1" applyAlignment="1">
      <alignment horizontal="center" vertical="center"/>
    </xf>
    <xf numFmtId="166" fontId="3" fillId="7" borderId="19" xfId="0" applyNumberFormat="1" applyFont="1" applyFill="1" applyBorder="1" applyAlignment="1">
      <alignment vertical="center"/>
    </xf>
    <xf numFmtId="164" fontId="3" fillId="7" borderId="19" xfId="0" applyNumberFormat="1" applyFont="1" applyFill="1" applyBorder="1" applyAlignment="1">
      <alignment vertical="center"/>
    </xf>
    <xf numFmtId="9" fontId="3" fillId="7" borderId="20" xfId="3" applyFont="1" applyFill="1" applyBorder="1" applyAlignment="1">
      <alignment vertical="center"/>
    </xf>
    <xf numFmtId="0" fontId="3" fillId="8" borderId="29" xfId="0" applyFont="1" applyFill="1" applyBorder="1" applyAlignment="1">
      <alignment horizontal="center" vertical="center"/>
    </xf>
    <xf numFmtId="0" fontId="3" fillId="8" borderId="30" xfId="0" applyFont="1" applyFill="1" applyBorder="1" applyAlignment="1">
      <alignment horizontal="center" vertical="center"/>
    </xf>
    <xf numFmtId="166" fontId="3" fillId="8" borderId="30" xfId="0" applyNumberFormat="1" applyFont="1" applyFill="1" applyBorder="1" applyAlignment="1">
      <alignment vertical="top"/>
    </xf>
    <xf numFmtId="165" fontId="3" fillId="8" borderId="30" xfId="0" applyNumberFormat="1" applyFont="1" applyFill="1" applyBorder="1" applyAlignment="1">
      <alignment vertical="top"/>
    </xf>
    <xf numFmtId="164" fontId="3" fillId="8" borderId="30" xfId="0" applyNumberFormat="1" applyFont="1" applyFill="1" applyBorder="1" applyAlignment="1">
      <alignment vertical="top"/>
    </xf>
    <xf numFmtId="167" fontId="3" fillId="8" borderId="30" xfId="0" applyNumberFormat="1" applyFont="1" applyFill="1" applyBorder="1" applyAlignment="1">
      <alignment vertical="center"/>
    </xf>
    <xf numFmtId="9" fontId="3" fillId="8" borderId="31" xfId="3" applyFont="1" applyFill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166" fontId="2" fillId="0" borderId="0" xfId="0" applyNumberFormat="1" applyFont="1"/>
    <xf numFmtId="164" fontId="3" fillId="0" borderId="0" xfId="0" applyNumberFormat="1" applyFont="1"/>
    <xf numFmtId="167" fontId="2" fillId="0" borderId="0" xfId="0" applyNumberFormat="1" applyFont="1" applyAlignment="1">
      <alignment vertical="center"/>
    </xf>
    <xf numFmtId="9" fontId="3" fillId="0" borderId="0" xfId="3" applyFont="1"/>
    <xf numFmtId="0" fontId="3" fillId="5" borderId="16" xfId="0" applyFont="1" applyFill="1" applyBorder="1" applyAlignment="1">
      <alignment vertical="center"/>
    </xf>
    <xf numFmtId="167" fontId="5" fillId="3" borderId="19" xfId="4" applyNumberFormat="1" applyFont="1" applyFill="1" applyBorder="1" applyAlignment="1">
      <alignment vertical="center"/>
    </xf>
    <xf numFmtId="167" fontId="5" fillId="3" borderId="21" xfId="4" applyNumberFormat="1" applyFont="1" applyFill="1" applyBorder="1" applyAlignment="1">
      <alignment vertical="center"/>
    </xf>
    <xf numFmtId="167" fontId="5" fillId="3" borderId="12" xfId="4" applyNumberFormat="1" applyFont="1" applyFill="1" applyBorder="1" applyAlignment="1">
      <alignment vertical="center"/>
    </xf>
    <xf numFmtId="42" fontId="3" fillId="5" borderId="17" xfId="2" applyFont="1" applyFill="1" applyBorder="1" applyAlignment="1">
      <alignment vertical="center"/>
    </xf>
    <xf numFmtId="0" fontId="3" fillId="3" borderId="13" xfId="0" applyFont="1" applyFill="1" applyBorder="1" applyAlignment="1">
      <alignment horizontal="center" vertical="center"/>
    </xf>
    <xf numFmtId="167" fontId="2" fillId="3" borderId="19" xfId="5" applyNumberFormat="1" applyFont="1" applyFill="1" applyBorder="1" applyAlignment="1">
      <alignment vertical="center"/>
    </xf>
    <xf numFmtId="167" fontId="2" fillId="3" borderId="21" xfId="5" applyNumberFormat="1" applyFont="1" applyFill="1" applyBorder="1" applyAlignment="1">
      <alignment vertical="center"/>
    </xf>
    <xf numFmtId="167" fontId="2" fillId="3" borderId="12" xfId="5" applyNumberFormat="1" applyFont="1" applyFill="1" applyBorder="1" applyAlignment="1">
      <alignment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vertical="center"/>
    </xf>
    <xf numFmtId="9" fontId="3" fillId="3" borderId="32" xfId="3" applyFont="1" applyFill="1" applyBorder="1" applyAlignment="1">
      <alignment horizontal="center" vertical="center"/>
    </xf>
    <xf numFmtId="9" fontId="3" fillId="3" borderId="33" xfId="3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9" fontId="3" fillId="3" borderId="0" xfId="3" applyFont="1" applyFill="1" applyBorder="1" applyAlignment="1">
      <alignment horizontal="center" vertical="center"/>
    </xf>
    <xf numFmtId="9" fontId="2" fillId="3" borderId="14" xfId="3" applyFont="1" applyFill="1" applyBorder="1" applyAlignment="1">
      <alignment horizontal="left"/>
    </xf>
    <xf numFmtId="167" fontId="5" fillId="3" borderId="19" xfId="4" applyNumberFormat="1" applyFont="1" applyFill="1" applyBorder="1" applyAlignment="1">
      <alignment horizontal="center" vertical="center"/>
    </xf>
    <xf numFmtId="167" fontId="5" fillId="3" borderId="21" xfId="4" applyNumberFormat="1" applyFont="1" applyFill="1" applyBorder="1" applyAlignment="1">
      <alignment horizontal="center" vertical="center"/>
    </xf>
    <xf numFmtId="167" fontId="5" fillId="3" borderId="12" xfId="4" applyNumberFormat="1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left" vertical="top"/>
    </xf>
    <xf numFmtId="164" fontId="3" fillId="3" borderId="34" xfId="0" applyNumberFormat="1" applyFont="1" applyFill="1" applyBorder="1" applyAlignment="1">
      <alignment horizontal="center" vertical="center"/>
    </xf>
    <xf numFmtId="164" fontId="3" fillId="3" borderId="25" xfId="0" applyNumberFormat="1" applyFont="1" applyFill="1" applyBorder="1" applyAlignment="1">
      <alignment horizontal="center" vertical="center"/>
    </xf>
    <xf numFmtId="164" fontId="3" fillId="3" borderId="0" xfId="0" applyNumberFormat="1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164" fontId="3" fillId="3" borderId="24" xfId="0" applyNumberFormat="1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164" fontId="7" fillId="3" borderId="13" xfId="0" applyNumberFormat="1" applyFont="1" applyFill="1" applyBorder="1" applyAlignment="1">
      <alignment vertical="center"/>
    </xf>
    <xf numFmtId="0" fontId="7" fillId="3" borderId="13" xfId="0" applyFont="1" applyFill="1" applyBorder="1" applyAlignment="1">
      <alignment vertical="center"/>
    </xf>
    <xf numFmtId="164" fontId="2" fillId="3" borderId="19" xfId="1" applyNumberFormat="1" applyFont="1" applyFill="1" applyBorder="1" applyAlignment="1">
      <alignment horizontal="center" vertical="center"/>
    </xf>
    <xf numFmtId="164" fontId="2" fillId="3" borderId="21" xfId="1" applyNumberFormat="1" applyFont="1" applyFill="1" applyBorder="1" applyAlignment="1">
      <alignment horizontal="center" vertical="center"/>
    </xf>
    <xf numFmtId="164" fontId="2" fillId="3" borderId="12" xfId="1" applyNumberFormat="1" applyFont="1" applyFill="1" applyBorder="1" applyAlignment="1">
      <alignment horizontal="center" vertical="center"/>
    </xf>
    <xf numFmtId="42" fontId="2" fillId="3" borderId="13" xfId="2" applyFont="1" applyFill="1" applyBorder="1" applyAlignment="1">
      <alignment horizontal="center" vertical="center"/>
    </xf>
    <xf numFmtId="9" fontId="2" fillId="3" borderId="14" xfId="3" applyFont="1" applyFill="1" applyBorder="1" applyAlignment="1">
      <alignment horizontal="center" vertical="center"/>
    </xf>
    <xf numFmtId="165" fontId="3" fillId="3" borderId="0" xfId="0" applyNumberFormat="1" applyFont="1" applyFill="1"/>
    <xf numFmtId="0" fontId="3" fillId="6" borderId="15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left" vertical="center"/>
    </xf>
    <xf numFmtId="0" fontId="3" fillId="6" borderId="17" xfId="0" applyFont="1" applyFill="1" applyBorder="1" applyAlignment="1">
      <alignment vertical="center"/>
    </xf>
    <xf numFmtId="164" fontId="3" fillId="6" borderId="17" xfId="0" applyNumberFormat="1" applyFont="1" applyFill="1" applyBorder="1" applyAlignment="1">
      <alignment vertical="center"/>
    </xf>
    <xf numFmtId="0" fontId="3" fillId="6" borderId="18" xfId="0" applyFont="1" applyFill="1" applyBorder="1" applyAlignment="1">
      <alignment vertical="center"/>
    </xf>
    <xf numFmtId="164" fontId="7" fillId="3" borderId="19" xfId="0" applyNumberFormat="1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3" fillId="5" borderId="13" xfId="0" applyFont="1" applyFill="1" applyBorder="1"/>
    <xf numFmtId="42" fontId="2" fillId="3" borderId="19" xfId="0" applyNumberFormat="1" applyFont="1" applyFill="1" applyBorder="1" applyAlignment="1">
      <alignment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left" vertical="center"/>
    </xf>
    <xf numFmtId="0" fontId="4" fillId="3" borderId="17" xfId="0" applyFont="1" applyFill="1" applyBorder="1" applyAlignment="1">
      <alignment vertical="center"/>
    </xf>
    <xf numFmtId="164" fontId="4" fillId="3" borderId="17" xfId="0" applyNumberFormat="1" applyFont="1" applyFill="1" applyBorder="1" applyAlignment="1">
      <alignment vertical="center"/>
    </xf>
    <xf numFmtId="0" fontId="4" fillId="3" borderId="18" xfId="0" applyFont="1" applyFill="1" applyBorder="1" applyAlignment="1">
      <alignment vertical="center"/>
    </xf>
    <xf numFmtId="170" fontId="2" fillId="3" borderId="19" xfId="0" applyNumberFormat="1" applyFont="1" applyFill="1" applyBorder="1" applyAlignment="1">
      <alignment horizontal="center" vertical="center"/>
    </xf>
    <xf numFmtId="170" fontId="2" fillId="3" borderId="21" xfId="0" applyNumberFormat="1" applyFont="1" applyFill="1" applyBorder="1" applyAlignment="1">
      <alignment horizontal="center" vertical="center"/>
    </xf>
    <xf numFmtId="170" fontId="2" fillId="3" borderId="12" xfId="0" applyNumberFormat="1" applyFont="1" applyFill="1" applyBorder="1" applyAlignment="1">
      <alignment horizontal="center" vertical="center"/>
    </xf>
    <xf numFmtId="171" fontId="3" fillId="3" borderId="19" xfId="2" applyNumberFormat="1" applyFont="1" applyFill="1" applyBorder="1" applyAlignment="1">
      <alignment vertical="center"/>
    </xf>
    <xf numFmtId="171" fontId="3" fillId="3" borderId="21" xfId="2" applyNumberFormat="1" applyFont="1" applyFill="1" applyBorder="1" applyAlignment="1">
      <alignment vertical="center"/>
    </xf>
    <xf numFmtId="171" fontId="3" fillId="3" borderId="12" xfId="2" applyNumberFormat="1" applyFont="1" applyFill="1" applyBorder="1" applyAlignment="1">
      <alignment vertical="center"/>
    </xf>
    <xf numFmtId="0" fontId="3" fillId="5" borderId="17" xfId="0" applyFont="1" applyFill="1" applyBorder="1"/>
    <xf numFmtId="164" fontId="3" fillId="5" borderId="17" xfId="0" applyNumberFormat="1" applyFont="1" applyFill="1" applyBorder="1"/>
    <xf numFmtId="0" fontId="3" fillId="5" borderId="18" xfId="0" applyFont="1" applyFill="1" applyBorder="1"/>
  </cellXfs>
  <cellStyles count="6">
    <cellStyle name="Comma [0]" xfId="1" builtinId="6"/>
    <cellStyle name="Comma 2" xfId="4"/>
    <cellStyle name="Currency [0]" xfId="2" builtinId="7"/>
    <cellStyle name="Currency 2" xfId="5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V%20LAPORAN%20RAB%20FIX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erumahan%20%20Villa%20Ihqsan/PT.%20Grand%20Utama%20Mandiri%20(GGL)/07.%20Payroll/2021/02.%20Februari%202021/Payroll%20Barat%20-%20Februari%202021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erumahan%20%20Villa%20Ihqsan/kosong/abs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"/>
      <sheetName val="Bahan Masuk"/>
      <sheetName val="List Rekap Bahan"/>
      <sheetName val="HK"/>
      <sheetName val="MASTER"/>
      <sheetName val="RIDHO 01"/>
      <sheetName val="RIDHO 02"/>
      <sheetName val="RIDHO 03"/>
      <sheetName val="RIDHO 04"/>
      <sheetName val="HARAPAN 6 02"/>
      <sheetName val="DAMAI 3 03"/>
      <sheetName val="DAMAI 3 04"/>
      <sheetName val="KARYA 01"/>
      <sheetName val="KARYA 02"/>
      <sheetName val="KARYA 03"/>
      <sheetName val="KARYA 04"/>
      <sheetName val="KARYA 05"/>
      <sheetName val="KARYA 06"/>
      <sheetName val="KARYA 07"/>
      <sheetName val="KARYA 09"/>
      <sheetName val="KARYA 10"/>
      <sheetName val="KARYA 11"/>
      <sheetName val="KARYA 12"/>
      <sheetName val="KARYA 14"/>
      <sheetName val="KARYA 18"/>
      <sheetName val="SUKABASUKI"/>
      <sheetName val="Rincian Keluar"/>
      <sheetName val="DINA CITRA"/>
      <sheetName val="KARYA HILS 02 "/>
      <sheetName val="KARYA HILS  01"/>
      <sheetName val="ILALANG 01"/>
      <sheetName val="ILALANG 02"/>
      <sheetName val="PELANGI 01"/>
      <sheetName val="PELANGI 02"/>
      <sheetName val="PELANGI 03"/>
      <sheetName val="PELANGI 04"/>
      <sheetName val="KARYA 12 DAPUR"/>
      <sheetName val="KARYA 14 DAPUR "/>
      <sheetName val="KARYA 18 DAPUR "/>
      <sheetName val="KARYA 04 ATAP"/>
      <sheetName val="KARYA 06 PENAMBAHAN"/>
      <sheetName val="Sheet1"/>
    </sheetNames>
    <sheetDataSet>
      <sheetData sheetId="0">
        <row r="1">
          <cell r="D1">
            <v>40</v>
          </cell>
          <cell r="E1">
            <v>45</v>
          </cell>
          <cell r="F1">
            <v>50</v>
          </cell>
          <cell r="G1">
            <v>55</v>
          </cell>
          <cell r="H1">
            <v>60</v>
          </cell>
          <cell r="I1">
            <v>70</v>
          </cell>
          <cell r="J1">
            <v>80</v>
          </cell>
          <cell r="K1">
            <v>100</v>
          </cell>
        </row>
        <row r="2">
          <cell r="D2">
            <v>1</v>
          </cell>
          <cell r="E2">
            <v>2</v>
          </cell>
          <cell r="F2">
            <v>3</v>
          </cell>
          <cell r="G2">
            <v>4</v>
          </cell>
          <cell r="H2">
            <v>5</v>
          </cell>
          <cell r="I2">
            <v>6</v>
          </cell>
          <cell r="J2">
            <v>7</v>
          </cell>
          <cell r="K2">
            <v>8</v>
          </cell>
        </row>
        <row r="4">
          <cell r="C4" t="str">
            <v>URAIAN PEKERJAAN</v>
          </cell>
          <cell r="D4" t="str">
            <v>BAHAN</v>
          </cell>
          <cell r="E4" t="str">
            <v>BAHAN</v>
          </cell>
          <cell r="F4" t="str">
            <v>BAHAN</v>
          </cell>
          <cell r="G4" t="str">
            <v>BAHAN</v>
          </cell>
          <cell r="H4" t="str">
            <v>BAHAN</v>
          </cell>
          <cell r="I4" t="str">
            <v>BAHAN</v>
          </cell>
          <cell r="J4" t="str">
            <v>BAHAN</v>
          </cell>
          <cell r="K4" t="str">
            <v>BAHAN</v>
          </cell>
        </row>
        <row r="5">
          <cell r="D5" t="str">
            <v>BAKU</v>
          </cell>
          <cell r="E5" t="str">
            <v>BAKU</v>
          </cell>
          <cell r="F5" t="str">
            <v>BAKU</v>
          </cell>
          <cell r="G5" t="str">
            <v>BAKU</v>
          </cell>
          <cell r="H5" t="str">
            <v>BAKU</v>
          </cell>
          <cell r="I5" t="str">
            <v>BAKU</v>
          </cell>
          <cell r="J5" t="str">
            <v>BAKU</v>
          </cell>
          <cell r="K5" t="str">
            <v>BAKU</v>
          </cell>
        </row>
        <row r="6">
          <cell r="C6" t="str">
            <v>PONDASI</v>
          </cell>
        </row>
        <row r="7">
          <cell r="C7" t="str">
            <v>Besi ø6</v>
          </cell>
          <cell r="D7">
            <v>9</v>
          </cell>
          <cell r="E7">
            <v>11</v>
          </cell>
          <cell r="F7">
            <v>12</v>
          </cell>
          <cell r="G7">
            <v>13</v>
          </cell>
          <cell r="H7">
            <v>15</v>
          </cell>
          <cell r="I7">
            <v>17</v>
          </cell>
          <cell r="J7">
            <v>19</v>
          </cell>
          <cell r="K7">
            <v>24</v>
          </cell>
        </row>
        <row r="8">
          <cell r="C8" t="str">
            <v>Besi ø8 Ulir</v>
          </cell>
          <cell r="D8">
            <v>33</v>
          </cell>
          <cell r="E8">
            <v>37</v>
          </cell>
          <cell r="F8">
            <v>41</v>
          </cell>
          <cell r="G8">
            <v>45</v>
          </cell>
          <cell r="H8">
            <v>50</v>
          </cell>
          <cell r="I8">
            <v>58</v>
          </cell>
          <cell r="J8">
            <v>66</v>
          </cell>
          <cell r="K8">
            <v>82</v>
          </cell>
        </row>
        <row r="9">
          <cell r="C9" t="str">
            <v>Kayu 3/5</v>
          </cell>
          <cell r="D9">
            <v>28</v>
          </cell>
          <cell r="E9">
            <v>31</v>
          </cell>
          <cell r="F9">
            <v>35</v>
          </cell>
          <cell r="G9">
            <v>38</v>
          </cell>
          <cell r="H9">
            <v>42</v>
          </cell>
          <cell r="I9">
            <v>49</v>
          </cell>
          <cell r="J9">
            <v>56</v>
          </cell>
          <cell r="K9">
            <v>70</v>
          </cell>
        </row>
        <row r="10">
          <cell r="C10" t="str">
            <v>Cerucuk</v>
          </cell>
          <cell r="D10">
            <v>59</v>
          </cell>
          <cell r="E10">
            <v>66</v>
          </cell>
          <cell r="F10">
            <v>74</v>
          </cell>
          <cell r="G10">
            <v>81</v>
          </cell>
          <cell r="H10">
            <v>89</v>
          </cell>
          <cell r="I10">
            <v>104</v>
          </cell>
          <cell r="J10">
            <v>118</v>
          </cell>
          <cell r="K10">
            <v>148</v>
          </cell>
        </row>
        <row r="11">
          <cell r="C11" t="str">
            <v>Papan Mal</v>
          </cell>
          <cell r="D11">
            <v>131</v>
          </cell>
          <cell r="E11">
            <v>147</v>
          </cell>
          <cell r="F11">
            <v>164</v>
          </cell>
          <cell r="G11">
            <v>180</v>
          </cell>
          <cell r="H11">
            <v>197</v>
          </cell>
          <cell r="I11">
            <v>230</v>
          </cell>
          <cell r="J11">
            <v>262</v>
          </cell>
          <cell r="K11">
            <v>328</v>
          </cell>
        </row>
        <row r="12">
          <cell r="C12" t="str">
            <v xml:space="preserve">Pasir </v>
          </cell>
          <cell r="D12">
            <v>10</v>
          </cell>
          <cell r="E12">
            <v>11</v>
          </cell>
          <cell r="F12">
            <v>13</v>
          </cell>
          <cell r="G12">
            <v>14</v>
          </cell>
          <cell r="H12">
            <v>16</v>
          </cell>
          <cell r="I12">
            <v>18</v>
          </cell>
          <cell r="J12">
            <v>21</v>
          </cell>
          <cell r="K12">
            <v>26</v>
          </cell>
        </row>
        <row r="13">
          <cell r="C13" t="str">
            <v>Batu</v>
          </cell>
          <cell r="D13">
            <v>1</v>
          </cell>
          <cell r="E13">
            <v>2</v>
          </cell>
          <cell r="F13">
            <v>2</v>
          </cell>
          <cell r="G13">
            <v>2</v>
          </cell>
          <cell r="H13">
            <v>3</v>
          </cell>
          <cell r="I13">
            <v>3</v>
          </cell>
          <cell r="J13">
            <v>3</v>
          </cell>
          <cell r="K13">
            <v>4</v>
          </cell>
        </row>
        <row r="14">
          <cell r="C14" t="str">
            <v>Semen PCC 40 Kg Tiga Roda</v>
          </cell>
          <cell r="D14">
            <v>31</v>
          </cell>
          <cell r="E14">
            <v>34</v>
          </cell>
          <cell r="F14">
            <v>38</v>
          </cell>
          <cell r="G14">
            <v>42</v>
          </cell>
          <cell r="H14">
            <v>46</v>
          </cell>
          <cell r="I14">
            <v>54</v>
          </cell>
          <cell r="J14">
            <v>62</v>
          </cell>
          <cell r="K14">
            <v>77</v>
          </cell>
        </row>
        <row r="15">
          <cell r="C15" t="str">
            <v>URUG</v>
          </cell>
        </row>
        <row r="16">
          <cell r="C16" t="str">
            <v xml:space="preserve">Pasir </v>
          </cell>
          <cell r="D16">
            <v>25</v>
          </cell>
          <cell r="E16">
            <v>29</v>
          </cell>
          <cell r="F16">
            <v>32</v>
          </cell>
          <cell r="G16">
            <v>35</v>
          </cell>
          <cell r="H16">
            <v>39</v>
          </cell>
          <cell r="I16">
            <v>45</v>
          </cell>
          <cell r="J16">
            <v>51</v>
          </cell>
          <cell r="K16">
            <v>64</v>
          </cell>
        </row>
        <row r="17">
          <cell r="C17" t="str">
            <v>Pipa 4"</v>
          </cell>
          <cell r="D17">
            <v>2</v>
          </cell>
          <cell r="E17">
            <v>2</v>
          </cell>
          <cell r="F17">
            <v>2</v>
          </cell>
          <cell r="G17">
            <v>2</v>
          </cell>
          <cell r="H17">
            <v>2</v>
          </cell>
          <cell r="I17">
            <v>2</v>
          </cell>
          <cell r="J17">
            <v>2</v>
          </cell>
          <cell r="K17">
            <v>2</v>
          </cell>
        </row>
        <row r="18">
          <cell r="C18" t="str">
            <v>Pipa 2"</v>
          </cell>
          <cell r="D18">
            <v>2</v>
          </cell>
          <cell r="E18">
            <v>2</v>
          </cell>
          <cell r="F18">
            <v>2</v>
          </cell>
          <cell r="G18">
            <v>2</v>
          </cell>
          <cell r="H18">
            <v>2</v>
          </cell>
          <cell r="I18">
            <v>2</v>
          </cell>
          <cell r="J18">
            <v>2</v>
          </cell>
          <cell r="K18">
            <v>2</v>
          </cell>
        </row>
        <row r="19">
          <cell r="C19" t="str">
            <v>COR LANTAI</v>
          </cell>
        </row>
        <row r="20">
          <cell r="C20" t="str">
            <v>Besi ø6</v>
          </cell>
          <cell r="D20">
            <v>12</v>
          </cell>
          <cell r="E20">
            <v>14</v>
          </cell>
          <cell r="F20">
            <v>15</v>
          </cell>
          <cell r="G20">
            <v>17</v>
          </cell>
          <cell r="H20">
            <v>19</v>
          </cell>
          <cell r="I20">
            <v>22</v>
          </cell>
          <cell r="J20">
            <v>25</v>
          </cell>
          <cell r="K20">
            <v>31</v>
          </cell>
        </row>
        <row r="21">
          <cell r="C21" t="str">
            <v>Pasir</v>
          </cell>
          <cell r="D21">
            <v>4</v>
          </cell>
          <cell r="E21">
            <v>4</v>
          </cell>
          <cell r="F21">
            <v>5</v>
          </cell>
          <cell r="G21">
            <v>5</v>
          </cell>
          <cell r="H21">
            <v>6</v>
          </cell>
          <cell r="I21">
            <v>7</v>
          </cell>
          <cell r="J21">
            <v>8</v>
          </cell>
          <cell r="K21">
            <v>10</v>
          </cell>
        </row>
        <row r="22">
          <cell r="C22" t="str">
            <v>Semen PCC 40 Kg Tiga Roda</v>
          </cell>
          <cell r="D22">
            <v>11</v>
          </cell>
          <cell r="E22">
            <v>12</v>
          </cell>
          <cell r="F22">
            <v>14</v>
          </cell>
          <cell r="G22">
            <v>15</v>
          </cell>
          <cell r="H22">
            <v>17</v>
          </cell>
          <cell r="I22">
            <v>20</v>
          </cell>
          <cell r="J22">
            <v>22</v>
          </cell>
          <cell r="K22">
            <v>28</v>
          </cell>
        </row>
        <row r="23">
          <cell r="C23" t="str">
            <v>Plastik cor</v>
          </cell>
          <cell r="D23">
            <v>5</v>
          </cell>
          <cell r="E23">
            <v>6</v>
          </cell>
          <cell r="F23">
            <v>6</v>
          </cell>
          <cell r="G23">
            <v>7</v>
          </cell>
          <cell r="H23">
            <v>8</v>
          </cell>
          <cell r="I23">
            <v>9</v>
          </cell>
          <cell r="J23">
            <v>11</v>
          </cell>
          <cell r="K23">
            <v>13</v>
          </cell>
        </row>
        <row r="24">
          <cell r="C24" t="str">
            <v>PINTU</v>
          </cell>
        </row>
        <row r="25">
          <cell r="C25" t="str">
            <v>Pintu Kayu 120 x 220</v>
          </cell>
          <cell r="D25">
            <v>1</v>
          </cell>
          <cell r="E25">
            <v>1</v>
          </cell>
          <cell r="F25">
            <v>1</v>
          </cell>
          <cell r="G25">
            <v>1</v>
          </cell>
          <cell r="H25">
            <v>1</v>
          </cell>
          <cell r="I25">
            <v>1</v>
          </cell>
          <cell r="J25">
            <v>2</v>
          </cell>
          <cell r="K25">
            <v>1</v>
          </cell>
        </row>
        <row r="26">
          <cell r="C26" t="str">
            <v>Pintu Kayu 80 x 220</v>
          </cell>
          <cell r="D26">
            <v>3</v>
          </cell>
          <cell r="E26">
            <v>3</v>
          </cell>
          <cell r="F26">
            <v>3</v>
          </cell>
          <cell r="G26">
            <v>3</v>
          </cell>
          <cell r="H26">
            <v>3</v>
          </cell>
          <cell r="I26">
            <v>3</v>
          </cell>
          <cell r="J26">
            <v>3</v>
          </cell>
          <cell r="K26">
            <v>3</v>
          </cell>
        </row>
        <row r="27">
          <cell r="C27" t="str">
            <v>Pintu WC PVC Biru</v>
          </cell>
          <cell r="D27">
            <v>2</v>
          </cell>
          <cell r="E27">
            <v>1</v>
          </cell>
          <cell r="F27">
            <v>2</v>
          </cell>
          <cell r="G27">
            <v>2</v>
          </cell>
          <cell r="H27">
            <v>2</v>
          </cell>
          <cell r="I27">
            <v>2</v>
          </cell>
          <cell r="J27">
            <v>2</v>
          </cell>
          <cell r="K27">
            <v>2</v>
          </cell>
        </row>
        <row r="28">
          <cell r="C28" t="str">
            <v>Pintu WC Edenjoice Putih</v>
          </cell>
          <cell r="D28">
            <v>1</v>
          </cell>
          <cell r="E28">
            <v>1</v>
          </cell>
          <cell r="F28">
            <v>1</v>
          </cell>
          <cell r="G28">
            <v>1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</row>
        <row r="29">
          <cell r="C29" t="str">
            <v>Engsel Pintu 4"</v>
          </cell>
          <cell r="D29">
            <v>15</v>
          </cell>
          <cell r="E29">
            <v>15</v>
          </cell>
          <cell r="F29">
            <v>15</v>
          </cell>
          <cell r="G29">
            <v>15</v>
          </cell>
          <cell r="H29">
            <v>15</v>
          </cell>
          <cell r="I29">
            <v>15</v>
          </cell>
          <cell r="J29">
            <v>15</v>
          </cell>
          <cell r="K29">
            <v>15</v>
          </cell>
        </row>
        <row r="30">
          <cell r="C30" t="str">
            <v>Peganggan pintu 2 daun</v>
          </cell>
          <cell r="D30">
            <v>2</v>
          </cell>
          <cell r="E30">
            <v>2</v>
          </cell>
          <cell r="F30">
            <v>2</v>
          </cell>
          <cell r="G30">
            <v>2</v>
          </cell>
          <cell r="H30">
            <v>2</v>
          </cell>
          <cell r="I30">
            <v>2</v>
          </cell>
          <cell r="J30">
            <v>2</v>
          </cell>
          <cell r="K30">
            <v>2</v>
          </cell>
        </row>
        <row r="31">
          <cell r="C31" t="str">
            <v>Pengunci Pintu 2 daun</v>
          </cell>
          <cell r="D31">
            <v>1</v>
          </cell>
          <cell r="E31">
            <v>1</v>
          </cell>
          <cell r="F31">
            <v>1</v>
          </cell>
          <cell r="G31">
            <v>1</v>
          </cell>
          <cell r="H31">
            <v>1</v>
          </cell>
          <cell r="I31">
            <v>1</v>
          </cell>
          <cell r="J31">
            <v>1</v>
          </cell>
          <cell r="K31">
            <v>1</v>
          </cell>
        </row>
        <row r="32">
          <cell r="C32" t="str">
            <v>Pegangan kunci 1 daun</v>
          </cell>
          <cell r="D32">
            <v>3</v>
          </cell>
          <cell r="E32">
            <v>3</v>
          </cell>
          <cell r="F32">
            <v>3</v>
          </cell>
          <cell r="G32">
            <v>3</v>
          </cell>
          <cell r="H32">
            <v>3</v>
          </cell>
          <cell r="I32">
            <v>3</v>
          </cell>
          <cell r="J32">
            <v>3</v>
          </cell>
          <cell r="K32">
            <v>3</v>
          </cell>
        </row>
        <row r="33">
          <cell r="C33" t="str">
            <v xml:space="preserve">Avian </v>
          </cell>
          <cell r="D33">
            <v>4</v>
          </cell>
          <cell r="E33">
            <v>4</v>
          </cell>
          <cell r="F33">
            <v>4</v>
          </cell>
          <cell r="G33">
            <v>4</v>
          </cell>
          <cell r="H33">
            <v>4</v>
          </cell>
          <cell r="I33">
            <v>4</v>
          </cell>
          <cell r="J33">
            <v>4</v>
          </cell>
          <cell r="K33">
            <v>4</v>
          </cell>
        </row>
        <row r="34">
          <cell r="C34" t="str">
            <v>Tinner Nb Kaleng</v>
          </cell>
          <cell r="D34">
            <v>2</v>
          </cell>
          <cell r="E34">
            <v>2</v>
          </cell>
          <cell r="F34">
            <v>2</v>
          </cell>
          <cell r="G34">
            <v>2</v>
          </cell>
          <cell r="H34">
            <v>2</v>
          </cell>
          <cell r="I34">
            <v>2</v>
          </cell>
          <cell r="J34">
            <v>2</v>
          </cell>
          <cell r="K34">
            <v>2</v>
          </cell>
        </row>
        <row r="35">
          <cell r="C35" t="str">
            <v>Slot 6 "</v>
          </cell>
          <cell r="D35">
            <v>1</v>
          </cell>
          <cell r="E35">
            <v>1</v>
          </cell>
          <cell r="F35">
            <v>1</v>
          </cell>
          <cell r="G35">
            <v>1</v>
          </cell>
          <cell r="H35">
            <v>1</v>
          </cell>
          <cell r="I35">
            <v>1</v>
          </cell>
          <cell r="J35">
            <v>1</v>
          </cell>
          <cell r="K35">
            <v>1</v>
          </cell>
        </row>
        <row r="36">
          <cell r="C36" t="str">
            <v>Slot 4"</v>
          </cell>
          <cell r="D36">
            <v>1</v>
          </cell>
          <cell r="E36">
            <v>1</v>
          </cell>
          <cell r="F36">
            <v>1</v>
          </cell>
          <cell r="G36">
            <v>1</v>
          </cell>
          <cell r="H36">
            <v>1</v>
          </cell>
          <cell r="I36">
            <v>1</v>
          </cell>
          <cell r="J36">
            <v>1</v>
          </cell>
          <cell r="K36">
            <v>1</v>
          </cell>
        </row>
        <row r="37">
          <cell r="C37" t="str">
            <v>BATA</v>
          </cell>
        </row>
        <row r="38">
          <cell r="C38" t="str">
            <v>Papan</v>
          </cell>
          <cell r="D38">
            <v>19</v>
          </cell>
          <cell r="E38">
            <v>21</v>
          </cell>
          <cell r="F38">
            <v>24</v>
          </cell>
          <cell r="G38">
            <v>26</v>
          </cell>
          <cell r="H38">
            <v>29</v>
          </cell>
          <cell r="I38">
            <v>34</v>
          </cell>
          <cell r="J38">
            <v>38</v>
          </cell>
          <cell r="K38">
            <v>48</v>
          </cell>
        </row>
        <row r="39">
          <cell r="C39" t="str">
            <v>Kayu 3/5</v>
          </cell>
          <cell r="D39">
            <v>20</v>
          </cell>
          <cell r="E39">
            <v>23</v>
          </cell>
          <cell r="F39">
            <v>25</v>
          </cell>
          <cell r="G39">
            <v>28</v>
          </cell>
          <cell r="H39">
            <v>31</v>
          </cell>
          <cell r="I39">
            <v>36</v>
          </cell>
          <cell r="J39">
            <v>41</v>
          </cell>
          <cell r="K39">
            <v>51</v>
          </cell>
        </row>
        <row r="40">
          <cell r="C40" t="str">
            <v xml:space="preserve">Besi ø6 </v>
          </cell>
          <cell r="D40">
            <v>4</v>
          </cell>
          <cell r="E40">
            <v>4</v>
          </cell>
          <cell r="F40">
            <v>5</v>
          </cell>
          <cell r="G40">
            <v>5</v>
          </cell>
          <cell r="H40">
            <v>6</v>
          </cell>
          <cell r="I40">
            <v>7</v>
          </cell>
          <cell r="J40">
            <v>8</v>
          </cell>
          <cell r="K40">
            <v>10</v>
          </cell>
        </row>
        <row r="41">
          <cell r="C41" t="str">
            <v xml:space="preserve">Besi ø8 </v>
          </cell>
          <cell r="D41">
            <v>7</v>
          </cell>
          <cell r="E41">
            <v>7</v>
          </cell>
          <cell r="F41">
            <v>8</v>
          </cell>
          <cell r="G41">
            <v>9</v>
          </cell>
          <cell r="H41">
            <v>10</v>
          </cell>
          <cell r="I41">
            <v>12</v>
          </cell>
          <cell r="J41">
            <v>14</v>
          </cell>
          <cell r="K41">
            <v>17</v>
          </cell>
        </row>
        <row r="42">
          <cell r="C42" t="str">
            <v xml:space="preserve">Besi ø6 </v>
          </cell>
          <cell r="D42">
            <v>1</v>
          </cell>
          <cell r="E42">
            <v>2</v>
          </cell>
          <cell r="F42">
            <v>2</v>
          </cell>
          <cell r="G42">
            <v>2</v>
          </cell>
          <cell r="H42">
            <v>3</v>
          </cell>
          <cell r="I42">
            <v>3</v>
          </cell>
          <cell r="J42">
            <v>3</v>
          </cell>
          <cell r="K42">
            <v>4</v>
          </cell>
        </row>
        <row r="43">
          <cell r="C43" t="str">
            <v>Kusen Pintu ( 2 Daun )</v>
          </cell>
          <cell r="D43">
            <v>1</v>
          </cell>
          <cell r="E43">
            <v>1</v>
          </cell>
          <cell r="F43">
            <v>1</v>
          </cell>
          <cell r="G43">
            <v>1</v>
          </cell>
          <cell r="H43">
            <v>1</v>
          </cell>
          <cell r="I43">
            <v>2</v>
          </cell>
          <cell r="J43">
            <v>1</v>
          </cell>
          <cell r="K43">
            <v>2</v>
          </cell>
        </row>
        <row r="44">
          <cell r="C44" t="str">
            <v>Kusen Pintu ( 1 Daun )</v>
          </cell>
          <cell r="D44">
            <v>3</v>
          </cell>
          <cell r="E44">
            <v>3</v>
          </cell>
          <cell r="F44">
            <v>3</v>
          </cell>
          <cell r="G44">
            <v>3</v>
          </cell>
          <cell r="H44">
            <v>3</v>
          </cell>
          <cell r="I44">
            <v>4</v>
          </cell>
          <cell r="J44">
            <v>3</v>
          </cell>
          <cell r="K44">
            <v>6</v>
          </cell>
        </row>
        <row r="45">
          <cell r="C45" t="str">
            <v>Bata</v>
          </cell>
          <cell r="D45">
            <v>1863</v>
          </cell>
          <cell r="E45">
            <v>2096</v>
          </cell>
          <cell r="F45">
            <v>2329</v>
          </cell>
          <cell r="G45">
            <v>2562</v>
          </cell>
          <cell r="H45">
            <v>2795</v>
          </cell>
          <cell r="I45">
            <v>3261</v>
          </cell>
          <cell r="J45">
            <v>3727</v>
          </cell>
          <cell r="K45">
            <v>4659</v>
          </cell>
        </row>
        <row r="46">
          <cell r="C46" t="str">
            <v>Semen PCC 40 Kg Tiga Roda</v>
          </cell>
          <cell r="D46">
            <v>15</v>
          </cell>
          <cell r="E46">
            <v>17</v>
          </cell>
          <cell r="F46">
            <v>19</v>
          </cell>
          <cell r="G46">
            <v>21</v>
          </cell>
          <cell r="H46">
            <v>23</v>
          </cell>
          <cell r="I46">
            <v>27</v>
          </cell>
          <cell r="J46">
            <v>31</v>
          </cell>
          <cell r="K46">
            <v>39</v>
          </cell>
        </row>
        <row r="47">
          <cell r="C47" t="str">
            <v>Pasir</v>
          </cell>
          <cell r="D47">
            <v>4</v>
          </cell>
          <cell r="E47">
            <v>4</v>
          </cell>
          <cell r="F47">
            <v>5</v>
          </cell>
          <cell r="G47">
            <v>5</v>
          </cell>
          <cell r="H47">
            <v>6</v>
          </cell>
          <cell r="I47">
            <v>7</v>
          </cell>
          <cell r="J47">
            <v>8</v>
          </cell>
          <cell r="K47">
            <v>10</v>
          </cell>
        </row>
        <row r="48">
          <cell r="C48" t="str">
            <v>Besi ø6</v>
          </cell>
          <cell r="D48">
            <v>4</v>
          </cell>
          <cell r="E48">
            <v>4</v>
          </cell>
          <cell r="F48">
            <v>5</v>
          </cell>
          <cell r="G48">
            <v>5</v>
          </cell>
          <cell r="H48">
            <v>6</v>
          </cell>
          <cell r="I48">
            <v>7</v>
          </cell>
          <cell r="J48">
            <v>8</v>
          </cell>
          <cell r="K48">
            <v>10</v>
          </cell>
        </row>
        <row r="49">
          <cell r="C49" t="str">
            <v>Cor Tiang Depan</v>
          </cell>
        </row>
        <row r="50">
          <cell r="C50" t="str">
            <v>Semen PCC 40 Kg Tiga Roda</v>
          </cell>
          <cell r="D50">
            <v>4</v>
          </cell>
          <cell r="E50">
            <v>4</v>
          </cell>
          <cell r="F50">
            <v>5</v>
          </cell>
          <cell r="G50">
            <v>5</v>
          </cell>
          <cell r="H50">
            <v>6</v>
          </cell>
          <cell r="I50">
            <v>7</v>
          </cell>
          <cell r="J50">
            <v>8</v>
          </cell>
          <cell r="K50">
            <v>10</v>
          </cell>
        </row>
        <row r="51">
          <cell r="C51" t="str">
            <v>Pasir</v>
          </cell>
          <cell r="D51">
            <v>1</v>
          </cell>
          <cell r="E51">
            <v>1</v>
          </cell>
          <cell r="F51">
            <v>1</v>
          </cell>
          <cell r="G51">
            <v>1</v>
          </cell>
          <cell r="H51">
            <v>2</v>
          </cell>
          <cell r="I51">
            <v>2</v>
          </cell>
          <cell r="J51">
            <v>2</v>
          </cell>
          <cell r="K51">
            <v>2</v>
          </cell>
        </row>
        <row r="52">
          <cell r="C52" t="str">
            <v>Batu</v>
          </cell>
          <cell r="D52">
            <v>1</v>
          </cell>
          <cell r="E52">
            <v>2</v>
          </cell>
          <cell r="F52">
            <v>2</v>
          </cell>
          <cell r="G52">
            <v>2</v>
          </cell>
          <cell r="H52">
            <v>3</v>
          </cell>
          <cell r="I52">
            <v>3</v>
          </cell>
          <cell r="J52">
            <v>3</v>
          </cell>
          <cell r="K52">
            <v>4</v>
          </cell>
        </row>
        <row r="53">
          <cell r="C53" t="str">
            <v xml:space="preserve">Besi ø6 </v>
          </cell>
          <cell r="D53">
            <v>2</v>
          </cell>
          <cell r="E53">
            <v>2</v>
          </cell>
          <cell r="F53">
            <v>3</v>
          </cell>
          <cell r="G53">
            <v>3</v>
          </cell>
          <cell r="H53">
            <v>4</v>
          </cell>
          <cell r="I53">
            <v>4</v>
          </cell>
          <cell r="J53">
            <v>5</v>
          </cell>
          <cell r="K53">
            <v>6</v>
          </cell>
        </row>
        <row r="54">
          <cell r="C54" t="str">
            <v>Besi ø8</v>
          </cell>
          <cell r="D54">
            <v>3</v>
          </cell>
          <cell r="E54">
            <v>3</v>
          </cell>
          <cell r="F54">
            <v>4</v>
          </cell>
          <cell r="G54">
            <v>4</v>
          </cell>
          <cell r="H54">
            <v>5</v>
          </cell>
          <cell r="I54">
            <v>6</v>
          </cell>
          <cell r="J54">
            <v>6</v>
          </cell>
          <cell r="K54">
            <v>8</v>
          </cell>
        </row>
        <row r="55">
          <cell r="C55" t="str">
            <v>Multiplek</v>
          </cell>
          <cell r="D55">
            <v>1</v>
          </cell>
          <cell r="E55">
            <v>1</v>
          </cell>
          <cell r="F55">
            <v>1</v>
          </cell>
          <cell r="G55">
            <v>1</v>
          </cell>
          <cell r="H55">
            <v>2</v>
          </cell>
          <cell r="I55">
            <v>2</v>
          </cell>
          <cell r="J55">
            <v>2</v>
          </cell>
          <cell r="K55">
            <v>2</v>
          </cell>
        </row>
        <row r="56">
          <cell r="C56" t="str">
            <v>Kayu 3/5</v>
          </cell>
          <cell r="D56">
            <v>16</v>
          </cell>
          <cell r="E56">
            <v>18</v>
          </cell>
          <cell r="F56">
            <v>20</v>
          </cell>
          <cell r="G56">
            <v>22</v>
          </cell>
          <cell r="H56">
            <v>24</v>
          </cell>
          <cell r="I56">
            <v>28</v>
          </cell>
          <cell r="J56">
            <v>32</v>
          </cell>
          <cell r="K56">
            <v>40</v>
          </cell>
        </row>
        <row r="57">
          <cell r="C57" t="str">
            <v>Bata</v>
          </cell>
          <cell r="D57">
            <v>59</v>
          </cell>
          <cell r="E57">
            <v>66</v>
          </cell>
          <cell r="F57">
            <v>74</v>
          </cell>
          <cell r="G57">
            <v>81</v>
          </cell>
          <cell r="H57">
            <v>89</v>
          </cell>
          <cell r="I57">
            <v>104</v>
          </cell>
          <cell r="J57">
            <v>118</v>
          </cell>
          <cell r="K57">
            <v>148</v>
          </cell>
        </row>
        <row r="58">
          <cell r="C58" t="str">
            <v>Cerucuk</v>
          </cell>
          <cell r="D58">
            <v>6</v>
          </cell>
          <cell r="E58">
            <v>7</v>
          </cell>
          <cell r="F58">
            <v>7</v>
          </cell>
          <cell r="G58">
            <v>8</v>
          </cell>
          <cell r="H58">
            <v>9</v>
          </cell>
          <cell r="I58">
            <v>11</v>
          </cell>
          <cell r="J58">
            <v>12</v>
          </cell>
          <cell r="K58">
            <v>15</v>
          </cell>
        </row>
        <row r="59">
          <cell r="C59" t="str">
            <v>Papan Mal</v>
          </cell>
          <cell r="D59">
            <v>5</v>
          </cell>
          <cell r="E59">
            <v>6</v>
          </cell>
          <cell r="F59">
            <v>6</v>
          </cell>
          <cell r="G59">
            <v>7</v>
          </cell>
          <cell r="H59">
            <v>8</v>
          </cell>
          <cell r="I59">
            <v>9</v>
          </cell>
          <cell r="J59">
            <v>11</v>
          </cell>
          <cell r="K59">
            <v>13</v>
          </cell>
        </row>
        <row r="60">
          <cell r="C60" t="str">
            <v>PLESTERAN</v>
          </cell>
        </row>
        <row r="61">
          <cell r="C61" t="str">
            <v>Semen PCC 40 Kg Tiga Roda</v>
          </cell>
          <cell r="D61">
            <v>28</v>
          </cell>
          <cell r="E61">
            <v>31</v>
          </cell>
          <cell r="F61">
            <v>35</v>
          </cell>
          <cell r="G61">
            <v>38</v>
          </cell>
          <cell r="H61">
            <v>42</v>
          </cell>
          <cell r="I61">
            <v>49</v>
          </cell>
          <cell r="J61">
            <v>56</v>
          </cell>
          <cell r="K61">
            <v>70</v>
          </cell>
        </row>
        <row r="62">
          <cell r="C62" t="str">
            <v>Pasir</v>
          </cell>
          <cell r="D62">
            <v>6</v>
          </cell>
          <cell r="E62">
            <v>7</v>
          </cell>
          <cell r="F62">
            <v>7</v>
          </cell>
          <cell r="G62">
            <v>8</v>
          </cell>
          <cell r="H62">
            <v>9</v>
          </cell>
          <cell r="I62">
            <v>11</v>
          </cell>
          <cell r="J62">
            <v>12</v>
          </cell>
          <cell r="K62">
            <v>15</v>
          </cell>
        </row>
        <row r="63">
          <cell r="C63" t="str">
            <v>Pipa 5/8</v>
          </cell>
          <cell r="D63">
            <v>5</v>
          </cell>
          <cell r="E63">
            <v>6</v>
          </cell>
          <cell r="F63">
            <v>6</v>
          </cell>
          <cell r="G63">
            <v>7</v>
          </cell>
          <cell r="H63">
            <v>8</v>
          </cell>
          <cell r="I63">
            <v>9</v>
          </cell>
          <cell r="J63">
            <v>11</v>
          </cell>
          <cell r="K63">
            <v>13</v>
          </cell>
        </row>
        <row r="64">
          <cell r="C64" t="str">
            <v>ATAP</v>
          </cell>
        </row>
        <row r="65">
          <cell r="C65" t="str">
            <v>Kayu 3/5</v>
          </cell>
          <cell r="D65">
            <v>48</v>
          </cell>
          <cell r="E65">
            <v>54</v>
          </cell>
          <cell r="F65">
            <v>60</v>
          </cell>
          <cell r="G65">
            <v>66</v>
          </cell>
          <cell r="H65">
            <v>72</v>
          </cell>
          <cell r="I65">
            <v>84</v>
          </cell>
          <cell r="J65">
            <v>96</v>
          </cell>
          <cell r="K65">
            <v>120</v>
          </cell>
        </row>
        <row r="66">
          <cell r="C66" t="str">
            <v>Kayu 4/6</v>
          </cell>
          <cell r="D66">
            <v>32</v>
          </cell>
          <cell r="E66">
            <v>36</v>
          </cell>
          <cell r="F66">
            <v>40</v>
          </cell>
          <cell r="G66">
            <v>44</v>
          </cell>
          <cell r="H66">
            <v>48</v>
          </cell>
          <cell r="I66">
            <v>56</v>
          </cell>
          <cell r="J66">
            <v>64</v>
          </cell>
          <cell r="K66">
            <v>80</v>
          </cell>
        </row>
        <row r="67">
          <cell r="C67" t="str">
            <v>Kayu 5/7</v>
          </cell>
          <cell r="D67">
            <v>23</v>
          </cell>
          <cell r="E67">
            <v>26</v>
          </cell>
          <cell r="F67">
            <v>29</v>
          </cell>
          <cell r="G67">
            <v>32</v>
          </cell>
          <cell r="H67">
            <v>35</v>
          </cell>
          <cell r="I67">
            <v>41</v>
          </cell>
          <cell r="J67">
            <v>47</v>
          </cell>
          <cell r="K67">
            <v>59</v>
          </cell>
        </row>
        <row r="68">
          <cell r="C68" t="str">
            <v>Lisplank</v>
          </cell>
          <cell r="D68">
            <v>7</v>
          </cell>
          <cell r="E68">
            <v>8</v>
          </cell>
          <cell r="F68">
            <v>9</v>
          </cell>
          <cell r="G68">
            <v>10</v>
          </cell>
          <cell r="H68">
            <v>11</v>
          </cell>
          <cell r="I68">
            <v>13</v>
          </cell>
          <cell r="J68">
            <v>15</v>
          </cell>
          <cell r="K68">
            <v>19</v>
          </cell>
        </row>
        <row r="69">
          <cell r="C69" t="str">
            <v>Seng  Metal 4 Susun (merah)</v>
          </cell>
          <cell r="D69">
            <v>55</v>
          </cell>
          <cell r="E69">
            <v>61</v>
          </cell>
          <cell r="F69">
            <v>68</v>
          </cell>
          <cell r="G69">
            <v>75</v>
          </cell>
          <cell r="H69">
            <v>82</v>
          </cell>
          <cell r="I69">
            <v>96</v>
          </cell>
          <cell r="J69">
            <v>110</v>
          </cell>
          <cell r="K69">
            <v>137</v>
          </cell>
        </row>
        <row r="70">
          <cell r="C70" t="str">
            <v>Seng  Metal 2 Susun (hitam)</v>
          </cell>
        </row>
        <row r="71">
          <cell r="C71" t="str">
            <v>Perabung Hitam</v>
          </cell>
        </row>
        <row r="72">
          <cell r="C72" t="str">
            <v>Perabung Merah</v>
          </cell>
          <cell r="D72">
            <v>1.5</v>
          </cell>
          <cell r="E72">
            <v>1.5</v>
          </cell>
          <cell r="F72">
            <v>1.5</v>
          </cell>
          <cell r="G72">
            <v>1.5</v>
          </cell>
          <cell r="H72">
            <v>1.5</v>
          </cell>
          <cell r="I72">
            <v>1.5</v>
          </cell>
          <cell r="J72">
            <v>1.5</v>
          </cell>
          <cell r="K72">
            <v>1.5</v>
          </cell>
        </row>
        <row r="73">
          <cell r="C73" t="str">
            <v>Paku 2 inch</v>
          </cell>
          <cell r="D73">
            <v>1</v>
          </cell>
          <cell r="E73">
            <v>1</v>
          </cell>
          <cell r="F73">
            <v>1</v>
          </cell>
          <cell r="G73">
            <v>1</v>
          </cell>
          <cell r="H73">
            <v>2</v>
          </cell>
          <cell r="I73">
            <v>2</v>
          </cell>
          <cell r="J73">
            <v>2</v>
          </cell>
          <cell r="K73">
            <v>2</v>
          </cell>
        </row>
        <row r="74">
          <cell r="C74" t="str">
            <v>Paku 3 inch</v>
          </cell>
          <cell r="D74">
            <v>1</v>
          </cell>
          <cell r="E74">
            <v>1</v>
          </cell>
          <cell r="F74">
            <v>1</v>
          </cell>
          <cell r="G74">
            <v>1</v>
          </cell>
          <cell r="H74">
            <v>2</v>
          </cell>
          <cell r="I74">
            <v>2</v>
          </cell>
          <cell r="J74">
            <v>2</v>
          </cell>
          <cell r="K74">
            <v>2</v>
          </cell>
        </row>
        <row r="75">
          <cell r="C75" t="str">
            <v>DEK</v>
          </cell>
        </row>
        <row r="76">
          <cell r="C76" t="str">
            <v>Kayu 3/5</v>
          </cell>
          <cell r="D76">
            <v>69</v>
          </cell>
          <cell r="E76">
            <v>78</v>
          </cell>
          <cell r="F76">
            <v>86</v>
          </cell>
          <cell r="G76">
            <v>95</v>
          </cell>
          <cell r="H76">
            <v>104</v>
          </cell>
          <cell r="I76">
            <v>121</v>
          </cell>
          <cell r="J76">
            <v>139</v>
          </cell>
          <cell r="K76">
            <v>173</v>
          </cell>
        </row>
        <row r="77">
          <cell r="C77" t="str">
            <v>Gypsum</v>
          </cell>
          <cell r="D77">
            <v>18</v>
          </cell>
          <cell r="E77">
            <v>20</v>
          </cell>
          <cell r="F77">
            <v>23</v>
          </cell>
          <cell r="G77">
            <v>25</v>
          </cell>
          <cell r="H77">
            <v>28</v>
          </cell>
          <cell r="I77">
            <v>32</v>
          </cell>
          <cell r="J77">
            <v>37</v>
          </cell>
          <cell r="K77">
            <v>46</v>
          </cell>
        </row>
        <row r="78">
          <cell r="C78" t="str">
            <v>Baut</v>
          </cell>
          <cell r="D78">
            <v>3</v>
          </cell>
          <cell r="E78">
            <v>3</v>
          </cell>
          <cell r="F78">
            <v>4</v>
          </cell>
          <cell r="G78">
            <v>4</v>
          </cell>
          <cell r="H78">
            <v>5</v>
          </cell>
          <cell r="I78">
            <v>6</v>
          </cell>
          <cell r="J78">
            <v>6</v>
          </cell>
          <cell r="K78">
            <v>8</v>
          </cell>
        </row>
        <row r="79">
          <cell r="C79" t="str">
            <v>Paku Beton 4 inch</v>
          </cell>
          <cell r="D79">
            <v>1</v>
          </cell>
          <cell r="E79">
            <v>1</v>
          </cell>
          <cell r="F79">
            <v>1</v>
          </cell>
          <cell r="G79">
            <v>1</v>
          </cell>
          <cell r="H79">
            <v>2</v>
          </cell>
          <cell r="I79">
            <v>2</v>
          </cell>
          <cell r="J79">
            <v>2</v>
          </cell>
          <cell r="K79">
            <v>2</v>
          </cell>
        </row>
        <row r="80">
          <cell r="C80" t="str">
            <v>Paku 3 imch</v>
          </cell>
          <cell r="D80">
            <v>1</v>
          </cell>
          <cell r="E80">
            <v>1</v>
          </cell>
          <cell r="F80">
            <v>1</v>
          </cell>
          <cell r="G80">
            <v>1</v>
          </cell>
          <cell r="H80">
            <v>2</v>
          </cell>
          <cell r="I80">
            <v>2</v>
          </cell>
          <cell r="J80">
            <v>2</v>
          </cell>
          <cell r="K80">
            <v>2</v>
          </cell>
        </row>
        <row r="81">
          <cell r="C81" t="str">
            <v>paku 2 inch</v>
          </cell>
          <cell r="D81">
            <v>1</v>
          </cell>
          <cell r="E81">
            <v>1</v>
          </cell>
          <cell r="F81">
            <v>1</v>
          </cell>
          <cell r="G81">
            <v>1</v>
          </cell>
          <cell r="H81">
            <v>2</v>
          </cell>
          <cell r="I81">
            <v>2</v>
          </cell>
          <cell r="J81">
            <v>2</v>
          </cell>
          <cell r="K81">
            <v>2</v>
          </cell>
        </row>
        <row r="82">
          <cell r="C82" t="str">
            <v>MINIMALIS</v>
          </cell>
        </row>
        <row r="83">
          <cell r="C83" t="str">
            <v>Bata</v>
          </cell>
          <cell r="D83">
            <v>87</v>
          </cell>
          <cell r="E83">
            <v>98</v>
          </cell>
          <cell r="F83">
            <v>109</v>
          </cell>
          <cell r="G83">
            <v>120</v>
          </cell>
          <cell r="H83">
            <v>131</v>
          </cell>
          <cell r="I83">
            <v>120</v>
          </cell>
          <cell r="J83">
            <v>175</v>
          </cell>
          <cell r="K83">
            <v>120</v>
          </cell>
        </row>
        <row r="84">
          <cell r="C84" t="str">
            <v>Pasir</v>
          </cell>
          <cell r="D84">
            <v>2</v>
          </cell>
          <cell r="E84">
            <v>2</v>
          </cell>
          <cell r="F84">
            <v>3</v>
          </cell>
          <cell r="G84">
            <v>3</v>
          </cell>
          <cell r="H84">
            <v>4</v>
          </cell>
          <cell r="I84">
            <v>3</v>
          </cell>
          <cell r="J84">
            <v>5</v>
          </cell>
          <cell r="K84">
            <v>3</v>
          </cell>
        </row>
        <row r="85">
          <cell r="C85" t="str">
            <v>Semen PCC 40 Kg Tiga Roda</v>
          </cell>
          <cell r="D85">
            <v>7</v>
          </cell>
          <cell r="E85">
            <v>8</v>
          </cell>
          <cell r="F85">
            <v>9</v>
          </cell>
          <cell r="G85">
            <v>10</v>
          </cell>
          <cell r="H85">
            <v>11</v>
          </cell>
          <cell r="I85">
            <v>10</v>
          </cell>
          <cell r="J85">
            <v>15</v>
          </cell>
          <cell r="K85">
            <v>10</v>
          </cell>
        </row>
        <row r="86">
          <cell r="C86" t="str">
            <v>Keramik 60 x 60 Blackmatt</v>
          </cell>
          <cell r="D86">
            <v>7</v>
          </cell>
          <cell r="E86">
            <v>7</v>
          </cell>
          <cell r="F86">
            <v>7</v>
          </cell>
          <cell r="G86">
            <v>7</v>
          </cell>
          <cell r="H86">
            <v>7</v>
          </cell>
          <cell r="I86">
            <v>7</v>
          </cell>
          <cell r="J86">
            <v>7</v>
          </cell>
          <cell r="K86">
            <v>7</v>
          </cell>
        </row>
        <row r="87">
          <cell r="C87" t="str">
            <v>CARPORT</v>
          </cell>
        </row>
        <row r="88">
          <cell r="C88" t="str">
            <v>Semen PCC 40 Kg Tiga Roda</v>
          </cell>
          <cell r="D88">
            <v>22</v>
          </cell>
          <cell r="E88">
            <v>22</v>
          </cell>
          <cell r="F88">
            <v>22</v>
          </cell>
          <cell r="G88">
            <v>22</v>
          </cell>
          <cell r="H88">
            <v>22</v>
          </cell>
          <cell r="I88">
            <v>22</v>
          </cell>
          <cell r="J88">
            <v>22</v>
          </cell>
          <cell r="K88">
            <v>22</v>
          </cell>
        </row>
        <row r="89">
          <cell r="C89" t="str">
            <v>Kayu 3/5</v>
          </cell>
          <cell r="D89">
            <v>8</v>
          </cell>
          <cell r="E89">
            <v>8</v>
          </cell>
          <cell r="F89">
            <v>8</v>
          </cell>
          <cell r="G89">
            <v>8</v>
          </cell>
          <cell r="H89">
            <v>8</v>
          </cell>
          <cell r="I89">
            <v>8</v>
          </cell>
          <cell r="J89">
            <v>8</v>
          </cell>
          <cell r="K89">
            <v>8</v>
          </cell>
        </row>
        <row r="90">
          <cell r="C90" t="str">
            <v>Cerucuk</v>
          </cell>
          <cell r="D90">
            <v>5</v>
          </cell>
          <cell r="E90">
            <v>5</v>
          </cell>
          <cell r="F90">
            <v>5</v>
          </cell>
          <cell r="G90">
            <v>5</v>
          </cell>
          <cell r="H90">
            <v>5</v>
          </cell>
          <cell r="I90">
            <v>5</v>
          </cell>
          <cell r="J90">
            <v>5</v>
          </cell>
          <cell r="K90">
            <v>5</v>
          </cell>
        </row>
        <row r="91">
          <cell r="C91" t="str">
            <v>Papan Mal</v>
          </cell>
          <cell r="D91">
            <v>10</v>
          </cell>
          <cell r="E91">
            <v>10</v>
          </cell>
          <cell r="F91">
            <v>10</v>
          </cell>
          <cell r="G91">
            <v>10</v>
          </cell>
          <cell r="H91">
            <v>10</v>
          </cell>
          <cell r="I91">
            <v>10</v>
          </cell>
          <cell r="J91">
            <v>10</v>
          </cell>
          <cell r="K91">
            <v>10</v>
          </cell>
        </row>
        <row r="92">
          <cell r="C92" t="str">
            <v>Plastik cor</v>
          </cell>
          <cell r="D92">
            <v>7</v>
          </cell>
          <cell r="E92">
            <v>7</v>
          </cell>
          <cell r="F92">
            <v>7</v>
          </cell>
          <cell r="G92">
            <v>7</v>
          </cell>
          <cell r="H92">
            <v>7</v>
          </cell>
          <cell r="I92">
            <v>7</v>
          </cell>
          <cell r="J92">
            <v>7</v>
          </cell>
          <cell r="K92">
            <v>7</v>
          </cell>
        </row>
        <row r="93">
          <cell r="C93" t="str">
            <v>Besi ø6</v>
          </cell>
          <cell r="D93">
            <v>2</v>
          </cell>
          <cell r="E93">
            <v>2</v>
          </cell>
          <cell r="F93">
            <v>2</v>
          </cell>
          <cell r="G93">
            <v>2</v>
          </cell>
          <cell r="H93">
            <v>2</v>
          </cell>
          <cell r="I93">
            <v>2</v>
          </cell>
          <cell r="J93">
            <v>2</v>
          </cell>
          <cell r="K93">
            <v>2</v>
          </cell>
        </row>
        <row r="94">
          <cell r="C94" t="str">
            <v>Besi ø8</v>
          </cell>
          <cell r="D94">
            <v>15</v>
          </cell>
          <cell r="E94">
            <v>15</v>
          </cell>
          <cell r="F94">
            <v>15</v>
          </cell>
          <cell r="G94">
            <v>15</v>
          </cell>
          <cell r="H94">
            <v>15</v>
          </cell>
          <cell r="I94">
            <v>15</v>
          </cell>
          <cell r="J94">
            <v>15</v>
          </cell>
          <cell r="K94">
            <v>15</v>
          </cell>
        </row>
        <row r="95">
          <cell r="C95" t="str">
            <v>Batu</v>
          </cell>
          <cell r="D95">
            <v>1</v>
          </cell>
          <cell r="E95">
            <v>1</v>
          </cell>
          <cell r="F95">
            <v>1</v>
          </cell>
          <cell r="G95">
            <v>1</v>
          </cell>
          <cell r="H95">
            <v>1</v>
          </cell>
          <cell r="I95">
            <v>1</v>
          </cell>
          <cell r="J95">
            <v>1</v>
          </cell>
          <cell r="K95">
            <v>1</v>
          </cell>
        </row>
        <row r="96">
          <cell r="C96" t="str">
            <v>Pasir</v>
          </cell>
          <cell r="D96">
            <v>6</v>
          </cell>
          <cell r="E96">
            <v>6</v>
          </cell>
          <cell r="F96">
            <v>6</v>
          </cell>
          <cell r="G96">
            <v>6</v>
          </cell>
          <cell r="H96">
            <v>6</v>
          </cell>
          <cell r="I96">
            <v>6</v>
          </cell>
          <cell r="J96">
            <v>6</v>
          </cell>
          <cell r="K96">
            <v>6</v>
          </cell>
        </row>
        <row r="97">
          <cell r="C97" t="str">
            <v>Keramik 30 x 60 Bon</v>
          </cell>
          <cell r="D97">
            <v>31</v>
          </cell>
          <cell r="E97">
            <v>31</v>
          </cell>
          <cell r="F97">
            <v>31</v>
          </cell>
          <cell r="G97">
            <v>31</v>
          </cell>
          <cell r="H97">
            <v>31</v>
          </cell>
          <cell r="I97">
            <v>31</v>
          </cell>
          <cell r="J97">
            <v>31</v>
          </cell>
          <cell r="K97">
            <v>31</v>
          </cell>
        </row>
        <row r="98">
          <cell r="C98" t="str">
            <v>KERAMIK</v>
          </cell>
        </row>
        <row r="99">
          <cell r="C99" t="str">
            <v>Keramik 60 x 60 Cream</v>
          </cell>
          <cell r="D99">
            <v>25</v>
          </cell>
          <cell r="E99">
            <v>29</v>
          </cell>
          <cell r="F99">
            <v>32</v>
          </cell>
          <cell r="G99">
            <v>35</v>
          </cell>
          <cell r="H99">
            <v>39</v>
          </cell>
          <cell r="I99">
            <v>45</v>
          </cell>
          <cell r="J99">
            <v>35</v>
          </cell>
          <cell r="K99">
            <v>64</v>
          </cell>
        </row>
        <row r="100">
          <cell r="C100" t="str">
            <v>Keramik 60 x 60 Blackmatt</v>
          </cell>
          <cell r="D100">
            <v>10</v>
          </cell>
          <cell r="E100">
            <v>11</v>
          </cell>
          <cell r="F100">
            <v>13</v>
          </cell>
          <cell r="G100">
            <v>14</v>
          </cell>
          <cell r="H100">
            <v>16</v>
          </cell>
          <cell r="I100">
            <v>18</v>
          </cell>
          <cell r="J100">
            <v>14</v>
          </cell>
          <cell r="K100">
            <v>26</v>
          </cell>
        </row>
        <row r="101">
          <cell r="C101" t="str">
            <v>Pasir</v>
          </cell>
          <cell r="D101">
            <v>4</v>
          </cell>
          <cell r="E101">
            <v>4</v>
          </cell>
          <cell r="F101">
            <v>5</v>
          </cell>
          <cell r="G101">
            <v>5</v>
          </cell>
          <cell r="H101">
            <v>6</v>
          </cell>
          <cell r="I101">
            <v>7</v>
          </cell>
          <cell r="J101">
            <v>5</v>
          </cell>
          <cell r="K101">
            <v>10</v>
          </cell>
        </row>
        <row r="102">
          <cell r="C102" t="str">
            <v>Semen PCC 40 Kg Tiga Roda</v>
          </cell>
          <cell r="D102">
            <v>17</v>
          </cell>
          <cell r="E102">
            <v>20</v>
          </cell>
          <cell r="F102">
            <v>22</v>
          </cell>
          <cell r="G102">
            <v>24</v>
          </cell>
          <cell r="H102">
            <v>27</v>
          </cell>
          <cell r="I102">
            <v>31</v>
          </cell>
          <cell r="J102">
            <v>24</v>
          </cell>
          <cell r="K102">
            <v>44</v>
          </cell>
        </row>
        <row r="103">
          <cell r="C103" t="str">
            <v>Oker</v>
          </cell>
          <cell r="D103">
            <v>5</v>
          </cell>
          <cell r="E103">
            <v>5</v>
          </cell>
          <cell r="F103">
            <v>5</v>
          </cell>
          <cell r="G103">
            <v>5</v>
          </cell>
          <cell r="H103">
            <v>5</v>
          </cell>
          <cell r="I103">
            <v>5</v>
          </cell>
          <cell r="J103">
            <v>5</v>
          </cell>
          <cell r="K103">
            <v>5</v>
          </cell>
        </row>
        <row r="104">
          <cell r="C104" t="str">
            <v>WC</v>
          </cell>
        </row>
        <row r="105">
          <cell r="C105" t="str">
            <v xml:space="preserve">Keramik 30 x 30 </v>
          </cell>
          <cell r="D105">
            <v>3</v>
          </cell>
          <cell r="E105">
            <v>3</v>
          </cell>
          <cell r="F105">
            <v>3</v>
          </cell>
          <cell r="G105">
            <v>6</v>
          </cell>
          <cell r="H105">
            <v>6</v>
          </cell>
          <cell r="I105">
            <v>6</v>
          </cell>
          <cell r="J105">
            <v>6</v>
          </cell>
          <cell r="K105">
            <v>6</v>
          </cell>
        </row>
        <row r="106">
          <cell r="C106" t="str">
            <v>Keramik 25 x 40</v>
          </cell>
          <cell r="D106">
            <v>11</v>
          </cell>
          <cell r="E106">
            <v>11</v>
          </cell>
          <cell r="F106">
            <v>11</v>
          </cell>
          <cell r="G106">
            <v>22</v>
          </cell>
          <cell r="H106">
            <v>22</v>
          </cell>
          <cell r="I106">
            <v>22</v>
          </cell>
          <cell r="J106">
            <v>22</v>
          </cell>
          <cell r="K106">
            <v>22</v>
          </cell>
        </row>
        <row r="107">
          <cell r="C107" t="str">
            <v>Closed jongkok Ina</v>
          </cell>
          <cell r="D107">
            <v>1</v>
          </cell>
          <cell r="E107">
            <v>1</v>
          </cell>
          <cell r="F107">
            <v>2</v>
          </cell>
          <cell r="G107">
            <v>2</v>
          </cell>
          <cell r="H107">
            <v>2</v>
          </cell>
          <cell r="I107">
            <v>2</v>
          </cell>
          <cell r="J107">
            <v>2</v>
          </cell>
          <cell r="K107">
            <v>2</v>
          </cell>
        </row>
        <row r="108">
          <cell r="C108" t="str">
            <v>Closed Duduk Volk</v>
          </cell>
          <cell r="D108">
            <v>1</v>
          </cell>
          <cell r="E108">
            <v>1</v>
          </cell>
          <cell r="F108">
            <v>1</v>
          </cell>
          <cell r="G108">
            <v>1</v>
          </cell>
          <cell r="H108">
            <v>1</v>
          </cell>
          <cell r="I108">
            <v>1</v>
          </cell>
          <cell r="J108">
            <v>1</v>
          </cell>
          <cell r="K108">
            <v>1</v>
          </cell>
        </row>
        <row r="109">
          <cell r="C109" t="str">
            <v>Floor drain</v>
          </cell>
          <cell r="D109">
            <v>2</v>
          </cell>
          <cell r="E109">
            <v>1</v>
          </cell>
          <cell r="F109">
            <v>2</v>
          </cell>
          <cell r="G109">
            <v>2</v>
          </cell>
          <cell r="H109">
            <v>2</v>
          </cell>
          <cell r="I109">
            <v>2</v>
          </cell>
          <cell r="J109">
            <v>2</v>
          </cell>
          <cell r="K109">
            <v>2</v>
          </cell>
        </row>
        <row r="110">
          <cell r="C110" t="str">
            <v>Pasir</v>
          </cell>
          <cell r="D110">
            <v>1</v>
          </cell>
          <cell r="E110">
            <v>1</v>
          </cell>
          <cell r="F110">
            <v>1</v>
          </cell>
          <cell r="G110">
            <v>1</v>
          </cell>
          <cell r="H110">
            <v>1</v>
          </cell>
          <cell r="I110">
            <v>1</v>
          </cell>
          <cell r="J110">
            <v>1</v>
          </cell>
          <cell r="K110">
            <v>1</v>
          </cell>
        </row>
        <row r="111">
          <cell r="C111" t="str">
            <v>Semen PCC 40 Kg Tiga Roda</v>
          </cell>
          <cell r="D111">
            <v>4</v>
          </cell>
          <cell r="E111">
            <v>4</v>
          </cell>
          <cell r="F111">
            <v>4</v>
          </cell>
          <cell r="G111">
            <v>4</v>
          </cell>
          <cell r="H111">
            <v>4</v>
          </cell>
          <cell r="I111">
            <v>4</v>
          </cell>
          <cell r="J111">
            <v>4</v>
          </cell>
          <cell r="K111">
            <v>4</v>
          </cell>
        </row>
        <row r="112">
          <cell r="C112" t="str">
            <v>Bak Air</v>
          </cell>
          <cell r="D112">
            <v>2</v>
          </cell>
          <cell r="E112">
            <v>2</v>
          </cell>
          <cell r="F112">
            <v>2</v>
          </cell>
          <cell r="G112">
            <v>2</v>
          </cell>
          <cell r="H112">
            <v>2</v>
          </cell>
          <cell r="I112">
            <v>2</v>
          </cell>
          <cell r="J112">
            <v>2</v>
          </cell>
          <cell r="K112">
            <v>2</v>
          </cell>
        </row>
        <row r="113">
          <cell r="C113" t="str">
            <v>Pipa 1/2"</v>
          </cell>
          <cell r="D113">
            <v>2</v>
          </cell>
          <cell r="E113">
            <v>2</v>
          </cell>
          <cell r="F113">
            <v>2</v>
          </cell>
          <cell r="G113">
            <v>2</v>
          </cell>
          <cell r="H113">
            <v>2</v>
          </cell>
          <cell r="I113">
            <v>2</v>
          </cell>
          <cell r="J113">
            <v>2</v>
          </cell>
          <cell r="K113">
            <v>2</v>
          </cell>
        </row>
        <row r="114">
          <cell r="C114" t="str">
            <v>Lbow 1/2"</v>
          </cell>
          <cell r="D114">
            <v>6</v>
          </cell>
          <cell r="E114">
            <v>6</v>
          </cell>
          <cell r="F114">
            <v>6</v>
          </cell>
          <cell r="G114">
            <v>6</v>
          </cell>
          <cell r="H114">
            <v>6</v>
          </cell>
          <cell r="I114">
            <v>6</v>
          </cell>
          <cell r="J114">
            <v>6</v>
          </cell>
          <cell r="K114">
            <v>6</v>
          </cell>
        </row>
        <row r="115">
          <cell r="C115" t="str">
            <v>Kran Air Plastik 1/2"</v>
          </cell>
          <cell r="D115">
            <v>3</v>
          </cell>
          <cell r="E115">
            <v>3</v>
          </cell>
          <cell r="F115">
            <v>3</v>
          </cell>
          <cell r="G115">
            <v>3</v>
          </cell>
          <cell r="H115">
            <v>3</v>
          </cell>
          <cell r="I115">
            <v>3</v>
          </cell>
          <cell r="J115">
            <v>3</v>
          </cell>
          <cell r="K115">
            <v>3</v>
          </cell>
        </row>
        <row r="116">
          <cell r="C116" t="str">
            <v>SDD 1/2"</v>
          </cell>
          <cell r="D116">
            <v>1</v>
          </cell>
          <cell r="E116">
            <v>1</v>
          </cell>
          <cell r="F116">
            <v>1</v>
          </cell>
          <cell r="G116">
            <v>1</v>
          </cell>
          <cell r="H116">
            <v>1</v>
          </cell>
          <cell r="I116">
            <v>1</v>
          </cell>
          <cell r="J116">
            <v>1</v>
          </cell>
          <cell r="K116">
            <v>1</v>
          </cell>
        </row>
        <row r="117">
          <cell r="C117" t="str">
            <v>ACI MINIMALIS</v>
          </cell>
        </row>
        <row r="118">
          <cell r="C118" t="str">
            <v>Semen TR-30 40 Kg Tiga Roda</v>
          </cell>
          <cell r="D118">
            <v>3</v>
          </cell>
          <cell r="E118">
            <v>2</v>
          </cell>
          <cell r="F118">
            <v>3</v>
          </cell>
          <cell r="G118">
            <v>3</v>
          </cell>
          <cell r="H118">
            <v>4</v>
          </cell>
          <cell r="I118">
            <v>4</v>
          </cell>
          <cell r="J118">
            <v>3</v>
          </cell>
          <cell r="K118">
            <v>24</v>
          </cell>
        </row>
        <row r="119">
          <cell r="C119" t="str">
            <v>CAT</v>
          </cell>
        </row>
        <row r="120">
          <cell r="C120" t="str">
            <v>Mowilex weathercoat</v>
          </cell>
          <cell r="D120">
            <v>1</v>
          </cell>
          <cell r="E120">
            <v>1</v>
          </cell>
          <cell r="F120">
            <v>1</v>
          </cell>
          <cell r="G120">
            <v>1</v>
          </cell>
          <cell r="H120">
            <v>2</v>
          </cell>
          <cell r="I120">
            <v>2</v>
          </cell>
          <cell r="J120">
            <v>1</v>
          </cell>
          <cell r="K120">
            <v>1</v>
          </cell>
        </row>
        <row r="121">
          <cell r="C121" t="str">
            <v>Nippon pain  Q--luc</v>
          </cell>
          <cell r="D121">
            <v>3</v>
          </cell>
          <cell r="E121">
            <v>2</v>
          </cell>
          <cell r="F121">
            <v>3</v>
          </cell>
          <cell r="G121">
            <v>3</v>
          </cell>
          <cell r="H121">
            <v>4</v>
          </cell>
          <cell r="I121">
            <v>4</v>
          </cell>
          <cell r="J121">
            <v>3</v>
          </cell>
          <cell r="K121">
            <v>6</v>
          </cell>
        </row>
        <row r="122">
          <cell r="C122" t="str">
            <v>Semen TR-30 40 Kg Tiga Roda</v>
          </cell>
          <cell r="D122">
            <v>9</v>
          </cell>
          <cell r="E122">
            <v>11</v>
          </cell>
          <cell r="F122">
            <v>12</v>
          </cell>
          <cell r="G122">
            <v>13</v>
          </cell>
          <cell r="H122">
            <v>15</v>
          </cell>
          <cell r="I122">
            <v>17</v>
          </cell>
          <cell r="J122">
            <v>13</v>
          </cell>
          <cell r="K122">
            <v>24</v>
          </cell>
        </row>
        <row r="123">
          <cell r="C123" t="str">
            <v>Semen Aci Putih 25 kg</v>
          </cell>
          <cell r="D123">
            <v>1</v>
          </cell>
          <cell r="E123">
            <v>1</v>
          </cell>
          <cell r="F123">
            <v>1</v>
          </cell>
          <cell r="G123">
            <v>1</v>
          </cell>
          <cell r="H123">
            <v>2</v>
          </cell>
          <cell r="I123">
            <v>2</v>
          </cell>
          <cell r="J123">
            <v>1</v>
          </cell>
          <cell r="K123">
            <v>2</v>
          </cell>
        </row>
        <row r="124">
          <cell r="C124" t="str">
            <v>PAGAR</v>
          </cell>
        </row>
        <row r="125">
          <cell r="C125" t="str">
            <v>Bata</v>
          </cell>
          <cell r="D125">
            <v>100</v>
          </cell>
          <cell r="E125">
            <v>100</v>
          </cell>
          <cell r="F125">
            <v>100</v>
          </cell>
          <cell r="G125">
            <v>100</v>
          </cell>
          <cell r="H125">
            <v>100</v>
          </cell>
          <cell r="I125">
            <v>100</v>
          </cell>
          <cell r="J125">
            <v>100</v>
          </cell>
          <cell r="K125">
            <v>100</v>
          </cell>
        </row>
        <row r="126">
          <cell r="C126" t="str">
            <v>Pasir</v>
          </cell>
          <cell r="D126">
            <v>1</v>
          </cell>
          <cell r="E126">
            <v>1</v>
          </cell>
          <cell r="F126">
            <v>1</v>
          </cell>
          <cell r="G126">
            <v>1</v>
          </cell>
          <cell r="H126">
            <v>1</v>
          </cell>
          <cell r="I126">
            <v>1</v>
          </cell>
          <cell r="J126">
            <v>1</v>
          </cell>
          <cell r="K126">
            <v>1</v>
          </cell>
        </row>
        <row r="127">
          <cell r="C127" t="str">
            <v>Semen PCC 40 Kg Tiga Roda</v>
          </cell>
          <cell r="D127">
            <v>3</v>
          </cell>
          <cell r="E127">
            <v>3</v>
          </cell>
          <cell r="F127">
            <v>3</v>
          </cell>
          <cell r="G127">
            <v>3</v>
          </cell>
          <cell r="H127">
            <v>3</v>
          </cell>
          <cell r="I127">
            <v>3</v>
          </cell>
          <cell r="J127">
            <v>3</v>
          </cell>
          <cell r="K127">
            <v>3</v>
          </cell>
        </row>
        <row r="128">
          <cell r="C128" t="str">
            <v xml:space="preserve">Besi ø6 </v>
          </cell>
          <cell r="D128">
            <v>2</v>
          </cell>
          <cell r="E128">
            <v>2</v>
          </cell>
          <cell r="F128">
            <v>2</v>
          </cell>
          <cell r="G128">
            <v>2</v>
          </cell>
          <cell r="H128">
            <v>2</v>
          </cell>
          <cell r="I128">
            <v>2</v>
          </cell>
          <cell r="J128">
            <v>2</v>
          </cell>
          <cell r="K128">
            <v>2</v>
          </cell>
        </row>
        <row r="129">
          <cell r="C129" t="str">
            <v>Besi ø8</v>
          </cell>
          <cell r="D129">
            <v>4</v>
          </cell>
          <cell r="E129">
            <v>4</v>
          </cell>
          <cell r="F129">
            <v>4</v>
          </cell>
          <cell r="G129">
            <v>4</v>
          </cell>
          <cell r="H129">
            <v>4</v>
          </cell>
          <cell r="I129">
            <v>4</v>
          </cell>
          <cell r="J129">
            <v>4</v>
          </cell>
          <cell r="K129">
            <v>4</v>
          </cell>
        </row>
        <row r="130">
          <cell r="C130" t="str">
            <v>MINIMALIS CARPOT</v>
          </cell>
        </row>
        <row r="131">
          <cell r="C131" t="str">
            <v>Semen PCC 40 Kg Tiga Roda</v>
          </cell>
          <cell r="D131">
            <v>9</v>
          </cell>
          <cell r="E131">
            <v>9</v>
          </cell>
          <cell r="F131">
            <v>9</v>
          </cell>
          <cell r="G131">
            <v>9</v>
          </cell>
          <cell r="H131">
            <v>9</v>
          </cell>
          <cell r="I131">
            <v>9</v>
          </cell>
          <cell r="J131">
            <v>9</v>
          </cell>
          <cell r="K131">
            <v>9</v>
          </cell>
        </row>
        <row r="132">
          <cell r="C132" t="str">
            <v>Pasir</v>
          </cell>
          <cell r="D132">
            <v>2</v>
          </cell>
          <cell r="E132">
            <v>2</v>
          </cell>
          <cell r="F132">
            <v>2</v>
          </cell>
          <cell r="G132">
            <v>2</v>
          </cell>
          <cell r="H132">
            <v>2</v>
          </cell>
          <cell r="I132">
            <v>2</v>
          </cell>
          <cell r="J132">
            <v>2</v>
          </cell>
          <cell r="K132">
            <v>2</v>
          </cell>
        </row>
        <row r="133">
          <cell r="C133" t="str">
            <v>TALANG AIR</v>
          </cell>
        </row>
        <row r="134">
          <cell r="C134" t="str">
            <v>Pipa 3"</v>
          </cell>
          <cell r="D134">
            <v>2</v>
          </cell>
          <cell r="E134">
            <v>2</v>
          </cell>
          <cell r="F134">
            <v>2</v>
          </cell>
          <cell r="G134">
            <v>2</v>
          </cell>
          <cell r="H134">
            <v>2</v>
          </cell>
          <cell r="I134">
            <v>2</v>
          </cell>
          <cell r="J134">
            <v>2</v>
          </cell>
          <cell r="K134">
            <v>2</v>
          </cell>
        </row>
        <row r="135">
          <cell r="C135" t="str">
            <v>Pipa 2 "</v>
          </cell>
          <cell r="D135">
            <v>2</v>
          </cell>
          <cell r="E135">
            <v>2</v>
          </cell>
          <cell r="F135">
            <v>2</v>
          </cell>
          <cell r="G135">
            <v>2</v>
          </cell>
          <cell r="H135">
            <v>2</v>
          </cell>
          <cell r="I135">
            <v>2</v>
          </cell>
          <cell r="J135">
            <v>2</v>
          </cell>
          <cell r="K135">
            <v>2</v>
          </cell>
        </row>
        <row r="136">
          <cell r="C136" t="str">
            <v>Cekakan pipa 2 "</v>
          </cell>
          <cell r="D136">
            <v>2</v>
          </cell>
          <cell r="E136">
            <v>2</v>
          </cell>
          <cell r="F136">
            <v>2</v>
          </cell>
          <cell r="G136">
            <v>2</v>
          </cell>
          <cell r="H136">
            <v>2</v>
          </cell>
          <cell r="I136">
            <v>2</v>
          </cell>
          <cell r="J136">
            <v>2</v>
          </cell>
          <cell r="K136">
            <v>2</v>
          </cell>
        </row>
        <row r="137">
          <cell r="C137" t="str">
            <v>Lbow 3" ke 2"</v>
          </cell>
          <cell r="D137">
            <v>1</v>
          </cell>
          <cell r="E137">
            <v>1</v>
          </cell>
          <cell r="F137">
            <v>1</v>
          </cell>
          <cell r="G137">
            <v>1</v>
          </cell>
          <cell r="H137">
            <v>1</v>
          </cell>
          <cell r="I137">
            <v>1</v>
          </cell>
          <cell r="J137">
            <v>1</v>
          </cell>
          <cell r="K137">
            <v>1</v>
          </cell>
        </row>
        <row r="138">
          <cell r="C138" t="str">
            <v>Sambungan 3" ke 2"</v>
          </cell>
          <cell r="D138">
            <v>1</v>
          </cell>
          <cell r="E138">
            <v>1</v>
          </cell>
          <cell r="F138">
            <v>1</v>
          </cell>
          <cell r="G138">
            <v>1</v>
          </cell>
          <cell r="H138">
            <v>1</v>
          </cell>
          <cell r="I138">
            <v>1</v>
          </cell>
          <cell r="J138">
            <v>1</v>
          </cell>
          <cell r="K138">
            <v>1</v>
          </cell>
        </row>
        <row r="139">
          <cell r="C139" t="str">
            <v>Lbow 2"</v>
          </cell>
          <cell r="D139">
            <v>3</v>
          </cell>
          <cell r="E139">
            <v>3</v>
          </cell>
          <cell r="F139">
            <v>3</v>
          </cell>
          <cell r="G139">
            <v>3</v>
          </cell>
          <cell r="H139">
            <v>3</v>
          </cell>
          <cell r="I139">
            <v>3</v>
          </cell>
          <cell r="J139">
            <v>3</v>
          </cell>
          <cell r="K139">
            <v>3</v>
          </cell>
        </row>
        <row r="140">
          <cell r="C140" t="str">
            <v>Penutup pipa 3"</v>
          </cell>
          <cell r="D140">
            <v>1</v>
          </cell>
          <cell r="E140">
            <v>1</v>
          </cell>
          <cell r="F140">
            <v>1</v>
          </cell>
          <cell r="G140">
            <v>1</v>
          </cell>
          <cell r="H140">
            <v>1</v>
          </cell>
          <cell r="I140">
            <v>1</v>
          </cell>
          <cell r="J140">
            <v>1</v>
          </cell>
          <cell r="K140">
            <v>1</v>
          </cell>
        </row>
        <row r="141">
          <cell r="C141" t="str">
            <v xml:space="preserve">Lem pipa fox </v>
          </cell>
          <cell r="D141">
            <v>1</v>
          </cell>
          <cell r="E141">
            <v>1</v>
          </cell>
          <cell r="F141">
            <v>1</v>
          </cell>
          <cell r="G141">
            <v>1</v>
          </cell>
          <cell r="H141">
            <v>1</v>
          </cell>
          <cell r="I141">
            <v>1</v>
          </cell>
          <cell r="J141">
            <v>1</v>
          </cell>
          <cell r="K141">
            <v>1</v>
          </cell>
        </row>
        <row r="142">
          <cell r="C142" t="str">
            <v xml:space="preserve">JENDELA </v>
          </cell>
        </row>
        <row r="143">
          <cell r="C143" t="str">
            <v>Aluminium white ink (openback)</v>
          </cell>
          <cell r="D143">
            <v>4</v>
          </cell>
          <cell r="E143">
            <v>4</v>
          </cell>
          <cell r="F143">
            <v>4</v>
          </cell>
          <cell r="G143">
            <v>4</v>
          </cell>
          <cell r="H143">
            <v>4</v>
          </cell>
          <cell r="I143">
            <v>4</v>
          </cell>
          <cell r="J143">
            <v>4</v>
          </cell>
          <cell r="K143">
            <v>4</v>
          </cell>
        </row>
        <row r="144">
          <cell r="C144" t="str">
            <v>Aluminium white ink (m)</v>
          </cell>
          <cell r="D144">
            <v>2</v>
          </cell>
          <cell r="E144">
            <v>2</v>
          </cell>
          <cell r="F144">
            <v>2</v>
          </cell>
          <cell r="G144">
            <v>2</v>
          </cell>
          <cell r="H144">
            <v>2</v>
          </cell>
          <cell r="I144">
            <v>2</v>
          </cell>
          <cell r="J144">
            <v>2</v>
          </cell>
          <cell r="K144">
            <v>2</v>
          </cell>
        </row>
        <row r="145">
          <cell r="C145" t="str">
            <v>Aluminium white ink (stoper casmen)</v>
          </cell>
          <cell r="D145">
            <v>6</v>
          </cell>
          <cell r="E145">
            <v>6</v>
          </cell>
          <cell r="F145">
            <v>6</v>
          </cell>
          <cell r="G145">
            <v>6</v>
          </cell>
          <cell r="H145">
            <v>6</v>
          </cell>
          <cell r="I145">
            <v>6</v>
          </cell>
          <cell r="J145">
            <v>6</v>
          </cell>
          <cell r="K145">
            <v>6</v>
          </cell>
        </row>
        <row r="146">
          <cell r="C146" t="str">
            <v>List ornamen 20 mm white(0117,4)</v>
          </cell>
          <cell r="D146">
            <v>6</v>
          </cell>
          <cell r="E146">
            <v>6</v>
          </cell>
          <cell r="F146">
            <v>6</v>
          </cell>
          <cell r="G146">
            <v>6</v>
          </cell>
          <cell r="H146">
            <v>6</v>
          </cell>
          <cell r="I146">
            <v>6</v>
          </cell>
          <cell r="J146">
            <v>6</v>
          </cell>
          <cell r="K146">
            <v>6</v>
          </cell>
        </row>
        <row r="147">
          <cell r="C147" t="str">
            <v>Klem sedang 13 x 26 x1,4 mm (KSD)</v>
          </cell>
          <cell r="D147">
            <v>1</v>
          </cell>
          <cell r="E147">
            <v>1</v>
          </cell>
          <cell r="F147">
            <v>1</v>
          </cell>
          <cell r="G147">
            <v>1</v>
          </cell>
          <cell r="H147">
            <v>1</v>
          </cell>
          <cell r="I147">
            <v>1</v>
          </cell>
          <cell r="J147">
            <v>1</v>
          </cell>
          <cell r="K147">
            <v>1</v>
          </cell>
        </row>
        <row r="148">
          <cell r="C148" t="str">
            <v>Karet C besar htm 35 m (0788)</v>
          </cell>
          <cell r="D148">
            <v>2</v>
          </cell>
          <cell r="E148">
            <v>2</v>
          </cell>
          <cell r="F148">
            <v>2</v>
          </cell>
          <cell r="G148">
            <v>2</v>
          </cell>
          <cell r="H148">
            <v>2</v>
          </cell>
          <cell r="I148">
            <v>2</v>
          </cell>
          <cell r="J148">
            <v>2</v>
          </cell>
          <cell r="K148">
            <v>2</v>
          </cell>
        </row>
        <row r="149">
          <cell r="C149" t="str">
            <v>Karet cacing htm 35 m (606lkh)</v>
          </cell>
          <cell r="D149">
            <v>2</v>
          </cell>
          <cell r="E149">
            <v>2</v>
          </cell>
          <cell r="F149">
            <v>2</v>
          </cell>
          <cell r="G149">
            <v>2</v>
          </cell>
          <cell r="H149">
            <v>2</v>
          </cell>
          <cell r="I149">
            <v>2</v>
          </cell>
          <cell r="J149">
            <v>2</v>
          </cell>
          <cell r="K149">
            <v>2</v>
          </cell>
        </row>
        <row r="150">
          <cell r="C150" t="str">
            <v>Rambuncis dks white kanan (425,4)</v>
          </cell>
          <cell r="D150">
            <v>3</v>
          </cell>
          <cell r="E150">
            <v>3</v>
          </cell>
          <cell r="F150">
            <v>3</v>
          </cell>
          <cell r="G150">
            <v>3</v>
          </cell>
          <cell r="H150">
            <v>3</v>
          </cell>
          <cell r="I150">
            <v>3</v>
          </cell>
          <cell r="J150">
            <v>3</v>
          </cell>
          <cell r="K150">
            <v>3</v>
          </cell>
        </row>
        <row r="151">
          <cell r="C151" t="str">
            <v>Rambuncis dks white kiri (425,4)</v>
          </cell>
          <cell r="D151">
            <v>2</v>
          </cell>
          <cell r="E151">
            <v>2</v>
          </cell>
          <cell r="F151">
            <v>2</v>
          </cell>
          <cell r="G151">
            <v>2</v>
          </cell>
          <cell r="H151">
            <v>2</v>
          </cell>
          <cell r="I151">
            <v>2</v>
          </cell>
          <cell r="J151">
            <v>2</v>
          </cell>
          <cell r="K151">
            <v>2</v>
          </cell>
        </row>
        <row r="152">
          <cell r="C152" t="str">
            <v>Engsel casment glatino 8 inch</v>
          </cell>
          <cell r="D152">
            <v>5</v>
          </cell>
          <cell r="E152">
            <v>5</v>
          </cell>
          <cell r="F152">
            <v>5</v>
          </cell>
          <cell r="G152">
            <v>5</v>
          </cell>
          <cell r="H152">
            <v>5</v>
          </cell>
          <cell r="I152">
            <v>5</v>
          </cell>
          <cell r="J152">
            <v>5</v>
          </cell>
          <cell r="K152">
            <v>5</v>
          </cell>
        </row>
        <row r="153">
          <cell r="C153" t="str">
            <v>Marks sosis black 620 ml (msb)</v>
          </cell>
          <cell r="D153">
            <v>4</v>
          </cell>
          <cell r="E153">
            <v>4</v>
          </cell>
          <cell r="F153">
            <v>4</v>
          </cell>
          <cell r="G153">
            <v>4</v>
          </cell>
          <cell r="H153">
            <v>4</v>
          </cell>
          <cell r="I153">
            <v>4</v>
          </cell>
          <cell r="J153">
            <v>4</v>
          </cell>
          <cell r="K153">
            <v>4</v>
          </cell>
        </row>
        <row r="154">
          <cell r="C154" t="str">
            <v>Sekrup 8 x 3 rata</v>
          </cell>
          <cell r="D154">
            <v>25</v>
          </cell>
          <cell r="E154">
            <v>25</v>
          </cell>
          <cell r="F154">
            <v>25</v>
          </cell>
          <cell r="G154">
            <v>25</v>
          </cell>
          <cell r="H154">
            <v>25</v>
          </cell>
          <cell r="I154">
            <v>25</v>
          </cell>
          <cell r="J154">
            <v>25</v>
          </cell>
          <cell r="K154">
            <v>25</v>
          </cell>
        </row>
        <row r="155">
          <cell r="C155" t="str">
            <v>Sekrup 8 x 1,5 rata @ 50 pcs</v>
          </cell>
          <cell r="D155">
            <v>40</v>
          </cell>
          <cell r="E155">
            <v>40</v>
          </cell>
          <cell r="F155">
            <v>40</v>
          </cell>
          <cell r="G155">
            <v>40</v>
          </cell>
          <cell r="H155">
            <v>40</v>
          </cell>
          <cell r="I155">
            <v>40</v>
          </cell>
          <cell r="J155">
            <v>40</v>
          </cell>
          <cell r="K155">
            <v>40</v>
          </cell>
        </row>
        <row r="156">
          <cell r="C156" t="str">
            <v>Sekrup 8 x 1 bulat</v>
          </cell>
          <cell r="D156">
            <v>40</v>
          </cell>
          <cell r="E156">
            <v>40</v>
          </cell>
          <cell r="F156">
            <v>40</v>
          </cell>
          <cell r="G156">
            <v>40</v>
          </cell>
          <cell r="H156">
            <v>40</v>
          </cell>
          <cell r="I156">
            <v>40</v>
          </cell>
          <cell r="J156">
            <v>40</v>
          </cell>
          <cell r="K156">
            <v>40</v>
          </cell>
        </row>
        <row r="157">
          <cell r="C157" t="str">
            <v>Sekrup 8 x 0,5 rata</v>
          </cell>
          <cell r="D157">
            <v>80</v>
          </cell>
          <cell r="E157">
            <v>80</v>
          </cell>
          <cell r="F157">
            <v>80</v>
          </cell>
          <cell r="G157">
            <v>80</v>
          </cell>
          <cell r="H157">
            <v>80</v>
          </cell>
          <cell r="I157">
            <v>80</v>
          </cell>
          <cell r="J157">
            <v>80</v>
          </cell>
          <cell r="K157">
            <v>80</v>
          </cell>
        </row>
        <row r="158">
          <cell r="C158" t="str">
            <v>Rivet gt 429</v>
          </cell>
          <cell r="D158">
            <v>1</v>
          </cell>
          <cell r="E158">
            <v>1</v>
          </cell>
          <cell r="F158">
            <v>1</v>
          </cell>
          <cell r="G158">
            <v>1</v>
          </cell>
          <cell r="H158">
            <v>1</v>
          </cell>
          <cell r="I158">
            <v>1</v>
          </cell>
          <cell r="J158">
            <v>1</v>
          </cell>
          <cell r="K158">
            <v>1</v>
          </cell>
        </row>
        <row r="159">
          <cell r="C159" t="str">
            <v>Fisher S6 vini star</v>
          </cell>
          <cell r="D159">
            <v>1</v>
          </cell>
          <cell r="E159">
            <v>1</v>
          </cell>
          <cell r="F159">
            <v>1</v>
          </cell>
          <cell r="G159">
            <v>1</v>
          </cell>
          <cell r="H159">
            <v>1</v>
          </cell>
          <cell r="I159">
            <v>1</v>
          </cell>
          <cell r="J159">
            <v>1</v>
          </cell>
          <cell r="K159">
            <v>1</v>
          </cell>
        </row>
        <row r="160">
          <cell r="C160" t="str">
            <v>Reben 5, 203 cm x 102 cm asahi (r8040)</v>
          </cell>
          <cell r="D160">
            <v>6</v>
          </cell>
          <cell r="E160">
            <v>6</v>
          </cell>
          <cell r="F160">
            <v>6</v>
          </cell>
          <cell r="G160">
            <v>6</v>
          </cell>
          <cell r="H160">
            <v>6</v>
          </cell>
          <cell r="I160">
            <v>6</v>
          </cell>
          <cell r="J160">
            <v>6</v>
          </cell>
          <cell r="K160">
            <v>6</v>
          </cell>
        </row>
        <row r="161">
          <cell r="C161" t="str">
            <v>Marks sosis white 620 ml (msw)</v>
          </cell>
          <cell r="D161">
            <v>4</v>
          </cell>
          <cell r="E161">
            <v>4</v>
          </cell>
          <cell r="F161">
            <v>4</v>
          </cell>
          <cell r="G161">
            <v>4</v>
          </cell>
          <cell r="H161">
            <v>4</v>
          </cell>
          <cell r="I161">
            <v>4</v>
          </cell>
          <cell r="J161">
            <v>4</v>
          </cell>
          <cell r="K161">
            <v>4</v>
          </cell>
        </row>
        <row r="162">
          <cell r="C162" t="str">
            <v>ELEKTICAL</v>
          </cell>
        </row>
        <row r="163">
          <cell r="C163" t="str">
            <v>Saklar tunggal broco</v>
          </cell>
          <cell r="D163">
            <v>6</v>
          </cell>
          <cell r="E163">
            <v>6</v>
          </cell>
          <cell r="F163">
            <v>6</v>
          </cell>
          <cell r="G163">
            <v>6</v>
          </cell>
          <cell r="H163">
            <v>6</v>
          </cell>
          <cell r="I163">
            <v>6</v>
          </cell>
          <cell r="J163">
            <v>6</v>
          </cell>
          <cell r="K163">
            <v>6</v>
          </cell>
        </row>
        <row r="164">
          <cell r="C164" t="str">
            <v>Saklar dobel broco</v>
          </cell>
          <cell r="D164">
            <v>1</v>
          </cell>
          <cell r="E164">
            <v>1</v>
          </cell>
          <cell r="F164">
            <v>1</v>
          </cell>
          <cell r="G164">
            <v>1</v>
          </cell>
          <cell r="H164">
            <v>1</v>
          </cell>
          <cell r="I164">
            <v>1</v>
          </cell>
          <cell r="J164">
            <v>1</v>
          </cell>
          <cell r="K164">
            <v>1</v>
          </cell>
        </row>
        <row r="165">
          <cell r="C165" t="str">
            <v>Stop kontak tunggal broco</v>
          </cell>
          <cell r="D165">
            <v>11</v>
          </cell>
          <cell r="E165">
            <v>11</v>
          </cell>
          <cell r="F165">
            <v>11</v>
          </cell>
          <cell r="G165">
            <v>11</v>
          </cell>
          <cell r="H165">
            <v>11</v>
          </cell>
          <cell r="I165">
            <v>11</v>
          </cell>
          <cell r="J165">
            <v>11</v>
          </cell>
          <cell r="K165">
            <v>11</v>
          </cell>
        </row>
        <row r="166">
          <cell r="C166" t="str">
            <v>Kabel NYA 1,5 Eterna (100m)</v>
          </cell>
          <cell r="D166">
            <v>1</v>
          </cell>
          <cell r="E166">
            <v>1</v>
          </cell>
          <cell r="F166">
            <v>1</v>
          </cell>
          <cell r="G166">
            <v>1</v>
          </cell>
          <cell r="H166">
            <v>1</v>
          </cell>
          <cell r="I166">
            <v>1</v>
          </cell>
          <cell r="J166">
            <v>1</v>
          </cell>
          <cell r="K166">
            <v>1</v>
          </cell>
        </row>
        <row r="167">
          <cell r="C167" t="str">
            <v>Kabel NYA 2,5 Eterna (100m)</v>
          </cell>
          <cell r="D167">
            <v>7</v>
          </cell>
          <cell r="E167">
            <v>7</v>
          </cell>
          <cell r="F167">
            <v>7</v>
          </cell>
          <cell r="G167">
            <v>7</v>
          </cell>
          <cell r="H167">
            <v>7</v>
          </cell>
          <cell r="I167">
            <v>7</v>
          </cell>
          <cell r="J167">
            <v>7</v>
          </cell>
          <cell r="K167">
            <v>7</v>
          </cell>
        </row>
        <row r="168">
          <cell r="C168" t="str">
            <v>Kabel NYM 2 x 1,5 Jumbo (50m)</v>
          </cell>
          <cell r="D168">
            <v>25</v>
          </cell>
          <cell r="E168">
            <v>25</v>
          </cell>
          <cell r="F168">
            <v>25</v>
          </cell>
          <cell r="G168">
            <v>25</v>
          </cell>
          <cell r="H168">
            <v>25</v>
          </cell>
          <cell r="I168">
            <v>25</v>
          </cell>
          <cell r="J168">
            <v>25</v>
          </cell>
          <cell r="K168">
            <v>25</v>
          </cell>
        </row>
        <row r="169">
          <cell r="C169" t="str">
            <v>Kabel NYM 2 x 2,5 Jumbo (50m)</v>
          </cell>
          <cell r="D169">
            <v>35</v>
          </cell>
          <cell r="E169">
            <v>35</v>
          </cell>
          <cell r="F169">
            <v>35</v>
          </cell>
          <cell r="G169">
            <v>35</v>
          </cell>
          <cell r="H169">
            <v>35</v>
          </cell>
          <cell r="I169">
            <v>35</v>
          </cell>
          <cell r="J169">
            <v>35</v>
          </cell>
          <cell r="K169">
            <v>35</v>
          </cell>
        </row>
        <row r="170">
          <cell r="C170" t="str">
            <v>Mcb 10A Powell</v>
          </cell>
          <cell r="D170">
            <v>1</v>
          </cell>
          <cell r="E170">
            <v>1</v>
          </cell>
          <cell r="F170">
            <v>1</v>
          </cell>
          <cell r="G170">
            <v>1</v>
          </cell>
          <cell r="H170">
            <v>1</v>
          </cell>
          <cell r="I170">
            <v>1</v>
          </cell>
          <cell r="J170">
            <v>1</v>
          </cell>
          <cell r="K170">
            <v>1</v>
          </cell>
        </row>
        <row r="171">
          <cell r="C171" t="str">
            <v>Box Mcb tanam 3 grup</v>
          </cell>
          <cell r="D171">
            <v>1</v>
          </cell>
          <cell r="E171">
            <v>1</v>
          </cell>
          <cell r="F171">
            <v>1</v>
          </cell>
          <cell r="G171">
            <v>1</v>
          </cell>
          <cell r="H171">
            <v>1</v>
          </cell>
          <cell r="I171">
            <v>1</v>
          </cell>
          <cell r="J171">
            <v>1</v>
          </cell>
          <cell r="K171">
            <v>1</v>
          </cell>
        </row>
        <row r="172">
          <cell r="C172" t="str">
            <v>Mcb Kwh 1300 amper</v>
          </cell>
          <cell r="D172">
            <v>1</v>
          </cell>
          <cell r="E172">
            <v>1</v>
          </cell>
          <cell r="F172">
            <v>1</v>
          </cell>
          <cell r="G172">
            <v>1</v>
          </cell>
          <cell r="H172">
            <v>1</v>
          </cell>
          <cell r="I172">
            <v>1</v>
          </cell>
          <cell r="J172">
            <v>1</v>
          </cell>
          <cell r="K172">
            <v>1</v>
          </cell>
        </row>
      </sheetData>
      <sheetData sheetId="1"/>
      <sheetData sheetId="2"/>
      <sheetData sheetId="3">
        <row r="5">
          <cell r="B5" t="str">
            <v>BESI</v>
          </cell>
          <cell r="C5">
            <v>1</v>
          </cell>
        </row>
        <row r="6">
          <cell r="B6" t="str">
            <v>PONDASI</v>
          </cell>
          <cell r="C6">
            <v>41700</v>
          </cell>
        </row>
        <row r="7">
          <cell r="B7" t="str">
            <v>URUG</v>
          </cell>
          <cell r="C7">
            <v>16700</v>
          </cell>
        </row>
        <row r="8">
          <cell r="B8" t="str">
            <v>COR LANTAI</v>
          </cell>
          <cell r="C8">
            <v>10000</v>
          </cell>
        </row>
        <row r="9">
          <cell r="B9" t="str">
            <v>BATA</v>
          </cell>
          <cell r="C9">
            <v>69500</v>
          </cell>
        </row>
        <row r="10">
          <cell r="B10" t="str">
            <v>PLASTER</v>
          </cell>
          <cell r="C10">
            <v>62500</v>
          </cell>
        </row>
        <row r="11">
          <cell r="B11" t="str">
            <v>ATAP</v>
          </cell>
          <cell r="C11">
            <v>33400</v>
          </cell>
        </row>
        <row r="12">
          <cell r="B12" t="str">
            <v>DEK</v>
          </cell>
          <cell r="C12">
            <v>19500</v>
          </cell>
        </row>
        <row r="13">
          <cell r="B13" t="str">
            <v>KERAMIK</v>
          </cell>
          <cell r="C13">
            <v>27800</v>
          </cell>
        </row>
        <row r="14">
          <cell r="B14" t="str">
            <v>WC</v>
          </cell>
          <cell r="C14">
            <v>4500</v>
          </cell>
        </row>
        <row r="15">
          <cell r="B15" t="str">
            <v>MINIMALIS</v>
          </cell>
          <cell r="C15">
            <v>12600</v>
          </cell>
        </row>
        <row r="16">
          <cell r="B16" t="str">
            <v>CAT</v>
          </cell>
          <cell r="C16">
            <v>34750</v>
          </cell>
        </row>
        <row r="17">
          <cell r="B17" t="str">
            <v>ACI MINIMALIS</v>
          </cell>
          <cell r="C17">
            <v>10850</v>
          </cell>
        </row>
        <row r="18">
          <cell r="B18" t="str">
            <v>CARPORT</v>
          </cell>
          <cell r="C18">
            <v>16700</v>
          </cell>
        </row>
        <row r="19">
          <cell r="B19" t="str">
            <v>MINIMALIS CARPORT</v>
          </cell>
          <cell r="C19">
            <v>5525</v>
          </cell>
        </row>
        <row r="20">
          <cell r="B20" t="str">
            <v>PAGAR</v>
          </cell>
          <cell r="C20">
            <v>4450</v>
          </cell>
        </row>
        <row r="21">
          <cell r="B21" t="str">
            <v>PINTU</v>
          </cell>
          <cell r="C21">
            <v>2650</v>
          </cell>
        </row>
        <row r="22">
          <cell r="B22" t="str">
            <v>WC 2</v>
          </cell>
          <cell r="C22">
            <v>9000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3">
          <cell r="D3" t="str">
            <v>Lokasi/No Rumah</v>
          </cell>
          <cell r="E3" t="str">
            <v>Nama Barang</v>
          </cell>
          <cell r="F3" t="str">
            <v>PEKERJAAN</v>
          </cell>
          <cell r="G3" t="str">
            <v>Jumlah</v>
          </cell>
          <cell r="H3" t="str">
            <v>Type</v>
          </cell>
        </row>
        <row r="4">
          <cell r="D4" t="str">
            <v>HARAPAN 6 02</v>
          </cell>
          <cell r="E4" t="str">
            <v>Bata</v>
          </cell>
          <cell r="F4" t="str">
            <v>PAGAR</v>
          </cell>
          <cell r="G4">
            <v>520</v>
          </cell>
          <cell r="H4">
            <v>70</v>
          </cell>
        </row>
        <row r="5">
          <cell r="D5" t="str">
            <v>HARAPAN 6 02</v>
          </cell>
          <cell r="E5" t="str">
            <v>Pasir</v>
          </cell>
          <cell r="F5" t="str">
            <v>PAGAR</v>
          </cell>
          <cell r="G5">
            <v>3</v>
          </cell>
          <cell r="H5">
            <v>70</v>
          </cell>
        </row>
        <row r="6">
          <cell r="D6" t="str">
            <v>HARAPAN 6 02</v>
          </cell>
          <cell r="E6" t="str">
            <v>Semen PCC 40 Kg Tiga Roda</v>
          </cell>
          <cell r="F6" t="str">
            <v>PAGAR</v>
          </cell>
          <cell r="G6">
            <v>29</v>
          </cell>
          <cell r="H6">
            <v>70</v>
          </cell>
        </row>
        <row r="7">
          <cell r="D7" t="str">
            <v>HARAPAN 6 02</v>
          </cell>
          <cell r="E7" t="str">
            <v xml:space="preserve">Besi ø6 </v>
          </cell>
          <cell r="F7" t="str">
            <v>PAGAR</v>
          </cell>
          <cell r="G7">
            <v>6</v>
          </cell>
          <cell r="H7">
            <v>70</v>
          </cell>
        </row>
        <row r="8">
          <cell r="D8" t="str">
            <v>HARAPAN 6 02</v>
          </cell>
          <cell r="E8" t="str">
            <v>Besi ø8</v>
          </cell>
          <cell r="F8" t="str">
            <v>PAGAR</v>
          </cell>
          <cell r="G8">
            <v>10</v>
          </cell>
          <cell r="H8">
            <v>70</v>
          </cell>
        </row>
        <row r="9">
          <cell r="D9" t="str">
            <v>DAMAI 3 01</v>
          </cell>
          <cell r="E9" t="str">
            <v>Papan</v>
          </cell>
          <cell r="F9" t="str">
            <v>BATA</v>
          </cell>
          <cell r="G9">
            <v>21</v>
          </cell>
          <cell r="H9">
            <v>45</v>
          </cell>
        </row>
        <row r="10">
          <cell r="D10" t="str">
            <v>DAMAI 3 01</v>
          </cell>
          <cell r="E10" t="str">
            <v>Kayu 3/5</v>
          </cell>
          <cell r="F10" t="str">
            <v>BATA</v>
          </cell>
          <cell r="G10">
            <v>23</v>
          </cell>
          <cell r="H10">
            <v>45</v>
          </cell>
        </row>
        <row r="11">
          <cell r="D11" t="str">
            <v>DAMAI 3 01</v>
          </cell>
          <cell r="E11" t="str">
            <v>Besi ø6</v>
          </cell>
          <cell r="F11" t="str">
            <v>BATA</v>
          </cell>
          <cell r="G11">
            <v>4</v>
          </cell>
          <cell r="H11">
            <v>45</v>
          </cell>
        </row>
        <row r="12">
          <cell r="D12" t="str">
            <v>DAMAI 3 01</v>
          </cell>
          <cell r="E12" t="str">
            <v xml:space="preserve">Besi ø8 </v>
          </cell>
          <cell r="F12" t="str">
            <v>BATA</v>
          </cell>
          <cell r="G12">
            <v>7</v>
          </cell>
          <cell r="H12">
            <v>45</v>
          </cell>
        </row>
        <row r="13">
          <cell r="D13" t="str">
            <v>DAMAI 3 01</v>
          </cell>
          <cell r="E13" t="str">
            <v xml:space="preserve">Besi ø6 </v>
          </cell>
          <cell r="F13" t="str">
            <v>BATA</v>
          </cell>
          <cell r="G13">
            <v>2</v>
          </cell>
          <cell r="H13">
            <v>45</v>
          </cell>
        </row>
        <row r="14">
          <cell r="D14" t="str">
            <v>DAMAI 3 01</v>
          </cell>
          <cell r="E14" t="str">
            <v>Kusen Pintu ( 2 Daun )</v>
          </cell>
          <cell r="F14" t="str">
            <v>BATA</v>
          </cell>
          <cell r="G14">
            <v>1</v>
          </cell>
          <cell r="H14">
            <v>45</v>
          </cell>
        </row>
        <row r="15">
          <cell r="D15" t="str">
            <v>DAMAI 3 01</v>
          </cell>
          <cell r="E15" t="str">
            <v>Kusen Pintu ( 1 Daun )</v>
          </cell>
          <cell r="F15" t="str">
            <v>BATA</v>
          </cell>
          <cell r="G15">
            <v>3</v>
          </cell>
          <cell r="H15">
            <v>45</v>
          </cell>
        </row>
        <row r="16">
          <cell r="D16" t="str">
            <v>DAMAI 3 01</v>
          </cell>
          <cell r="E16" t="str">
            <v>Bata</v>
          </cell>
          <cell r="F16" t="str">
            <v>BATA</v>
          </cell>
          <cell r="G16">
            <v>2096</v>
          </cell>
          <cell r="H16">
            <v>45</v>
          </cell>
        </row>
        <row r="17">
          <cell r="D17" t="str">
            <v>DAMAI 3 01</v>
          </cell>
          <cell r="E17" t="str">
            <v>Semen PCC 40 Kg Tiga Roda</v>
          </cell>
          <cell r="F17" t="str">
            <v>BATA</v>
          </cell>
          <cell r="G17">
            <v>17</v>
          </cell>
          <cell r="H17">
            <v>45</v>
          </cell>
        </row>
        <row r="18">
          <cell r="D18" t="str">
            <v>DAMAI 3 01</v>
          </cell>
          <cell r="E18" t="str">
            <v>Pasir</v>
          </cell>
          <cell r="F18" t="str">
            <v>BATA</v>
          </cell>
          <cell r="G18">
            <v>1</v>
          </cell>
          <cell r="H18">
            <v>45</v>
          </cell>
        </row>
        <row r="19">
          <cell r="D19" t="str">
            <v>DAMAI 3 01</v>
          </cell>
          <cell r="E19" t="str">
            <v>Besi ø6</v>
          </cell>
          <cell r="F19" t="str">
            <v>BATA</v>
          </cell>
          <cell r="G19">
            <v>4</v>
          </cell>
          <cell r="H19">
            <v>45</v>
          </cell>
        </row>
        <row r="20">
          <cell r="D20" t="str">
            <v>DAMAI 3 01</v>
          </cell>
          <cell r="E20" t="str">
            <v>Semen PCC 40 Kg Tiga Roda</v>
          </cell>
          <cell r="F20" t="str">
            <v>Cor Tiang Depan</v>
          </cell>
          <cell r="G20">
            <v>4</v>
          </cell>
          <cell r="H20">
            <v>45</v>
          </cell>
        </row>
        <row r="21">
          <cell r="D21" t="str">
            <v>DAMAI 3 01</v>
          </cell>
          <cell r="E21" t="str">
            <v>Pasir</v>
          </cell>
          <cell r="F21" t="str">
            <v>Cor Tiang Depan</v>
          </cell>
          <cell r="G21">
            <v>1</v>
          </cell>
          <cell r="H21">
            <v>45</v>
          </cell>
        </row>
        <row r="22">
          <cell r="D22" t="str">
            <v>DAMAI 3 01</v>
          </cell>
          <cell r="E22" t="str">
            <v>Batu</v>
          </cell>
          <cell r="F22" t="str">
            <v>Cor Tiang Depan</v>
          </cell>
          <cell r="G22">
            <v>2</v>
          </cell>
          <cell r="H22">
            <v>45</v>
          </cell>
        </row>
        <row r="23">
          <cell r="D23" t="str">
            <v>DAMAI 3 01</v>
          </cell>
          <cell r="E23" t="str">
            <v xml:space="preserve">Besi ø6 </v>
          </cell>
          <cell r="F23" t="str">
            <v>Cor Tiang Depan</v>
          </cell>
          <cell r="G23">
            <v>2</v>
          </cell>
          <cell r="H23">
            <v>45</v>
          </cell>
        </row>
        <row r="24">
          <cell r="D24" t="str">
            <v>DAMAI 3 01</v>
          </cell>
          <cell r="E24" t="str">
            <v>Besi ø8</v>
          </cell>
          <cell r="F24" t="str">
            <v>Cor Tiang Depan</v>
          </cell>
          <cell r="G24">
            <v>3</v>
          </cell>
          <cell r="H24">
            <v>45</v>
          </cell>
        </row>
        <row r="25">
          <cell r="D25" t="str">
            <v>DAMAI 3 01</v>
          </cell>
          <cell r="E25" t="str">
            <v>Multiplek</v>
          </cell>
          <cell r="F25" t="str">
            <v>Cor Tiang Depan</v>
          </cell>
          <cell r="G25">
            <v>1</v>
          </cell>
          <cell r="H25">
            <v>45</v>
          </cell>
        </row>
        <row r="26">
          <cell r="D26" t="str">
            <v>DAMAI 3 01</v>
          </cell>
          <cell r="E26" t="str">
            <v>Kayu 3/5</v>
          </cell>
          <cell r="F26" t="str">
            <v>Cor Tiang Depan</v>
          </cell>
          <cell r="G26">
            <v>18</v>
          </cell>
          <cell r="H26">
            <v>45</v>
          </cell>
        </row>
        <row r="27">
          <cell r="D27" t="str">
            <v>DAMAI 3 01</v>
          </cell>
          <cell r="E27" t="str">
            <v>Bata</v>
          </cell>
          <cell r="F27" t="str">
            <v>Cor Tiang Depan</v>
          </cell>
          <cell r="G27">
            <v>66</v>
          </cell>
          <cell r="H27">
            <v>45</v>
          </cell>
        </row>
        <row r="28">
          <cell r="D28" t="str">
            <v>DAMAI 3 01</v>
          </cell>
          <cell r="E28" t="str">
            <v>Cerucuk</v>
          </cell>
          <cell r="F28" t="str">
            <v>Cor Tiang Depan</v>
          </cell>
          <cell r="G28">
            <v>7</v>
          </cell>
          <cell r="H28">
            <v>45</v>
          </cell>
        </row>
        <row r="29">
          <cell r="D29" t="str">
            <v>DAMAI 3 01</v>
          </cell>
          <cell r="E29" t="str">
            <v>Papan Mal</v>
          </cell>
          <cell r="F29" t="str">
            <v>Cor Tiang Depan</v>
          </cell>
          <cell r="G29">
            <v>6</v>
          </cell>
          <cell r="H29">
            <v>45</v>
          </cell>
        </row>
        <row r="30">
          <cell r="D30" t="str">
            <v>DAMAI 3 02</v>
          </cell>
          <cell r="E30" t="str">
            <v>Semen PCC 40 Kg Tiga Roda</v>
          </cell>
          <cell r="F30" t="str">
            <v>PLASTER</v>
          </cell>
          <cell r="G30">
            <v>31</v>
          </cell>
          <cell r="H30">
            <v>45</v>
          </cell>
        </row>
        <row r="31">
          <cell r="D31" t="str">
            <v>DAMAI 3 02</v>
          </cell>
          <cell r="E31" t="str">
            <v>Pasir</v>
          </cell>
          <cell r="F31" t="str">
            <v>PLASTER</v>
          </cell>
          <cell r="G31">
            <v>7</v>
          </cell>
          <cell r="H31">
            <v>45</v>
          </cell>
        </row>
        <row r="32">
          <cell r="D32" t="str">
            <v>DAMAI 3 02</v>
          </cell>
          <cell r="E32" t="str">
            <v>Pipa 5/8</v>
          </cell>
          <cell r="F32" t="str">
            <v>PLASTER</v>
          </cell>
          <cell r="G32">
            <v>6</v>
          </cell>
          <cell r="H32">
            <v>45</v>
          </cell>
        </row>
        <row r="33">
          <cell r="D33" t="str">
            <v>DAMAI 3 02</v>
          </cell>
          <cell r="E33" t="str">
            <v>Kayu 3/5</v>
          </cell>
          <cell r="F33" t="str">
            <v>ATAP</v>
          </cell>
          <cell r="G33">
            <v>75</v>
          </cell>
          <cell r="H33">
            <v>45</v>
          </cell>
        </row>
        <row r="34">
          <cell r="D34" t="str">
            <v>DAMAI 3 02</v>
          </cell>
          <cell r="E34" t="str">
            <v>Kayu 4/6</v>
          </cell>
          <cell r="F34" t="str">
            <v>ATAP</v>
          </cell>
          <cell r="G34">
            <v>40</v>
          </cell>
          <cell r="H34">
            <v>45</v>
          </cell>
        </row>
        <row r="35">
          <cell r="D35" t="str">
            <v>DAMAI 3 02</v>
          </cell>
          <cell r="E35" t="str">
            <v>Kayu 5/7</v>
          </cell>
          <cell r="F35" t="str">
            <v>ATAP</v>
          </cell>
          <cell r="G35">
            <v>30</v>
          </cell>
          <cell r="H35">
            <v>45</v>
          </cell>
        </row>
        <row r="36">
          <cell r="D36" t="str">
            <v>DAMAI 3 02</v>
          </cell>
          <cell r="E36" t="str">
            <v>Lisplank</v>
          </cell>
          <cell r="F36" t="str">
            <v>ATAP</v>
          </cell>
          <cell r="G36">
            <v>8</v>
          </cell>
          <cell r="H36">
            <v>45</v>
          </cell>
        </row>
        <row r="37">
          <cell r="D37" t="str">
            <v>DAMAI 3 02</v>
          </cell>
          <cell r="E37" t="str">
            <v>Seng  Metal 4 Susun (merah)</v>
          </cell>
          <cell r="F37" t="str">
            <v>ATAP</v>
          </cell>
          <cell r="G37">
            <v>61</v>
          </cell>
          <cell r="H37">
            <v>45</v>
          </cell>
        </row>
        <row r="38">
          <cell r="D38" t="str">
            <v>DAMAI 3 02</v>
          </cell>
          <cell r="E38" t="str">
            <v>Seng  Metal 2 Susun (hitam)</v>
          </cell>
          <cell r="F38" t="str">
            <v>ATAP</v>
          </cell>
          <cell r="H38">
            <v>45</v>
          </cell>
        </row>
        <row r="39">
          <cell r="D39" t="str">
            <v>DAMAI 3 02</v>
          </cell>
          <cell r="E39" t="str">
            <v>Perabung Hitam</v>
          </cell>
          <cell r="F39" t="str">
            <v>ATAP</v>
          </cell>
          <cell r="H39">
            <v>45</v>
          </cell>
        </row>
        <row r="40">
          <cell r="D40" t="str">
            <v>DAMAI 3 02</v>
          </cell>
          <cell r="E40" t="str">
            <v>Perabung Merah</v>
          </cell>
          <cell r="F40" t="str">
            <v>ATAP</v>
          </cell>
          <cell r="G40">
            <v>1.5</v>
          </cell>
          <cell r="H40">
            <v>45</v>
          </cell>
        </row>
        <row r="41">
          <cell r="D41" t="str">
            <v>DAMAI 3 02</v>
          </cell>
          <cell r="E41" t="str">
            <v>Paku 2 inch</v>
          </cell>
          <cell r="F41" t="str">
            <v>ATAP</v>
          </cell>
          <cell r="G41">
            <v>1</v>
          </cell>
          <cell r="H41">
            <v>45</v>
          </cell>
        </row>
        <row r="42">
          <cell r="D42" t="str">
            <v>DAMAI 3 02</v>
          </cell>
          <cell r="E42" t="str">
            <v>Paku 3 inch</v>
          </cell>
          <cell r="F42" t="str">
            <v>ATAP</v>
          </cell>
          <cell r="G42">
            <v>1</v>
          </cell>
          <cell r="H42">
            <v>45</v>
          </cell>
        </row>
        <row r="43">
          <cell r="D43" t="str">
            <v>DAMAI 3 02</v>
          </cell>
          <cell r="E43" t="str">
            <v>Papan</v>
          </cell>
          <cell r="F43" t="str">
            <v>BATA</v>
          </cell>
          <cell r="G43">
            <v>21</v>
          </cell>
          <cell r="H43">
            <v>45</v>
          </cell>
        </row>
        <row r="44">
          <cell r="D44" t="str">
            <v>DAMAI 3 02</v>
          </cell>
          <cell r="E44" t="str">
            <v>Kayu 3/5</v>
          </cell>
          <cell r="F44" t="str">
            <v>BATA</v>
          </cell>
          <cell r="G44">
            <v>23</v>
          </cell>
          <cell r="H44">
            <v>45</v>
          </cell>
        </row>
        <row r="45">
          <cell r="D45" t="str">
            <v>DAMAI 3 02</v>
          </cell>
          <cell r="E45" t="str">
            <v>Besi ø6</v>
          </cell>
          <cell r="F45" t="str">
            <v>BATA</v>
          </cell>
          <cell r="G45">
            <v>4</v>
          </cell>
          <cell r="H45">
            <v>45</v>
          </cell>
        </row>
        <row r="46">
          <cell r="D46" t="str">
            <v>DAMAI 3 02</v>
          </cell>
          <cell r="E46" t="str">
            <v xml:space="preserve">Besi ø8 </v>
          </cell>
          <cell r="F46" t="str">
            <v>BATA</v>
          </cell>
          <cell r="G46">
            <v>7</v>
          </cell>
          <cell r="H46">
            <v>45</v>
          </cell>
        </row>
        <row r="47">
          <cell r="D47" t="str">
            <v>DAMAI 3 02</v>
          </cell>
          <cell r="E47" t="str">
            <v xml:space="preserve">Besi ø6 </v>
          </cell>
          <cell r="F47" t="str">
            <v>BATA</v>
          </cell>
          <cell r="G47">
            <v>2</v>
          </cell>
          <cell r="H47">
            <v>45</v>
          </cell>
        </row>
        <row r="48">
          <cell r="D48" t="str">
            <v>DAMAI 3 02</v>
          </cell>
          <cell r="E48" t="str">
            <v>Kusen Pintu ( 2 Daun )</v>
          </cell>
          <cell r="F48" t="str">
            <v>BATA</v>
          </cell>
          <cell r="G48">
            <v>1</v>
          </cell>
          <cell r="H48">
            <v>45</v>
          </cell>
        </row>
        <row r="49">
          <cell r="D49" t="str">
            <v>DAMAI 3 02</v>
          </cell>
          <cell r="E49" t="str">
            <v>Kusen Pintu ( 1 Daun )</v>
          </cell>
          <cell r="F49" t="str">
            <v>BATA</v>
          </cell>
          <cell r="G49">
            <v>3</v>
          </cell>
          <cell r="H49">
            <v>45</v>
          </cell>
        </row>
        <row r="50">
          <cell r="D50" t="str">
            <v>DAMAI 3 02</v>
          </cell>
          <cell r="E50" t="str">
            <v>Bata</v>
          </cell>
          <cell r="F50" t="str">
            <v>BATA</v>
          </cell>
          <cell r="G50">
            <v>2096</v>
          </cell>
          <cell r="H50">
            <v>45</v>
          </cell>
        </row>
        <row r="51">
          <cell r="D51" t="str">
            <v>DAMAI 3 02</v>
          </cell>
          <cell r="E51" t="str">
            <v>Semen PCC 40 Kg Tiga Roda</v>
          </cell>
          <cell r="F51" t="str">
            <v>BATA</v>
          </cell>
          <cell r="G51">
            <v>17</v>
          </cell>
          <cell r="H51">
            <v>45</v>
          </cell>
        </row>
        <row r="52">
          <cell r="D52" t="str">
            <v>DAMAI 3 02</v>
          </cell>
          <cell r="E52" t="str">
            <v>Pasir</v>
          </cell>
          <cell r="F52" t="str">
            <v>BATA</v>
          </cell>
          <cell r="G52">
            <v>4</v>
          </cell>
          <cell r="H52">
            <v>45</v>
          </cell>
        </row>
        <row r="53">
          <cell r="D53" t="str">
            <v>DAMAI 3 02</v>
          </cell>
          <cell r="E53" t="str">
            <v>Besi ø6</v>
          </cell>
          <cell r="F53" t="str">
            <v>BATA</v>
          </cell>
          <cell r="G53">
            <v>4</v>
          </cell>
          <cell r="H53">
            <v>45</v>
          </cell>
        </row>
        <row r="54">
          <cell r="D54" t="str">
            <v>KARYA 02</v>
          </cell>
          <cell r="E54" t="str">
            <v>Semen PCC 40 Kg Tiga Roda</v>
          </cell>
          <cell r="F54" t="str">
            <v>PLASTER</v>
          </cell>
          <cell r="G54">
            <v>38</v>
          </cell>
          <cell r="H54">
            <v>60</v>
          </cell>
        </row>
        <row r="55">
          <cell r="D55" t="str">
            <v>KARYA 02</v>
          </cell>
          <cell r="E55" t="str">
            <v>Pasir</v>
          </cell>
          <cell r="F55" t="str">
            <v>PLASTER</v>
          </cell>
          <cell r="G55">
            <v>7</v>
          </cell>
          <cell r="H55">
            <v>60</v>
          </cell>
        </row>
        <row r="56">
          <cell r="D56" t="str">
            <v>KARYA 02</v>
          </cell>
          <cell r="E56" t="str">
            <v>Pipa 5/8</v>
          </cell>
          <cell r="F56" t="str">
            <v>PLASTER</v>
          </cell>
          <cell r="G56">
            <v>8</v>
          </cell>
          <cell r="H56">
            <v>60</v>
          </cell>
        </row>
        <row r="57">
          <cell r="D57" t="str">
            <v>KARYA 02</v>
          </cell>
          <cell r="E57" t="str">
            <v>Kayu 3/5</v>
          </cell>
          <cell r="F57" t="str">
            <v>ATAP</v>
          </cell>
          <cell r="G57">
            <v>72</v>
          </cell>
          <cell r="H57">
            <v>60</v>
          </cell>
        </row>
        <row r="58">
          <cell r="D58" t="str">
            <v>KARYA 02</v>
          </cell>
          <cell r="E58" t="str">
            <v>Kayu 4/6</v>
          </cell>
          <cell r="F58" t="str">
            <v>ATAP</v>
          </cell>
          <cell r="G58">
            <v>48</v>
          </cell>
          <cell r="H58">
            <v>60</v>
          </cell>
        </row>
        <row r="59">
          <cell r="D59" t="str">
            <v>KARYA 02</v>
          </cell>
          <cell r="E59" t="str">
            <v>Kayu 5/7</v>
          </cell>
          <cell r="F59" t="str">
            <v>ATAP</v>
          </cell>
          <cell r="G59">
            <v>35</v>
          </cell>
          <cell r="H59">
            <v>60</v>
          </cell>
        </row>
        <row r="60">
          <cell r="D60" t="str">
            <v>KARYA 02</v>
          </cell>
          <cell r="E60" t="str">
            <v>Lisplank</v>
          </cell>
          <cell r="F60" t="str">
            <v>ATAP</v>
          </cell>
          <cell r="G60">
            <v>11</v>
          </cell>
          <cell r="H60">
            <v>60</v>
          </cell>
        </row>
        <row r="61">
          <cell r="D61" t="str">
            <v>KARYA 02</v>
          </cell>
          <cell r="E61" t="str">
            <v>Seng  Metal 4 Susun (merah)</v>
          </cell>
          <cell r="F61" t="str">
            <v>ATAP</v>
          </cell>
          <cell r="G61">
            <v>82</v>
          </cell>
          <cell r="H61">
            <v>60</v>
          </cell>
        </row>
        <row r="62">
          <cell r="D62" t="str">
            <v>KARYA 02</v>
          </cell>
          <cell r="E62" t="str">
            <v>Seng  Metal 2 Susun (hitam)</v>
          </cell>
          <cell r="F62" t="str">
            <v>ATAP</v>
          </cell>
          <cell r="H62">
            <v>60</v>
          </cell>
        </row>
        <row r="63">
          <cell r="D63" t="str">
            <v>KARYA 02</v>
          </cell>
          <cell r="E63" t="str">
            <v>Perabung Hitam</v>
          </cell>
          <cell r="F63" t="str">
            <v>ATAP</v>
          </cell>
          <cell r="H63">
            <v>60</v>
          </cell>
        </row>
        <row r="64">
          <cell r="D64" t="str">
            <v>KARYA 02</v>
          </cell>
          <cell r="E64" t="str">
            <v>Perabung Merah</v>
          </cell>
          <cell r="F64" t="str">
            <v>ATAP</v>
          </cell>
          <cell r="G64">
            <v>1.5</v>
          </cell>
          <cell r="H64">
            <v>60</v>
          </cell>
        </row>
        <row r="65">
          <cell r="D65" t="str">
            <v>KARYA 02</v>
          </cell>
          <cell r="E65" t="str">
            <v>Paku 2 inch</v>
          </cell>
          <cell r="F65" t="str">
            <v>ATAP</v>
          </cell>
          <cell r="G65">
            <v>2</v>
          </cell>
          <cell r="H65">
            <v>60</v>
          </cell>
        </row>
        <row r="66">
          <cell r="D66" t="str">
            <v>KARYA 02</v>
          </cell>
          <cell r="E66" t="str">
            <v>Paku 3 inch</v>
          </cell>
          <cell r="F66" t="str">
            <v>ATAP</v>
          </cell>
          <cell r="G66">
            <v>2</v>
          </cell>
          <cell r="H66">
            <v>60</v>
          </cell>
        </row>
        <row r="67">
          <cell r="D67" t="str">
            <v>KARYA 02</v>
          </cell>
          <cell r="E67" t="str">
            <v>Kayu 3/5</v>
          </cell>
          <cell r="F67" t="str">
            <v>DEK</v>
          </cell>
          <cell r="G67">
            <v>151</v>
          </cell>
          <cell r="H67">
            <v>60</v>
          </cell>
        </row>
        <row r="68">
          <cell r="D68" t="str">
            <v>KARYA 02</v>
          </cell>
          <cell r="E68" t="str">
            <v>Gypsum</v>
          </cell>
          <cell r="F68" t="str">
            <v>DEK</v>
          </cell>
          <cell r="G68">
            <v>24</v>
          </cell>
          <cell r="H68">
            <v>60</v>
          </cell>
        </row>
        <row r="69">
          <cell r="D69" t="str">
            <v>KARYA 02</v>
          </cell>
          <cell r="E69" t="str">
            <v>Baut</v>
          </cell>
          <cell r="F69" t="str">
            <v>DEK</v>
          </cell>
          <cell r="G69">
            <v>7</v>
          </cell>
          <cell r="H69">
            <v>60</v>
          </cell>
        </row>
        <row r="70">
          <cell r="D70" t="str">
            <v>KARYA 02</v>
          </cell>
          <cell r="E70" t="str">
            <v>Paku Beton 4 inch</v>
          </cell>
          <cell r="F70" t="str">
            <v>DEK</v>
          </cell>
          <cell r="G70">
            <v>2</v>
          </cell>
          <cell r="H70">
            <v>60</v>
          </cell>
        </row>
        <row r="71">
          <cell r="D71" t="str">
            <v>KARYA 02</v>
          </cell>
          <cell r="E71" t="str">
            <v>Paku 3 imch</v>
          </cell>
          <cell r="F71" t="str">
            <v>DEK</v>
          </cell>
          <cell r="G71">
            <v>2</v>
          </cell>
          <cell r="H71">
            <v>60</v>
          </cell>
        </row>
        <row r="72">
          <cell r="D72" t="str">
            <v>KARYA 02</v>
          </cell>
          <cell r="E72" t="str">
            <v>paku 2 inch</v>
          </cell>
          <cell r="F72" t="str">
            <v>DEK</v>
          </cell>
          <cell r="G72">
            <v>2</v>
          </cell>
          <cell r="H72">
            <v>60</v>
          </cell>
        </row>
        <row r="73">
          <cell r="D73" t="str">
            <v>KARYA 02</v>
          </cell>
          <cell r="E73" t="str">
            <v>Bata</v>
          </cell>
          <cell r="F73" t="str">
            <v>MINIMALIS</v>
          </cell>
          <cell r="G73">
            <v>131</v>
          </cell>
          <cell r="H73">
            <v>60</v>
          </cell>
        </row>
        <row r="74">
          <cell r="D74" t="str">
            <v>KARYA 02</v>
          </cell>
          <cell r="E74" t="str">
            <v>Pasir</v>
          </cell>
          <cell r="F74" t="str">
            <v>MINIMALIS</v>
          </cell>
          <cell r="G74">
            <v>4</v>
          </cell>
          <cell r="H74">
            <v>60</v>
          </cell>
        </row>
        <row r="75">
          <cell r="D75" t="str">
            <v>KARYA 02</v>
          </cell>
          <cell r="E75" t="str">
            <v>Semen PCC 40 Kg Tiga Roda</v>
          </cell>
          <cell r="F75" t="str">
            <v>MINIMALIS</v>
          </cell>
          <cell r="G75">
            <v>6</v>
          </cell>
          <cell r="H75">
            <v>60</v>
          </cell>
        </row>
        <row r="76">
          <cell r="D76" t="str">
            <v>KARYA 02</v>
          </cell>
          <cell r="E76" t="str">
            <v>Keramik 60 x 60 Blackmatt</v>
          </cell>
          <cell r="F76" t="str">
            <v>MINIMALIS</v>
          </cell>
          <cell r="G76">
            <v>11</v>
          </cell>
          <cell r="H76">
            <v>60</v>
          </cell>
        </row>
        <row r="77">
          <cell r="D77" t="str">
            <v>KARYA 04</v>
          </cell>
          <cell r="E77" t="str">
            <v>Semen PCC 40 Kg Tiga Roda</v>
          </cell>
          <cell r="F77" t="str">
            <v>CARPORT</v>
          </cell>
          <cell r="G77">
            <v>10</v>
          </cell>
          <cell r="H77">
            <v>55</v>
          </cell>
        </row>
        <row r="78">
          <cell r="D78" t="str">
            <v>KARYA 04</v>
          </cell>
          <cell r="E78" t="str">
            <v>Kayu 3/5</v>
          </cell>
          <cell r="F78" t="str">
            <v>CARPORT</v>
          </cell>
          <cell r="G78">
            <v>8</v>
          </cell>
          <cell r="H78">
            <v>55</v>
          </cell>
        </row>
        <row r="79">
          <cell r="D79" t="str">
            <v>KARYA 04</v>
          </cell>
          <cell r="E79" t="str">
            <v>Cerucuk</v>
          </cell>
          <cell r="F79" t="str">
            <v>CARPORT</v>
          </cell>
          <cell r="G79">
            <v>5</v>
          </cell>
          <cell r="H79">
            <v>55</v>
          </cell>
        </row>
        <row r="80">
          <cell r="D80" t="str">
            <v>KARYA 04</v>
          </cell>
          <cell r="E80" t="str">
            <v>Papan Mal</v>
          </cell>
          <cell r="F80" t="str">
            <v>CARPORT</v>
          </cell>
          <cell r="G80">
            <v>10</v>
          </cell>
          <cell r="H80">
            <v>55</v>
          </cell>
        </row>
        <row r="81">
          <cell r="D81" t="str">
            <v>KARYA 04</v>
          </cell>
          <cell r="E81" t="str">
            <v>Plastik cor</v>
          </cell>
          <cell r="F81" t="str">
            <v>CARPORT</v>
          </cell>
          <cell r="G81">
            <v>7</v>
          </cell>
          <cell r="H81">
            <v>55</v>
          </cell>
        </row>
        <row r="82">
          <cell r="D82" t="str">
            <v>KARYA 04</v>
          </cell>
          <cell r="E82" t="str">
            <v>Besi ø6</v>
          </cell>
          <cell r="F82" t="str">
            <v>CARPORT</v>
          </cell>
          <cell r="G82">
            <v>2</v>
          </cell>
          <cell r="H82">
            <v>55</v>
          </cell>
        </row>
        <row r="83">
          <cell r="D83" t="str">
            <v>KARYA 04</v>
          </cell>
          <cell r="E83" t="str">
            <v>Besi ø8</v>
          </cell>
          <cell r="F83" t="str">
            <v>CARPORT</v>
          </cell>
          <cell r="G83">
            <v>15</v>
          </cell>
          <cell r="H83">
            <v>55</v>
          </cell>
        </row>
        <row r="84">
          <cell r="D84" t="str">
            <v>KARYA 04</v>
          </cell>
          <cell r="E84" t="str">
            <v>Batu</v>
          </cell>
          <cell r="F84" t="str">
            <v>CARPORT</v>
          </cell>
          <cell r="G84">
            <v>1</v>
          </cell>
          <cell r="H84">
            <v>55</v>
          </cell>
        </row>
        <row r="85">
          <cell r="D85" t="str">
            <v>KARYA 04</v>
          </cell>
          <cell r="E85" t="str">
            <v>Pasir</v>
          </cell>
          <cell r="F85" t="str">
            <v>CARPORT</v>
          </cell>
          <cell r="G85">
            <v>3</v>
          </cell>
          <cell r="H85">
            <v>55</v>
          </cell>
        </row>
        <row r="86">
          <cell r="D86" t="str">
            <v>KARYA 04</v>
          </cell>
          <cell r="E86" t="str">
            <v>Keramik 60 x 60 Blackmatt</v>
          </cell>
          <cell r="F86" t="str">
            <v>CARPORT</v>
          </cell>
          <cell r="H86">
            <v>55</v>
          </cell>
        </row>
        <row r="87">
          <cell r="D87" t="str">
            <v>KARYA 04</v>
          </cell>
          <cell r="E87" t="str">
            <v>Papan</v>
          </cell>
          <cell r="F87" t="str">
            <v>BATA</v>
          </cell>
          <cell r="G87">
            <v>24</v>
          </cell>
          <cell r="H87">
            <v>55</v>
          </cell>
        </row>
        <row r="88">
          <cell r="D88" t="str">
            <v>KARYA 04</v>
          </cell>
          <cell r="E88" t="str">
            <v>Kayu 3/5</v>
          </cell>
          <cell r="F88" t="str">
            <v>BATA</v>
          </cell>
          <cell r="G88">
            <v>24</v>
          </cell>
          <cell r="H88">
            <v>55</v>
          </cell>
        </row>
        <row r="89">
          <cell r="D89" t="str">
            <v>KARYA 04</v>
          </cell>
          <cell r="E89" t="str">
            <v>Besi ø6</v>
          </cell>
          <cell r="F89" t="str">
            <v>BATA</v>
          </cell>
          <cell r="G89">
            <v>5</v>
          </cell>
          <cell r="H89">
            <v>55</v>
          </cell>
        </row>
        <row r="90">
          <cell r="D90" t="str">
            <v>KARYA 04</v>
          </cell>
          <cell r="E90" t="str">
            <v xml:space="preserve">Besi ø8 </v>
          </cell>
          <cell r="F90" t="str">
            <v>BATA</v>
          </cell>
          <cell r="G90">
            <v>12</v>
          </cell>
          <cell r="H90">
            <v>55</v>
          </cell>
        </row>
        <row r="91">
          <cell r="D91" t="str">
            <v>KARYA 04</v>
          </cell>
          <cell r="E91" t="str">
            <v xml:space="preserve">Besi ø6 </v>
          </cell>
          <cell r="F91" t="str">
            <v>BATA</v>
          </cell>
          <cell r="G91">
            <v>3</v>
          </cell>
          <cell r="H91">
            <v>55</v>
          </cell>
        </row>
        <row r="92">
          <cell r="D92" t="str">
            <v>KARYA 04</v>
          </cell>
          <cell r="E92" t="str">
            <v>Kusen Pintu ( 2 Daun )</v>
          </cell>
          <cell r="F92" t="str">
            <v>BATA</v>
          </cell>
          <cell r="H92">
            <v>55</v>
          </cell>
        </row>
        <row r="93">
          <cell r="D93" t="str">
            <v>KARYA 04</v>
          </cell>
          <cell r="E93" t="str">
            <v>Kusen Pintu ( 1 Daun )</v>
          </cell>
          <cell r="F93" t="str">
            <v>BATA</v>
          </cell>
          <cell r="H93">
            <v>55</v>
          </cell>
        </row>
        <row r="94">
          <cell r="D94" t="str">
            <v>KARYA 04</v>
          </cell>
          <cell r="E94" t="str">
            <v>Bata</v>
          </cell>
          <cell r="F94" t="str">
            <v>BATA</v>
          </cell>
          <cell r="G94">
            <v>2562</v>
          </cell>
          <cell r="H94">
            <v>55</v>
          </cell>
        </row>
        <row r="95">
          <cell r="D95" t="str">
            <v>KARYA 04</v>
          </cell>
          <cell r="E95" t="str">
            <v>Semen PCC 40 Kg Tiga Roda</v>
          </cell>
          <cell r="F95" t="str">
            <v>BATA</v>
          </cell>
          <cell r="G95">
            <v>18</v>
          </cell>
          <cell r="H95">
            <v>55</v>
          </cell>
        </row>
        <row r="96">
          <cell r="D96" t="str">
            <v>KARYA 04</v>
          </cell>
          <cell r="E96" t="str">
            <v>Pasir</v>
          </cell>
          <cell r="F96" t="str">
            <v>BATA</v>
          </cell>
          <cell r="G96">
            <v>3</v>
          </cell>
          <cell r="H96">
            <v>55</v>
          </cell>
        </row>
        <row r="97">
          <cell r="D97" t="str">
            <v>KARYA 04</v>
          </cell>
          <cell r="E97" t="str">
            <v>Besi ø6</v>
          </cell>
          <cell r="F97" t="str">
            <v>BATA</v>
          </cell>
          <cell r="G97">
            <v>5</v>
          </cell>
          <cell r="H97">
            <v>55</v>
          </cell>
        </row>
        <row r="98">
          <cell r="D98" t="str">
            <v>KARYA 05</v>
          </cell>
          <cell r="E98" t="str">
            <v>Papan</v>
          </cell>
          <cell r="F98" t="str">
            <v>BATA</v>
          </cell>
          <cell r="G98">
            <v>28</v>
          </cell>
          <cell r="H98">
            <v>55</v>
          </cell>
        </row>
        <row r="99">
          <cell r="D99" t="str">
            <v>KARYA 05</v>
          </cell>
          <cell r="E99" t="str">
            <v>Kayu 3/5</v>
          </cell>
          <cell r="F99" t="str">
            <v>BATA</v>
          </cell>
          <cell r="G99">
            <v>28</v>
          </cell>
          <cell r="H99">
            <v>55</v>
          </cell>
        </row>
        <row r="100">
          <cell r="D100" t="str">
            <v>KARYA 05</v>
          </cell>
          <cell r="E100" t="str">
            <v>Besi ø6</v>
          </cell>
          <cell r="F100" t="str">
            <v>BATA</v>
          </cell>
          <cell r="G100">
            <v>5</v>
          </cell>
          <cell r="H100">
            <v>55</v>
          </cell>
        </row>
        <row r="101">
          <cell r="D101" t="str">
            <v>KARYA 05</v>
          </cell>
          <cell r="E101" t="str">
            <v xml:space="preserve">Besi ø8 </v>
          </cell>
          <cell r="F101" t="str">
            <v>BATA</v>
          </cell>
          <cell r="G101">
            <v>9</v>
          </cell>
          <cell r="H101">
            <v>55</v>
          </cell>
        </row>
        <row r="102">
          <cell r="D102" t="str">
            <v>KARYA 05</v>
          </cell>
          <cell r="E102" t="str">
            <v xml:space="preserve">Besi ø6 </v>
          </cell>
          <cell r="F102" t="str">
            <v>BATA</v>
          </cell>
          <cell r="G102">
            <v>2</v>
          </cell>
          <cell r="H102">
            <v>55</v>
          </cell>
        </row>
        <row r="103">
          <cell r="D103" t="str">
            <v>KARYA 05</v>
          </cell>
          <cell r="E103" t="str">
            <v>Kusen Pintu ( 2 Daun )</v>
          </cell>
          <cell r="F103" t="str">
            <v>BATA</v>
          </cell>
          <cell r="G103">
            <v>1</v>
          </cell>
          <cell r="H103">
            <v>55</v>
          </cell>
        </row>
        <row r="104">
          <cell r="D104" t="str">
            <v>KARYA 05</v>
          </cell>
          <cell r="E104" t="str">
            <v>Kusen Pintu ( 1 Daun )</v>
          </cell>
          <cell r="F104" t="str">
            <v>BATA</v>
          </cell>
          <cell r="G104">
            <v>3</v>
          </cell>
          <cell r="H104">
            <v>55</v>
          </cell>
        </row>
        <row r="105">
          <cell r="D105" t="str">
            <v>KARYA 05</v>
          </cell>
          <cell r="E105" t="str">
            <v>Bata</v>
          </cell>
          <cell r="F105" t="str">
            <v>BATA</v>
          </cell>
          <cell r="G105">
            <v>2562</v>
          </cell>
          <cell r="H105">
            <v>55</v>
          </cell>
        </row>
        <row r="106">
          <cell r="D106" t="str">
            <v>KARYA 05</v>
          </cell>
          <cell r="E106" t="str">
            <v>Semen PCC 40 Kg Tiga Roda</v>
          </cell>
          <cell r="F106" t="str">
            <v>BATA</v>
          </cell>
          <cell r="G106">
            <v>21</v>
          </cell>
          <cell r="H106">
            <v>55</v>
          </cell>
        </row>
        <row r="107">
          <cell r="D107" t="str">
            <v>KARYA 05</v>
          </cell>
          <cell r="E107" t="str">
            <v>Pasir</v>
          </cell>
          <cell r="F107" t="str">
            <v>BATA</v>
          </cell>
          <cell r="G107">
            <v>5</v>
          </cell>
          <cell r="H107">
            <v>55</v>
          </cell>
        </row>
        <row r="108">
          <cell r="D108" t="str">
            <v>KARYA 05</v>
          </cell>
          <cell r="E108" t="str">
            <v>Besi ø6</v>
          </cell>
          <cell r="F108" t="str">
            <v>BATA</v>
          </cell>
          <cell r="G108">
            <v>5</v>
          </cell>
          <cell r="H108">
            <v>55</v>
          </cell>
        </row>
        <row r="109">
          <cell r="D109" t="str">
            <v>KARYA 05</v>
          </cell>
          <cell r="E109" t="str">
            <v>Semen PCC 40 Kg Tiga Roda</v>
          </cell>
          <cell r="F109" t="str">
            <v>PLASTER</v>
          </cell>
          <cell r="G109">
            <v>32</v>
          </cell>
          <cell r="H109">
            <v>55</v>
          </cell>
        </row>
        <row r="110">
          <cell r="D110" t="str">
            <v>KARYA 05</v>
          </cell>
          <cell r="E110" t="str">
            <v>Pasir</v>
          </cell>
          <cell r="F110" t="str">
            <v>PLASTER</v>
          </cell>
          <cell r="G110">
            <v>6</v>
          </cell>
          <cell r="H110">
            <v>55</v>
          </cell>
        </row>
        <row r="111">
          <cell r="D111" t="str">
            <v>KARYA 05</v>
          </cell>
          <cell r="E111" t="str">
            <v>Pipa 5/8</v>
          </cell>
          <cell r="F111" t="str">
            <v>PLASTER</v>
          </cell>
          <cell r="G111">
            <v>7</v>
          </cell>
          <cell r="H111">
            <v>55</v>
          </cell>
        </row>
        <row r="112">
          <cell r="D112" t="str">
            <v>KARYA 05</v>
          </cell>
          <cell r="E112" t="str">
            <v>Kayu 3/5</v>
          </cell>
          <cell r="F112" t="str">
            <v>ATAP</v>
          </cell>
          <cell r="G112">
            <v>80</v>
          </cell>
          <cell r="H112">
            <v>55</v>
          </cell>
        </row>
        <row r="113">
          <cell r="D113" t="str">
            <v>KARYA 05</v>
          </cell>
          <cell r="E113" t="str">
            <v>Kayu 4/6</v>
          </cell>
          <cell r="F113" t="str">
            <v>ATAP</v>
          </cell>
          <cell r="G113">
            <v>70</v>
          </cell>
          <cell r="H113">
            <v>55</v>
          </cell>
        </row>
        <row r="114">
          <cell r="D114" t="str">
            <v>KARYA 05</v>
          </cell>
          <cell r="E114" t="str">
            <v>Kayu 5/7</v>
          </cell>
          <cell r="F114" t="str">
            <v>ATAP</v>
          </cell>
          <cell r="G114">
            <v>40</v>
          </cell>
          <cell r="H114">
            <v>55</v>
          </cell>
        </row>
        <row r="115">
          <cell r="D115" t="str">
            <v>KARYA 05</v>
          </cell>
          <cell r="E115" t="str">
            <v>Lisplank</v>
          </cell>
          <cell r="F115" t="str">
            <v>ATAP</v>
          </cell>
          <cell r="G115">
            <v>10</v>
          </cell>
          <cell r="H115">
            <v>55</v>
          </cell>
        </row>
        <row r="116">
          <cell r="D116" t="str">
            <v>KARYA 05</v>
          </cell>
          <cell r="E116" t="str">
            <v>Seng  Metal 4 Susun (merah)</v>
          </cell>
          <cell r="F116" t="str">
            <v>ATAP</v>
          </cell>
          <cell r="G116">
            <v>80</v>
          </cell>
          <cell r="H116">
            <v>55</v>
          </cell>
        </row>
        <row r="117">
          <cell r="D117" t="str">
            <v>KARYA 05</v>
          </cell>
          <cell r="E117" t="str">
            <v>Seng  Metal 2 Susun (hitam)</v>
          </cell>
          <cell r="F117" t="str">
            <v>ATAP</v>
          </cell>
          <cell r="H117">
            <v>55</v>
          </cell>
        </row>
        <row r="118">
          <cell r="D118" t="str">
            <v>KARYA 05</v>
          </cell>
          <cell r="E118" t="str">
            <v>Perabung Hitam</v>
          </cell>
          <cell r="F118" t="str">
            <v>ATAP</v>
          </cell>
          <cell r="H118">
            <v>55</v>
          </cell>
        </row>
        <row r="119">
          <cell r="D119" t="str">
            <v>KARYA 05</v>
          </cell>
          <cell r="E119" t="str">
            <v>Perabung Merah</v>
          </cell>
          <cell r="F119" t="str">
            <v>ATAP</v>
          </cell>
          <cell r="G119">
            <v>1.5</v>
          </cell>
          <cell r="H119">
            <v>55</v>
          </cell>
        </row>
        <row r="120">
          <cell r="D120" t="str">
            <v>KARYA 05</v>
          </cell>
          <cell r="E120" t="str">
            <v>Paku 2 inch</v>
          </cell>
          <cell r="F120" t="str">
            <v>ATAP</v>
          </cell>
          <cell r="G120">
            <v>1</v>
          </cell>
          <cell r="H120">
            <v>55</v>
          </cell>
        </row>
        <row r="121">
          <cell r="D121" t="str">
            <v>KARYA 05</v>
          </cell>
          <cell r="E121" t="str">
            <v>Paku 3 inch</v>
          </cell>
          <cell r="F121" t="str">
            <v>ATAP</v>
          </cell>
          <cell r="G121">
            <v>1</v>
          </cell>
          <cell r="H121">
            <v>55</v>
          </cell>
        </row>
        <row r="122">
          <cell r="D122" t="str">
            <v>KARYA 06</v>
          </cell>
          <cell r="E122" t="str">
            <v>Kayu 3/5</v>
          </cell>
          <cell r="F122" t="str">
            <v>DEK</v>
          </cell>
          <cell r="G122">
            <v>80</v>
          </cell>
          <cell r="H122">
            <v>55</v>
          </cell>
        </row>
        <row r="123">
          <cell r="D123" t="str">
            <v>KARYA 06</v>
          </cell>
          <cell r="E123" t="str">
            <v>Gypsum</v>
          </cell>
          <cell r="F123" t="str">
            <v>DEK</v>
          </cell>
          <cell r="G123">
            <v>27</v>
          </cell>
          <cell r="H123">
            <v>55</v>
          </cell>
        </row>
        <row r="124">
          <cell r="D124" t="str">
            <v>KARYA 06</v>
          </cell>
          <cell r="E124" t="str">
            <v>Baut</v>
          </cell>
          <cell r="F124" t="str">
            <v>DEK</v>
          </cell>
          <cell r="G124">
            <v>5</v>
          </cell>
          <cell r="H124">
            <v>55</v>
          </cell>
        </row>
        <row r="125">
          <cell r="D125" t="str">
            <v>KARYA 06</v>
          </cell>
          <cell r="E125" t="str">
            <v>Paku Beton 4 inch</v>
          </cell>
          <cell r="F125" t="str">
            <v>DEK</v>
          </cell>
          <cell r="G125">
            <v>1</v>
          </cell>
          <cell r="H125">
            <v>55</v>
          </cell>
        </row>
        <row r="126">
          <cell r="D126" t="str">
            <v>KARYA 06</v>
          </cell>
          <cell r="E126" t="str">
            <v>Paku 3 imch</v>
          </cell>
          <cell r="F126" t="str">
            <v>DEK</v>
          </cell>
          <cell r="G126">
            <v>1</v>
          </cell>
          <cell r="H126">
            <v>55</v>
          </cell>
        </row>
        <row r="127">
          <cell r="D127" t="str">
            <v>KARYA 06</v>
          </cell>
          <cell r="E127" t="str">
            <v>paku 2 inch</v>
          </cell>
          <cell r="F127" t="str">
            <v>DEK</v>
          </cell>
          <cell r="G127">
            <v>1</v>
          </cell>
          <cell r="H127">
            <v>55</v>
          </cell>
        </row>
        <row r="128">
          <cell r="D128" t="str">
            <v>KARYA 06</v>
          </cell>
          <cell r="E128" t="str">
            <v>Bata</v>
          </cell>
          <cell r="F128" t="str">
            <v>MINIMALIS</v>
          </cell>
          <cell r="G128">
            <v>120</v>
          </cell>
          <cell r="H128">
            <v>55</v>
          </cell>
        </row>
        <row r="129">
          <cell r="D129" t="str">
            <v>KARYA 06</v>
          </cell>
          <cell r="E129" t="str">
            <v>Pasir</v>
          </cell>
          <cell r="F129" t="str">
            <v>MINIMALIS</v>
          </cell>
          <cell r="G129">
            <v>2</v>
          </cell>
          <cell r="H129">
            <v>55</v>
          </cell>
        </row>
        <row r="130">
          <cell r="D130" t="str">
            <v>KARYA 06</v>
          </cell>
          <cell r="E130" t="str">
            <v>Semen PCC 40 Kg Tiga Roda</v>
          </cell>
          <cell r="F130" t="str">
            <v>MINIMALIS</v>
          </cell>
          <cell r="G130">
            <v>6</v>
          </cell>
          <cell r="H130">
            <v>55</v>
          </cell>
        </row>
        <row r="131">
          <cell r="D131" t="str">
            <v>KARYA 06</v>
          </cell>
          <cell r="E131" t="str">
            <v>Keramik 60 x 60 Blackmatt</v>
          </cell>
          <cell r="F131" t="str">
            <v>MINIMALIS</v>
          </cell>
          <cell r="G131">
            <v>7</v>
          </cell>
          <cell r="H131">
            <v>55</v>
          </cell>
        </row>
        <row r="132">
          <cell r="D132" t="str">
            <v>KARYA 06</v>
          </cell>
          <cell r="E132" t="str">
            <v xml:space="preserve">Keramik 30 x 30 </v>
          </cell>
          <cell r="F132" t="str">
            <v>WC</v>
          </cell>
          <cell r="G132">
            <v>6</v>
          </cell>
          <cell r="H132">
            <v>55</v>
          </cell>
        </row>
        <row r="133">
          <cell r="D133" t="str">
            <v>KARYA 06</v>
          </cell>
          <cell r="E133" t="str">
            <v>Keramik 25 x 40</v>
          </cell>
          <cell r="F133" t="str">
            <v>WC</v>
          </cell>
          <cell r="G133">
            <v>22</v>
          </cell>
          <cell r="H133">
            <v>55</v>
          </cell>
        </row>
        <row r="134">
          <cell r="D134" t="str">
            <v>KARYA 06</v>
          </cell>
          <cell r="E134" t="str">
            <v>Closed jongkok Ina</v>
          </cell>
          <cell r="F134" t="str">
            <v>WC</v>
          </cell>
          <cell r="G134">
            <v>1</v>
          </cell>
          <cell r="H134">
            <v>55</v>
          </cell>
        </row>
        <row r="135">
          <cell r="D135" t="str">
            <v>KARYA 06</v>
          </cell>
          <cell r="E135" t="str">
            <v>Closed Duduk Volk</v>
          </cell>
          <cell r="F135" t="str">
            <v>WC</v>
          </cell>
          <cell r="G135">
            <v>1</v>
          </cell>
          <cell r="H135">
            <v>55</v>
          </cell>
        </row>
        <row r="136">
          <cell r="D136" t="str">
            <v>KARYA 06</v>
          </cell>
          <cell r="E136" t="str">
            <v>Floor drain</v>
          </cell>
          <cell r="F136" t="str">
            <v>WC</v>
          </cell>
          <cell r="G136">
            <v>2</v>
          </cell>
          <cell r="H136">
            <v>55</v>
          </cell>
        </row>
        <row r="137">
          <cell r="D137" t="str">
            <v>KARYA 06</v>
          </cell>
          <cell r="E137" t="str">
            <v>Pasir</v>
          </cell>
          <cell r="F137" t="str">
            <v>WC</v>
          </cell>
          <cell r="G137">
            <v>1</v>
          </cell>
          <cell r="H137">
            <v>55</v>
          </cell>
        </row>
        <row r="138">
          <cell r="D138" t="str">
            <v>KARYA 06</v>
          </cell>
          <cell r="E138" t="str">
            <v>Semen PCC 40 Kg Tiga Roda</v>
          </cell>
          <cell r="F138" t="str">
            <v>WC</v>
          </cell>
          <cell r="G138">
            <v>4</v>
          </cell>
          <cell r="H138">
            <v>55</v>
          </cell>
        </row>
        <row r="139">
          <cell r="D139" t="str">
            <v>KARYA 06</v>
          </cell>
          <cell r="E139" t="str">
            <v>Bak Air</v>
          </cell>
          <cell r="F139" t="str">
            <v>WC</v>
          </cell>
          <cell r="G139">
            <v>2</v>
          </cell>
          <cell r="H139">
            <v>55</v>
          </cell>
        </row>
        <row r="140">
          <cell r="D140" t="str">
            <v>KARYA 06</v>
          </cell>
          <cell r="E140" t="str">
            <v>Pipa 1/2"</v>
          </cell>
          <cell r="F140" t="str">
            <v>WC</v>
          </cell>
          <cell r="H140">
            <v>55</v>
          </cell>
        </row>
        <row r="141">
          <cell r="D141" t="str">
            <v>KARYA 06</v>
          </cell>
          <cell r="E141" t="str">
            <v>Lbow 1/2"</v>
          </cell>
          <cell r="F141" t="str">
            <v>WC</v>
          </cell>
          <cell r="H141">
            <v>55</v>
          </cell>
        </row>
        <row r="142">
          <cell r="D142" t="str">
            <v>KARYA 06</v>
          </cell>
          <cell r="E142" t="str">
            <v>Kran Air Plastik 1/2"</v>
          </cell>
          <cell r="F142" t="str">
            <v>WC</v>
          </cell>
          <cell r="G142">
            <v>2</v>
          </cell>
          <cell r="H142">
            <v>55</v>
          </cell>
        </row>
        <row r="143">
          <cell r="D143" t="str">
            <v>KARYA 06</v>
          </cell>
          <cell r="E143" t="str">
            <v>SDD 1/2"</v>
          </cell>
          <cell r="F143" t="str">
            <v>WC</v>
          </cell>
          <cell r="G143">
            <v>2</v>
          </cell>
          <cell r="H143">
            <v>55</v>
          </cell>
        </row>
        <row r="144">
          <cell r="D144" t="str">
            <v>KARYA 07</v>
          </cell>
          <cell r="E144" t="str">
            <v>Kayu 3/5</v>
          </cell>
          <cell r="F144" t="str">
            <v>DEK</v>
          </cell>
          <cell r="G144">
            <v>80</v>
          </cell>
          <cell r="H144">
            <v>55</v>
          </cell>
        </row>
        <row r="145">
          <cell r="D145" t="str">
            <v>KARYA 07</v>
          </cell>
          <cell r="E145" t="str">
            <v>Gypsum</v>
          </cell>
          <cell r="F145" t="str">
            <v>DEK</v>
          </cell>
          <cell r="G145">
            <v>27</v>
          </cell>
          <cell r="H145">
            <v>55</v>
          </cell>
        </row>
        <row r="146">
          <cell r="D146" t="str">
            <v>KARYA 07</v>
          </cell>
          <cell r="E146" t="str">
            <v>Baut</v>
          </cell>
          <cell r="F146" t="str">
            <v>DEK</v>
          </cell>
          <cell r="G146">
            <v>5</v>
          </cell>
          <cell r="H146">
            <v>55</v>
          </cell>
        </row>
        <row r="147">
          <cell r="D147" t="str">
            <v>KARYA 07</v>
          </cell>
          <cell r="E147" t="str">
            <v>Paku Beton 4 inch</v>
          </cell>
          <cell r="F147" t="str">
            <v>DEK</v>
          </cell>
          <cell r="G147">
            <v>1</v>
          </cell>
          <cell r="H147">
            <v>55</v>
          </cell>
        </row>
        <row r="148">
          <cell r="D148" t="str">
            <v>KARYA 07</v>
          </cell>
          <cell r="E148" t="str">
            <v>Paku 3 imch</v>
          </cell>
          <cell r="F148" t="str">
            <v>DEK</v>
          </cell>
          <cell r="G148">
            <v>1</v>
          </cell>
          <cell r="H148">
            <v>55</v>
          </cell>
        </row>
        <row r="149">
          <cell r="D149" t="str">
            <v>KARYA 07</v>
          </cell>
          <cell r="E149" t="str">
            <v>paku 2 inch</v>
          </cell>
          <cell r="F149" t="str">
            <v>DEK</v>
          </cell>
          <cell r="G149">
            <v>1</v>
          </cell>
          <cell r="H149">
            <v>55</v>
          </cell>
        </row>
        <row r="150">
          <cell r="D150" t="str">
            <v>KARYA 07</v>
          </cell>
          <cell r="E150" t="str">
            <v xml:space="preserve">Keramik 30 x 30 </v>
          </cell>
          <cell r="F150" t="str">
            <v>WC</v>
          </cell>
          <cell r="G150">
            <v>6</v>
          </cell>
          <cell r="H150">
            <v>55</v>
          </cell>
        </row>
        <row r="151">
          <cell r="D151" t="str">
            <v>KARYA 07</v>
          </cell>
          <cell r="E151" t="str">
            <v>Keramik 25 x 40</v>
          </cell>
          <cell r="F151" t="str">
            <v>WC</v>
          </cell>
          <cell r="G151">
            <v>22</v>
          </cell>
          <cell r="H151">
            <v>55</v>
          </cell>
        </row>
        <row r="152">
          <cell r="D152" t="str">
            <v>KARYA 07</v>
          </cell>
          <cell r="E152" t="str">
            <v>Closed jongkok Ina</v>
          </cell>
          <cell r="F152" t="str">
            <v>WC</v>
          </cell>
          <cell r="G152">
            <v>1</v>
          </cell>
          <cell r="H152">
            <v>55</v>
          </cell>
        </row>
        <row r="153">
          <cell r="D153" t="str">
            <v>KARYA 07</v>
          </cell>
          <cell r="E153" t="str">
            <v>Closed Duduk Volk</v>
          </cell>
          <cell r="F153" t="str">
            <v>WC</v>
          </cell>
          <cell r="G153">
            <v>1</v>
          </cell>
          <cell r="H153">
            <v>55</v>
          </cell>
        </row>
        <row r="154">
          <cell r="D154" t="str">
            <v>KARYA 07</v>
          </cell>
          <cell r="E154" t="str">
            <v>Floor drain</v>
          </cell>
          <cell r="F154" t="str">
            <v>WC</v>
          </cell>
          <cell r="G154">
            <v>2</v>
          </cell>
          <cell r="H154">
            <v>55</v>
          </cell>
        </row>
        <row r="155">
          <cell r="D155" t="str">
            <v>KARYA 07</v>
          </cell>
          <cell r="E155" t="str">
            <v>Pasir</v>
          </cell>
          <cell r="F155" t="str">
            <v>WC</v>
          </cell>
          <cell r="G155">
            <v>1</v>
          </cell>
          <cell r="H155">
            <v>55</v>
          </cell>
        </row>
        <row r="156">
          <cell r="D156" t="str">
            <v>KARYA 07</v>
          </cell>
          <cell r="E156" t="str">
            <v>Semen PCC 40 Kg Tiga Roda</v>
          </cell>
          <cell r="F156" t="str">
            <v>WC</v>
          </cell>
          <cell r="G156">
            <v>4</v>
          </cell>
          <cell r="H156">
            <v>55</v>
          </cell>
        </row>
        <row r="157">
          <cell r="D157" t="str">
            <v>KARYA 07</v>
          </cell>
          <cell r="E157" t="str">
            <v>Bak Air</v>
          </cell>
          <cell r="F157" t="str">
            <v>WC</v>
          </cell>
          <cell r="G157">
            <v>2</v>
          </cell>
          <cell r="H157">
            <v>55</v>
          </cell>
        </row>
        <row r="158">
          <cell r="D158" t="str">
            <v>KARYA 07</v>
          </cell>
          <cell r="E158" t="str">
            <v>Pipa 1/2"</v>
          </cell>
          <cell r="F158" t="str">
            <v>WC</v>
          </cell>
          <cell r="H158">
            <v>55</v>
          </cell>
        </row>
        <row r="159">
          <cell r="D159" t="str">
            <v>KARYA 07</v>
          </cell>
          <cell r="E159" t="str">
            <v>Lbow 1/2"</v>
          </cell>
          <cell r="F159" t="str">
            <v>WC</v>
          </cell>
          <cell r="H159">
            <v>55</v>
          </cell>
        </row>
        <row r="160">
          <cell r="D160" t="str">
            <v>KARYA 07</v>
          </cell>
          <cell r="E160" t="str">
            <v>Kran Air Plastik 1/2"</v>
          </cell>
          <cell r="F160" t="str">
            <v>WC</v>
          </cell>
          <cell r="G160">
            <v>2</v>
          </cell>
          <cell r="H160">
            <v>55</v>
          </cell>
        </row>
        <row r="161">
          <cell r="D161" t="str">
            <v>KARYA 07</v>
          </cell>
          <cell r="E161" t="str">
            <v>SDD 1/2"</v>
          </cell>
          <cell r="F161" t="str">
            <v>WC</v>
          </cell>
          <cell r="G161">
            <v>2</v>
          </cell>
          <cell r="H161">
            <v>55</v>
          </cell>
        </row>
        <row r="162">
          <cell r="D162" t="str">
            <v>KARYA 07</v>
          </cell>
          <cell r="E162" t="str">
            <v>Keramik 60 x 60 Cream</v>
          </cell>
          <cell r="F162" t="str">
            <v>KERAMIK</v>
          </cell>
          <cell r="G162">
            <v>28</v>
          </cell>
          <cell r="H162">
            <v>55</v>
          </cell>
        </row>
        <row r="163">
          <cell r="D163" t="str">
            <v>KARYA 07</v>
          </cell>
          <cell r="E163" t="str">
            <v>Keramik 60 x 60 Blackmatt</v>
          </cell>
          <cell r="F163" t="str">
            <v>KERAMIK</v>
          </cell>
          <cell r="G163">
            <v>4</v>
          </cell>
          <cell r="H163">
            <v>55</v>
          </cell>
        </row>
        <row r="164">
          <cell r="D164" t="str">
            <v>KARYA 07</v>
          </cell>
          <cell r="E164" t="str">
            <v>Pasir</v>
          </cell>
          <cell r="F164" t="str">
            <v>KERAMIK</v>
          </cell>
          <cell r="G164">
            <v>4</v>
          </cell>
          <cell r="H164">
            <v>55</v>
          </cell>
        </row>
        <row r="165">
          <cell r="D165" t="str">
            <v>KARYA 07</v>
          </cell>
          <cell r="E165" t="str">
            <v>Semen PCC 40 Kg Tiga Roda</v>
          </cell>
          <cell r="F165" t="str">
            <v>KERAMIK</v>
          </cell>
          <cell r="G165">
            <v>14</v>
          </cell>
          <cell r="H165">
            <v>55</v>
          </cell>
        </row>
        <row r="166">
          <cell r="D166" t="str">
            <v>KARYA 07</v>
          </cell>
          <cell r="E166" t="str">
            <v>Oker</v>
          </cell>
          <cell r="F166" t="str">
            <v>KERAMIK</v>
          </cell>
          <cell r="G166">
            <v>5</v>
          </cell>
          <cell r="H166">
            <v>55</v>
          </cell>
        </row>
        <row r="167">
          <cell r="D167" t="str">
            <v>KARYA 09</v>
          </cell>
          <cell r="E167" t="str">
            <v>Semen PCC 40 Kg Tiga Roda</v>
          </cell>
          <cell r="F167" t="str">
            <v>PLASTER</v>
          </cell>
          <cell r="G167">
            <v>44</v>
          </cell>
          <cell r="H167">
            <v>70</v>
          </cell>
        </row>
        <row r="168">
          <cell r="D168" t="str">
            <v>KARYA 09</v>
          </cell>
          <cell r="E168" t="str">
            <v>Pasir</v>
          </cell>
          <cell r="F168" t="str">
            <v>PLASTER</v>
          </cell>
          <cell r="G168">
            <v>8</v>
          </cell>
          <cell r="H168">
            <v>70</v>
          </cell>
        </row>
        <row r="169">
          <cell r="D169" t="str">
            <v>KARYA 09</v>
          </cell>
          <cell r="E169" t="str">
            <v>Pipa 5/8</v>
          </cell>
          <cell r="F169" t="str">
            <v>PLASTER</v>
          </cell>
          <cell r="G169">
            <v>9</v>
          </cell>
          <cell r="H169">
            <v>70</v>
          </cell>
        </row>
        <row r="170">
          <cell r="D170" t="str">
            <v>KARYA 09</v>
          </cell>
          <cell r="E170" t="str">
            <v>Kayu 3/5</v>
          </cell>
          <cell r="F170" t="str">
            <v>ATAP</v>
          </cell>
          <cell r="G170">
            <v>84</v>
          </cell>
          <cell r="H170">
            <v>70</v>
          </cell>
        </row>
        <row r="171">
          <cell r="D171" t="str">
            <v>KARYA 09</v>
          </cell>
          <cell r="E171" t="str">
            <v>Kayu 4/6</v>
          </cell>
          <cell r="F171" t="str">
            <v>ATAP</v>
          </cell>
          <cell r="G171">
            <v>56</v>
          </cell>
          <cell r="H171">
            <v>70</v>
          </cell>
        </row>
        <row r="172">
          <cell r="D172" t="str">
            <v>KARYA 09</v>
          </cell>
          <cell r="E172" t="str">
            <v>Kayu 5/7</v>
          </cell>
          <cell r="F172" t="str">
            <v>ATAP</v>
          </cell>
          <cell r="G172">
            <v>41</v>
          </cell>
          <cell r="H172">
            <v>70</v>
          </cell>
        </row>
        <row r="173">
          <cell r="D173" t="str">
            <v>KARYA 09</v>
          </cell>
          <cell r="E173" t="str">
            <v>Lisplank</v>
          </cell>
          <cell r="F173" t="str">
            <v>ATAP</v>
          </cell>
          <cell r="G173">
            <v>13</v>
          </cell>
          <cell r="H173">
            <v>70</v>
          </cell>
        </row>
        <row r="174">
          <cell r="D174" t="str">
            <v>KARYA 09</v>
          </cell>
          <cell r="E174" t="str">
            <v>Seng  Metal 4 Susun (merah)</v>
          </cell>
          <cell r="F174" t="str">
            <v>ATAP</v>
          </cell>
          <cell r="G174">
            <v>96</v>
          </cell>
          <cell r="H174">
            <v>70</v>
          </cell>
        </row>
        <row r="175">
          <cell r="D175" t="str">
            <v>KARYA 09</v>
          </cell>
          <cell r="E175" t="str">
            <v>Seng  Metal 2 Susun (hitam)</v>
          </cell>
          <cell r="F175" t="str">
            <v>ATAP</v>
          </cell>
          <cell r="H175">
            <v>70</v>
          </cell>
        </row>
        <row r="176">
          <cell r="D176" t="str">
            <v>KARYA 09</v>
          </cell>
          <cell r="E176" t="str">
            <v>Perabung Hitam</v>
          </cell>
          <cell r="F176" t="str">
            <v>ATAP</v>
          </cell>
          <cell r="G176">
            <v>1.5</v>
          </cell>
          <cell r="H176">
            <v>70</v>
          </cell>
        </row>
        <row r="177">
          <cell r="D177" t="str">
            <v>KARYA 09</v>
          </cell>
          <cell r="E177" t="str">
            <v>Perabung Merah</v>
          </cell>
          <cell r="F177" t="str">
            <v>ATAP</v>
          </cell>
          <cell r="G177">
            <v>2</v>
          </cell>
          <cell r="H177">
            <v>70</v>
          </cell>
        </row>
        <row r="178">
          <cell r="D178" t="str">
            <v>KARYA 09</v>
          </cell>
          <cell r="E178" t="str">
            <v>Paku 2 inch</v>
          </cell>
          <cell r="F178" t="str">
            <v>ATAP</v>
          </cell>
          <cell r="G178">
            <v>2</v>
          </cell>
          <cell r="H178">
            <v>70</v>
          </cell>
        </row>
        <row r="179">
          <cell r="D179" t="str">
            <v>KARYA 09</v>
          </cell>
          <cell r="E179" t="str">
            <v>Paku 3 inch</v>
          </cell>
          <cell r="F179" t="str">
            <v>ATAP</v>
          </cell>
          <cell r="G179">
            <v>2</v>
          </cell>
          <cell r="H179">
            <v>70</v>
          </cell>
        </row>
        <row r="180">
          <cell r="D180" t="str">
            <v>KARYA 09</v>
          </cell>
          <cell r="E180" t="str">
            <v>Bata</v>
          </cell>
          <cell r="F180" t="str">
            <v>MINIMALIS</v>
          </cell>
          <cell r="G180">
            <v>74</v>
          </cell>
          <cell r="H180">
            <v>70</v>
          </cell>
        </row>
        <row r="181">
          <cell r="D181" t="str">
            <v>KARYA 09</v>
          </cell>
          <cell r="E181" t="str">
            <v>Pasir</v>
          </cell>
          <cell r="F181" t="str">
            <v>MINIMALIS</v>
          </cell>
          <cell r="G181">
            <v>3</v>
          </cell>
          <cell r="H181">
            <v>70</v>
          </cell>
        </row>
        <row r="182">
          <cell r="D182" t="str">
            <v>KARYA 09</v>
          </cell>
          <cell r="E182" t="str">
            <v>Semen PCC 40 Kg Tiga Roda</v>
          </cell>
          <cell r="F182" t="str">
            <v>MINIMALIS</v>
          </cell>
          <cell r="G182">
            <v>7</v>
          </cell>
          <cell r="H182">
            <v>70</v>
          </cell>
        </row>
        <row r="183">
          <cell r="D183" t="str">
            <v>KARYA 09</v>
          </cell>
          <cell r="E183" t="str">
            <v>Keramik 60 x 60 Blackmatt</v>
          </cell>
          <cell r="F183" t="str">
            <v>MINIMALIS</v>
          </cell>
          <cell r="G183">
            <v>7</v>
          </cell>
          <cell r="H183">
            <v>70</v>
          </cell>
        </row>
        <row r="184">
          <cell r="D184" t="str">
            <v>KARYA 10</v>
          </cell>
          <cell r="E184" t="str">
            <v>Bata</v>
          </cell>
          <cell r="F184" t="str">
            <v>PAGAR</v>
          </cell>
          <cell r="G184">
            <v>189</v>
          </cell>
          <cell r="H184">
            <v>70</v>
          </cell>
        </row>
        <row r="185">
          <cell r="D185" t="str">
            <v>KARYA 10</v>
          </cell>
          <cell r="E185" t="str">
            <v>Pasir</v>
          </cell>
          <cell r="F185" t="str">
            <v>PAGAR</v>
          </cell>
          <cell r="G185">
            <v>1</v>
          </cell>
          <cell r="H185">
            <v>70</v>
          </cell>
        </row>
        <row r="186">
          <cell r="D186" t="str">
            <v>KARYA 10</v>
          </cell>
          <cell r="E186" t="str">
            <v>Semen PCC 40 Kg Tiga Roda</v>
          </cell>
          <cell r="F186" t="str">
            <v>PAGAR</v>
          </cell>
          <cell r="G186">
            <v>5</v>
          </cell>
          <cell r="H186">
            <v>70</v>
          </cell>
        </row>
        <row r="187">
          <cell r="D187" t="str">
            <v>KARYA 10</v>
          </cell>
          <cell r="E187" t="str">
            <v xml:space="preserve">Besi ø6 </v>
          </cell>
          <cell r="F187" t="str">
            <v>PAGAR</v>
          </cell>
          <cell r="G187">
            <v>2</v>
          </cell>
          <cell r="H187">
            <v>70</v>
          </cell>
        </row>
        <row r="188">
          <cell r="D188" t="str">
            <v>KARYA 10</v>
          </cell>
          <cell r="E188" t="str">
            <v>Besi ø8</v>
          </cell>
          <cell r="F188" t="str">
            <v>PAGAR</v>
          </cell>
          <cell r="G188">
            <v>4</v>
          </cell>
          <cell r="H188">
            <v>70</v>
          </cell>
        </row>
        <row r="189">
          <cell r="D189" t="str">
            <v>KARYA 10</v>
          </cell>
          <cell r="E189" t="str">
            <v>Mowilex weathercoat</v>
          </cell>
          <cell r="F189" t="str">
            <v>CAT</v>
          </cell>
          <cell r="G189">
            <v>2</v>
          </cell>
          <cell r="H189">
            <v>70</v>
          </cell>
        </row>
        <row r="190">
          <cell r="D190" t="str">
            <v>KARYA 10</v>
          </cell>
          <cell r="E190" t="str">
            <v>Nippon pain  Q--luc</v>
          </cell>
          <cell r="F190" t="str">
            <v>CAT</v>
          </cell>
          <cell r="G190">
            <v>4</v>
          </cell>
          <cell r="H190">
            <v>70</v>
          </cell>
        </row>
        <row r="191">
          <cell r="D191" t="str">
            <v>KARYA 10</v>
          </cell>
          <cell r="E191" t="str">
            <v>Semen TR-30 40 Kg Tiga Roda</v>
          </cell>
          <cell r="F191" t="str">
            <v>CAT</v>
          </cell>
          <cell r="G191">
            <v>17</v>
          </cell>
          <cell r="H191">
            <v>70</v>
          </cell>
        </row>
        <row r="192">
          <cell r="D192" t="str">
            <v>KARYA 10</v>
          </cell>
          <cell r="E192" t="str">
            <v>Semen Aci Putih 25 kg</v>
          </cell>
          <cell r="F192" t="str">
            <v>CAT</v>
          </cell>
          <cell r="G192">
            <v>2</v>
          </cell>
          <cell r="H192">
            <v>70</v>
          </cell>
        </row>
        <row r="193">
          <cell r="D193" t="str">
            <v>KARYA 10</v>
          </cell>
          <cell r="E193" t="str">
            <v>Semen TR-30 40 Kg Tiga Roda</v>
          </cell>
          <cell r="F193" t="str">
            <v>ACI MINIMALIS</v>
          </cell>
          <cell r="G193">
            <v>3</v>
          </cell>
          <cell r="H193">
            <v>70</v>
          </cell>
        </row>
        <row r="194">
          <cell r="D194" t="str">
            <v>KARYA 11</v>
          </cell>
          <cell r="E194" t="str">
            <v>Bata</v>
          </cell>
          <cell r="F194" t="str">
            <v>PAGAR</v>
          </cell>
          <cell r="G194">
            <v>189</v>
          </cell>
          <cell r="H194">
            <v>55</v>
          </cell>
        </row>
        <row r="195">
          <cell r="D195" t="str">
            <v>KARYA 11</v>
          </cell>
          <cell r="E195" t="str">
            <v>Pasir</v>
          </cell>
          <cell r="F195" t="str">
            <v>PAGAR</v>
          </cell>
          <cell r="G195">
            <v>1</v>
          </cell>
          <cell r="H195">
            <v>55</v>
          </cell>
        </row>
        <row r="196">
          <cell r="D196" t="str">
            <v>KARYA 11</v>
          </cell>
          <cell r="E196" t="str">
            <v>Semen PCC 40 Kg Tiga Roda</v>
          </cell>
          <cell r="F196" t="str">
            <v>PAGAR</v>
          </cell>
          <cell r="G196">
            <v>4</v>
          </cell>
          <cell r="H196">
            <v>55</v>
          </cell>
        </row>
        <row r="197">
          <cell r="D197" t="str">
            <v>KARYA 11</v>
          </cell>
          <cell r="E197" t="str">
            <v xml:space="preserve">Besi ø6 </v>
          </cell>
          <cell r="F197" t="str">
            <v>PAGAR</v>
          </cell>
          <cell r="G197">
            <v>2</v>
          </cell>
          <cell r="H197">
            <v>55</v>
          </cell>
        </row>
        <row r="198">
          <cell r="D198" t="str">
            <v>KARYA 11</v>
          </cell>
          <cell r="E198" t="str">
            <v>Besi ø8</v>
          </cell>
          <cell r="F198" t="str">
            <v>PAGAR</v>
          </cell>
          <cell r="G198">
            <v>4</v>
          </cell>
          <cell r="H198">
            <v>55</v>
          </cell>
        </row>
        <row r="199">
          <cell r="D199" t="str">
            <v>KARYA 11</v>
          </cell>
          <cell r="E199" t="str">
            <v>Semen PCC 40 Kg Tiga Roda</v>
          </cell>
          <cell r="F199" t="str">
            <v>MINIMALIS CARPORT</v>
          </cell>
          <cell r="G199">
            <v>13</v>
          </cell>
          <cell r="H199">
            <v>55</v>
          </cell>
        </row>
        <row r="200">
          <cell r="D200" t="str">
            <v>KARYA 11</v>
          </cell>
          <cell r="E200" t="str">
            <v>Pasir</v>
          </cell>
          <cell r="F200" t="str">
            <v>MINIMALIS CARPORT</v>
          </cell>
          <cell r="G200">
            <v>1</v>
          </cell>
          <cell r="H200">
            <v>55</v>
          </cell>
        </row>
        <row r="201">
          <cell r="D201" t="str">
            <v>KARYA 12</v>
          </cell>
          <cell r="E201" t="str">
            <v>Besi ø6</v>
          </cell>
          <cell r="F201" t="str">
            <v>PONDASI</v>
          </cell>
          <cell r="G201">
            <v>13</v>
          </cell>
          <cell r="H201">
            <v>55</v>
          </cell>
        </row>
        <row r="202">
          <cell r="D202" t="str">
            <v>KARYA 12</v>
          </cell>
          <cell r="E202" t="str">
            <v>Besi ø8 Ulir</v>
          </cell>
          <cell r="F202" t="str">
            <v>PONDASI</v>
          </cell>
          <cell r="G202">
            <v>45</v>
          </cell>
          <cell r="H202">
            <v>55</v>
          </cell>
        </row>
        <row r="203">
          <cell r="D203" t="str">
            <v>KARYA 12</v>
          </cell>
          <cell r="E203" t="str">
            <v>Kayu 3/5</v>
          </cell>
          <cell r="F203" t="str">
            <v>PONDASI</v>
          </cell>
          <cell r="G203">
            <v>38</v>
          </cell>
          <cell r="H203">
            <v>55</v>
          </cell>
        </row>
        <row r="204">
          <cell r="D204" t="str">
            <v>KARYA 12</v>
          </cell>
          <cell r="E204" t="str">
            <v>Cerucuk</v>
          </cell>
          <cell r="F204" t="str">
            <v>PONDASI</v>
          </cell>
          <cell r="G204">
            <v>81</v>
          </cell>
          <cell r="H204">
            <v>55</v>
          </cell>
        </row>
        <row r="205">
          <cell r="D205" t="str">
            <v>KARYA 12</v>
          </cell>
          <cell r="E205" t="str">
            <v>Papan Mal</v>
          </cell>
          <cell r="F205" t="str">
            <v>PONDASI</v>
          </cell>
          <cell r="G205">
            <v>180</v>
          </cell>
          <cell r="H205">
            <v>55</v>
          </cell>
        </row>
        <row r="206">
          <cell r="D206" t="str">
            <v>KARYA 12</v>
          </cell>
          <cell r="E206" t="str">
            <v xml:space="preserve">Pasir </v>
          </cell>
          <cell r="F206" t="str">
            <v>PONDASI</v>
          </cell>
          <cell r="G206">
            <v>14</v>
          </cell>
          <cell r="H206">
            <v>55</v>
          </cell>
        </row>
        <row r="207">
          <cell r="D207" t="str">
            <v>KARYA 12</v>
          </cell>
          <cell r="E207" t="str">
            <v>Batu</v>
          </cell>
          <cell r="F207" t="str">
            <v>PONDASI</v>
          </cell>
          <cell r="G207">
            <v>2</v>
          </cell>
          <cell r="H207">
            <v>55</v>
          </cell>
        </row>
        <row r="208">
          <cell r="D208" t="str">
            <v>KARYA 12</v>
          </cell>
          <cell r="E208" t="str">
            <v>Semen PCC 40 Kg Tiga Roda</v>
          </cell>
          <cell r="F208" t="str">
            <v>PONDASI</v>
          </cell>
          <cell r="G208">
            <v>44</v>
          </cell>
          <cell r="H208">
            <v>55</v>
          </cell>
        </row>
        <row r="209">
          <cell r="D209" t="str">
            <v>KARYA 12</v>
          </cell>
          <cell r="E209" t="str">
            <v xml:space="preserve">Pasir </v>
          </cell>
          <cell r="F209" t="str">
            <v>URUG</v>
          </cell>
          <cell r="G209">
            <v>36</v>
          </cell>
          <cell r="H209">
            <v>55</v>
          </cell>
        </row>
        <row r="210">
          <cell r="D210" t="str">
            <v>KARYA 12</v>
          </cell>
          <cell r="E210" t="str">
            <v>Pipa 4"</v>
          </cell>
          <cell r="F210" t="str">
            <v>URUG</v>
          </cell>
          <cell r="G210">
            <v>2</v>
          </cell>
          <cell r="H210">
            <v>55</v>
          </cell>
        </row>
        <row r="211">
          <cell r="D211" t="str">
            <v>KARYA 12</v>
          </cell>
          <cell r="E211" t="str">
            <v>Pipa 2"</v>
          </cell>
          <cell r="F211" t="str">
            <v>URUG</v>
          </cell>
          <cell r="G211">
            <v>2</v>
          </cell>
          <cell r="H211">
            <v>55</v>
          </cell>
        </row>
        <row r="212">
          <cell r="D212" t="str">
            <v>KARYA 12</v>
          </cell>
          <cell r="E212" t="str">
            <v>Besi ø6</v>
          </cell>
          <cell r="F212" t="str">
            <v>COR LANTAI</v>
          </cell>
          <cell r="G212">
            <v>15</v>
          </cell>
          <cell r="H212">
            <v>55</v>
          </cell>
        </row>
        <row r="213">
          <cell r="D213" t="str">
            <v>KARYA 12</v>
          </cell>
          <cell r="E213" t="str">
            <v>Pasir</v>
          </cell>
          <cell r="F213" t="str">
            <v>COR LANTAI</v>
          </cell>
          <cell r="G213">
            <v>5</v>
          </cell>
          <cell r="H213">
            <v>55</v>
          </cell>
        </row>
        <row r="214">
          <cell r="D214" t="str">
            <v>KARYA 12</v>
          </cell>
          <cell r="E214" t="str">
            <v>Semen PCC 40 Kg Tiga Roda</v>
          </cell>
          <cell r="F214" t="str">
            <v>COR LANTAI</v>
          </cell>
          <cell r="G214">
            <v>14</v>
          </cell>
          <cell r="H214">
            <v>55</v>
          </cell>
        </row>
        <row r="215">
          <cell r="D215" t="str">
            <v>KARYA 12</v>
          </cell>
          <cell r="E215" t="str">
            <v>Plastik cor</v>
          </cell>
          <cell r="F215" t="str">
            <v>COR LANTAI</v>
          </cell>
          <cell r="G215">
            <v>7</v>
          </cell>
          <cell r="H215">
            <v>55</v>
          </cell>
        </row>
        <row r="216">
          <cell r="D216" t="str">
            <v>KARYA 12</v>
          </cell>
          <cell r="E216" t="str">
            <v>Semen PCC 40 Kg Tiga Roda</v>
          </cell>
          <cell r="F216" t="str">
            <v>CARPORT</v>
          </cell>
          <cell r="G216">
            <v>11</v>
          </cell>
          <cell r="H216">
            <v>55</v>
          </cell>
        </row>
        <row r="217">
          <cell r="D217" t="str">
            <v>KARYA 12</v>
          </cell>
          <cell r="E217" t="str">
            <v>Kayu 3/5</v>
          </cell>
          <cell r="F217" t="str">
            <v>CARPORT</v>
          </cell>
          <cell r="G217">
            <v>8</v>
          </cell>
          <cell r="H217">
            <v>55</v>
          </cell>
        </row>
        <row r="218">
          <cell r="D218" t="str">
            <v>KARYA 12</v>
          </cell>
          <cell r="E218" t="str">
            <v>Cerucuk</v>
          </cell>
          <cell r="F218" t="str">
            <v>CARPORT</v>
          </cell>
          <cell r="G218">
            <v>5</v>
          </cell>
          <cell r="H218">
            <v>55</v>
          </cell>
        </row>
        <row r="219">
          <cell r="D219" t="str">
            <v>KARYA 12</v>
          </cell>
          <cell r="E219" t="str">
            <v>Papan Mal</v>
          </cell>
          <cell r="F219" t="str">
            <v>CARPORT</v>
          </cell>
          <cell r="G219">
            <v>10</v>
          </cell>
          <cell r="H219">
            <v>55</v>
          </cell>
        </row>
        <row r="220">
          <cell r="D220" t="str">
            <v>KARYA 12</v>
          </cell>
          <cell r="E220" t="str">
            <v>Plastik cor</v>
          </cell>
          <cell r="F220" t="str">
            <v>CARPORT</v>
          </cell>
          <cell r="G220">
            <v>7</v>
          </cell>
          <cell r="H220">
            <v>55</v>
          </cell>
        </row>
        <row r="221">
          <cell r="D221" t="str">
            <v>KARYA 12</v>
          </cell>
          <cell r="E221" t="str">
            <v>Besi ø6</v>
          </cell>
          <cell r="F221" t="str">
            <v>CARPORT</v>
          </cell>
          <cell r="G221">
            <v>2</v>
          </cell>
          <cell r="H221">
            <v>55</v>
          </cell>
        </row>
        <row r="222">
          <cell r="D222" t="str">
            <v>KARYA 12</v>
          </cell>
          <cell r="E222" t="str">
            <v>Besi ø8</v>
          </cell>
          <cell r="F222" t="str">
            <v>CARPORT</v>
          </cell>
          <cell r="G222">
            <v>15</v>
          </cell>
          <cell r="H222">
            <v>55</v>
          </cell>
        </row>
        <row r="223">
          <cell r="D223" t="str">
            <v>KARYA 12</v>
          </cell>
          <cell r="E223" t="str">
            <v>Batu</v>
          </cell>
          <cell r="F223" t="str">
            <v>CARPORT</v>
          </cell>
          <cell r="G223">
            <v>1</v>
          </cell>
          <cell r="H223">
            <v>55</v>
          </cell>
        </row>
        <row r="224">
          <cell r="D224" t="str">
            <v>KARYA 12</v>
          </cell>
          <cell r="E224" t="str">
            <v>Pasir</v>
          </cell>
          <cell r="F224" t="str">
            <v>CARPORT</v>
          </cell>
          <cell r="G224">
            <v>6</v>
          </cell>
          <cell r="H224">
            <v>55</v>
          </cell>
        </row>
        <row r="225">
          <cell r="D225" t="str">
            <v>SUKABASUKI</v>
          </cell>
          <cell r="E225" t="str">
            <v>Besi ø6</v>
          </cell>
          <cell r="F225" t="str">
            <v>COR LANTAI</v>
          </cell>
          <cell r="G225">
            <v>44</v>
          </cell>
          <cell r="H225">
            <v>100</v>
          </cell>
        </row>
        <row r="226">
          <cell r="D226" t="str">
            <v>RIDHO 01</v>
          </cell>
          <cell r="E226" t="str">
            <v>Semen PCC 40 Kg Tiga Roda</v>
          </cell>
          <cell r="F226" t="str">
            <v>PLASTER</v>
          </cell>
          <cell r="G226">
            <v>53</v>
          </cell>
          <cell r="H226">
            <v>80</v>
          </cell>
        </row>
        <row r="227">
          <cell r="D227" t="str">
            <v>RIDHO 02</v>
          </cell>
          <cell r="E227" t="str">
            <v>Keramik 60 x 60 Blackmatt</v>
          </cell>
          <cell r="F227" t="str">
            <v>KERAMIK</v>
          </cell>
          <cell r="G227">
            <v>11</v>
          </cell>
          <cell r="H227">
            <v>45</v>
          </cell>
        </row>
        <row r="228">
          <cell r="D228" t="str">
            <v>RIDHO 02</v>
          </cell>
          <cell r="E228" t="str">
            <v>Semen PCC 40 Kg Tiga Roda</v>
          </cell>
          <cell r="F228" t="str">
            <v>KERAMIK</v>
          </cell>
          <cell r="G228">
            <v>20</v>
          </cell>
          <cell r="H228">
            <v>45</v>
          </cell>
        </row>
        <row r="229">
          <cell r="D229" t="str">
            <v>RIDHO 03</v>
          </cell>
          <cell r="E229" t="str">
            <v>Keramik 60 x 60 Cream</v>
          </cell>
          <cell r="F229" t="str">
            <v>KERAMIK</v>
          </cell>
          <cell r="G229">
            <v>39</v>
          </cell>
          <cell r="H229">
            <v>60</v>
          </cell>
        </row>
        <row r="230">
          <cell r="D230" t="str">
            <v>RIDHO 03</v>
          </cell>
          <cell r="E230" t="str">
            <v>Keramik 60 x 60 Blackmatt</v>
          </cell>
          <cell r="F230" t="str">
            <v>KERAMIK</v>
          </cell>
          <cell r="G230">
            <v>16</v>
          </cell>
          <cell r="H230">
            <v>60</v>
          </cell>
        </row>
        <row r="231">
          <cell r="D231" t="str">
            <v>RIDHO 03</v>
          </cell>
          <cell r="E231" t="str">
            <v>Semen PCC 40 Kg Tiga Roda</v>
          </cell>
          <cell r="F231" t="str">
            <v>KERAMIK</v>
          </cell>
          <cell r="G231">
            <v>27</v>
          </cell>
          <cell r="H231">
            <v>60</v>
          </cell>
        </row>
        <row r="232">
          <cell r="D232" t="str">
            <v>RIDHO 03</v>
          </cell>
          <cell r="E232" t="str">
            <v>Oker</v>
          </cell>
          <cell r="F232" t="str">
            <v>KERAMIK</v>
          </cell>
          <cell r="G232">
            <v>5</v>
          </cell>
          <cell r="H232">
            <v>60</v>
          </cell>
        </row>
        <row r="233">
          <cell r="D233" t="str">
            <v>RIDHO 03</v>
          </cell>
          <cell r="E233" t="str">
            <v>PASIR</v>
          </cell>
          <cell r="F233" t="str">
            <v>KERAMIK</v>
          </cell>
          <cell r="G233">
            <v>5</v>
          </cell>
          <cell r="H233">
            <v>60</v>
          </cell>
        </row>
        <row r="234">
          <cell r="D234" t="str">
            <v>RIDHO 03</v>
          </cell>
          <cell r="E234" t="str">
            <v xml:space="preserve">Keramik 30 x 30 </v>
          </cell>
          <cell r="F234" t="str">
            <v>WC</v>
          </cell>
          <cell r="G234">
            <v>6</v>
          </cell>
          <cell r="H234">
            <v>60</v>
          </cell>
        </row>
        <row r="235">
          <cell r="D235" t="str">
            <v>RIDHO 03</v>
          </cell>
          <cell r="E235" t="str">
            <v>Keramik 25 x 40</v>
          </cell>
          <cell r="F235" t="str">
            <v>WC</v>
          </cell>
          <cell r="G235">
            <v>22</v>
          </cell>
          <cell r="H235">
            <v>60</v>
          </cell>
        </row>
        <row r="236">
          <cell r="D236" t="str">
            <v>RIDHO 03</v>
          </cell>
          <cell r="E236" t="str">
            <v>Closed jongkok Ina</v>
          </cell>
          <cell r="F236" t="str">
            <v>WC</v>
          </cell>
          <cell r="G236">
            <v>1</v>
          </cell>
          <cell r="H236">
            <v>60</v>
          </cell>
        </row>
        <row r="237">
          <cell r="D237" t="str">
            <v>RIDHO 03</v>
          </cell>
          <cell r="E237" t="str">
            <v>Closed Duduk Volk</v>
          </cell>
          <cell r="F237" t="str">
            <v>WC</v>
          </cell>
          <cell r="G237">
            <v>1</v>
          </cell>
          <cell r="H237">
            <v>60</v>
          </cell>
        </row>
        <row r="238">
          <cell r="D238" t="str">
            <v>RIDHO 03</v>
          </cell>
          <cell r="E238" t="str">
            <v>Floor drain</v>
          </cell>
          <cell r="F238" t="str">
            <v>WC</v>
          </cell>
          <cell r="G238">
            <v>2</v>
          </cell>
          <cell r="H238">
            <v>60</v>
          </cell>
        </row>
        <row r="239">
          <cell r="D239" t="str">
            <v>RIDHO 03</v>
          </cell>
          <cell r="E239" t="str">
            <v>Pasir</v>
          </cell>
          <cell r="F239" t="str">
            <v>WC</v>
          </cell>
          <cell r="G239">
            <v>1</v>
          </cell>
          <cell r="H239">
            <v>60</v>
          </cell>
        </row>
        <row r="240">
          <cell r="D240" t="str">
            <v>RIDHO 03</v>
          </cell>
          <cell r="E240" t="str">
            <v>Semen PCC 40 Kg Tiga Roda</v>
          </cell>
          <cell r="F240" t="str">
            <v>WC</v>
          </cell>
          <cell r="G240">
            <v>4</v>
          </cell>
          <cell r="H240">
            <v>60</v>
          </cell>
        </row>
        <row r="241">
          <cell r="D241" t="str">
            <v>RIDHO 03</v>
          </cell>
          <cell r="E241" t="str">
            <v>Bak Air</v>
          </cell>
          <cell r="F241" t="str">
            <v>WC</v>
          </cell>
          <cell r="G241">
            <v>1</v>
          </cell>
          <cell r="H241">
            <v>60</v>
          </cell>
        </row>
        <row r="242">
          <cell r="D242" t="str">
            <v>RIDHO 03</v>
          </cell>
          <cell r="E242" t="str">
            <v>Pipa 1/2"</v>
          </cell>
          <cell r="F242" t="str">
            <v>WC</v>
          </cell>
          <cell r="G242">
            <v>5</v>
          </cell>
          <cell r="H242">
            <v>60</v>
          </cell>
        </row>
        <row r="243">
          <cell r="D243" t="str">
            <v>RIDHO 03</v>
          </cell>
          <cell r="E243" t="str">
            <v>Lbow 1/2"</v>
          </cell>
          <cell r="F243" t="str">
            <v>WC</v>
          </cell>
          <cell r="G243">
            <v>5</v>
          </cell>
          <cell r="H243">
            <v>60</v>
          </cell>
        </row>
        <row r="244">
          <cell r="D244" t="str">
            <v>RIDHO 03</v>
          </cell>
          <cell r="E244" t="str">
            <v>Kran Air Plastik 1/2"</v>
          </cell>
          <cell r="F244" t="str">
            <v>WC</v>
          </cell>
          <cell r="G244">
            <v>3</v>
          </cell>
          <cell r="H244">
            <v>60</v>
          </cell>
        </row>
        <row r="245">
          <cell r="D245" t="str">
            <v>RIDHO 03</v>
          </cell>
          <cell r="E245" t="str">
            <v>SDD 1/2"</v>
          </cell>
          <cell r="F245" t="str">
            <v>WC</v>
          </cell>
          <cell r="G245">
            <v>2</v>
          </cell>
          <cell r="H245">
            <v>60</v>
          </cell>
        </row>
        <row r="246">
          <cell r="D246" t="str">
            <v>RIDHO 04</v>
          </cell>
          <cell r="E246" t="str">
            <v>Bata</v>
          </cell>
          <cell r="F246" t="str">
            <v>PAGAR</v>
          </cell>
          <cell r="G246">
            <v>640</v>
          </cell>
          <cell r="H246">
            <v>60</v>
          </cell>
        </row>
        <row r="247">
          <cell r="D247" t="str">
            <v>RIDHO 04</v>
          </cell>
          <cell r="E247" t="str">
            <v>Pasir</v>
          </cell>
          <cell r="F247" t="str">
            <v>PAGAR</v>
          </cell>
          <cell r="G247">
            <v>2</v>
          </cell>
          <cell r="H247">
            <v>60</v>
          </cell>
        </row>
        <row r="248">
          <cell r="D248" t="str">
            <v>RIDHO 04</v>
          </cell>
          <cell r="E248" t="str">
            <v>Semen PCC 40 Kg Tiga Roda</v>
          </cell>
          <cell r="F248" t="str">
            <v>PAGAR</v>
          </cell>
          <cell r="G248">
            <v>15</v>
          </cell>
          <cell r="H248">
            <v>60</v>
          </cell>
        </row>
        <row r="249">
          <cell r="D249" t="str">
            <v>RIDHO 04</v>
          </cell>
          <cell r="E249" t="str">
            <v xml:space="preserve">Besi ø6 </v>
          </cell>
          <cell r="F249" t="str">
            <v>PAGAR</v>
          </cell>
          <cell r="G249">
            <v>2</v>
          </cell>
          <cell r="H249">
            <v>60</v>
          </cell>
        </row>
        <row r="250">
          <cell r="D250" t="str">
            <v>RIDHO 04</v>
          </cell>
          <cell r="E250" t="str">
            <v>Besi ø8</v>
          </cell>
          <cell r="F250" t="str">
            <v>PAGAR</v>
          </cell>
          <cell r="G250">
            <v>4</v>
          </cell>
          <cell r="H250">
            <v>60</v>
          </cell>
        </row>
        <row r="251">
          <cell r="D251" t="str">
            <v>RIDHO 04</v>
          </cell>
          <cell r="E251" t="str">
            <v>Mowilex weathercoat</v>
          </cell>
          <cell r="F251" t="str">
            <v>CAT</v>
          </cell>
          <cell r="G251">
            <v>0.125</v>
          </cell>
          <cell r="H251">
            <v>60</v>
          </cell>
        </row>
        <row r="252">
          <cell r="D252" t="str">
            <v>RIDHO 04</v>
          </cell>
          <cell r="E252" t="str">
            <v>Nippon pain  Q--luc</v>
          </cell>
          <cell r="F252" t="str">
            <v>CAT</v>
          </cell>
          <cell r="G252">
            <v>3</v>
          </cell>
          <cell r="H252">
            <v>60</v>
          </cell>
        </row>
        <row r="253">
          <cell r="D253" t="str">
            <v>RIDHO 04</v>
          </cell>
          <cell r="E253" t="str">
            <v>Semen TR-30 40 Kg Tiga Roda</v>
          </cell>
          <cell r="F253" t="str">
            <v>CAT</v>
          </cell>
          <cell r="G253">
            <v>8</v>
          </cell>
          <cell r="H253">
            <v>60</v>
          </cell>
        </row>
        <row r="254">
          <cell r="D254" t="str">
            <v>RIDHO 04</v>
          </cell>
          <cell r="E254" t="str">
            <v>Semen Aci Putih 25 kg</v>
          </cell>
          <cell r="F254" t="str">
            <v>CAT</v>
          </cell>
          <cell r="G254">
            <v>1</v>
          </cell>
          <cell r="H254">
            <v>60</v>
          </cell>
        </row>
        <row r="255">
          <cell r="D255" t="str">
            <v>RIDHO 04</v>
          </cell>
          <cell r="E255" t="str">
            <v>Semen TR-30 40 Kg Tiga Roda</v>
          </cell>
          <cell r="F255" t="str">
            <v>ACI MINIMALIS</v>
          </cell>
          <cell r="G255">
            <v>4</v>
          </cell>
          <cell r="H255">
            <v>60</v>
          </cell>
        </row>
        <row r="256">
          <cell r="D256" t="str">
            <v>RIDHO 04</v>
          </cell>
          <cell r="E256" t="str">
            <v xml:space="preserve">Keramik 30 x 30 </v>
          </cell>
          <cell r="F256" t="str">
            <v>WC</v>
          </cell>
          <cell r="G256">
            <v>6</v>
          </cell>
          <cell r="H256">
            <v>60</v>
          </cell>
        </row>
        <row r="257">
          <cell r="D257" t="str">
            <v>RIDHO 04</v>
          </cell>
          <cell r="E257" t="str">
            <v>Keramik 25 x 40</v>
          </cell>
          <cell r="F257" t="str">
            <v>WC</v>
          </cell>
          <cell r="G257">
            <v>22</v>
          </cell>
          <cell r="H257">
            <v>60</v>
          </cell>
        </row>
        <row r="258">
          <cell r="D258" t="str">
            <v>RIDHO 04</v>
          </cell>
          <cell r="E258" t="str">
            <v>Closed jongkok Ina</v>
          </cell>
          <cell r="F258" t="str">
            <v>WC</v>
          </cell>
          <cell r="G258">
            <v>1</v>
          </cell>
          <cell r="H258">
            <v>60</v>
          </cell>
        </row>
        <row r="259">
          <cell r="D259" t="str">
            <v>RIDHO 04</v>
          </cell>
          <cell r="E259" t="str">
            <v>Closed Duduk Volk</v>
          </cell>
          <cell r="F259" t="str">
            <v>WC</v>
          </cell>
          <cell r="G259">
            <v>1</v>
          </cell>
          <cell r="H259">
            <v>60</v>
          </cell>
        </row>
        <row r="260">
          <cell r="D260" t="str">
            <v>RIDHO 04</v>
          </cell>
          <cell r="E260" t="str">
            <v>Floor drain</v>
          </cell>
          <cell r="F260" t="str">
            <v>WC</v>
          </cell>
          <cell r="G260">
            <v>2</v>
          </cell>
          <cell r="H260">
            <v>60</v>
          </cell>
        </row>
        <row r="261">
          <cell r="D261" t="str">
            <v>RIDHO 04</v>
          </cell>
          <cell r="E261" t="str">
            <v>Pasir</v>
          </cell>
          <cell r="F261" t="str">
            <v>WC</v>
          </cell>
          <cell r="G261">
            <v>1</v>
          </cell>
          <cell r="H261">
            <v>60</v>
          </cell>
        </row>
        <row r="262">
          <cell r="D262" t="str">
            <v>RIDHO 04</v>
          </cell>
          <cell r="E262" t="str">
            <v>Semen PCC 40 Kg Tiga Roda</v>
          </cell>
          <cell r="F262" t="str">
            <v>WC</v>
          </cell>
          <cell r="G262">
            <v>4</v>
          </cell>
          <cell r="H262">
            <v>60</v>
          </cell>
        </row>
        <row r="263">
          <cell r="D263" t="str">
            <v>RIDHO 04</v>
          </cell>
          <cell r="E263" t="str">
            <v>Bak Air</v>
          </cell>
          <cell r="F263" t="str">
            <v>WC</v>
          </cell>
          <cell r="G263">
            <v>2</v>
          </cell>
          <cell r="H263">
            <v>60</v>
          </cell>
        </row>
        <row r="264">
          <cell r="D264" t="str">
            <v>RIDHO 04</v>
          </cell>
          <cell r="E264" t="str">
            <v>Pipa 1/2"</v>
          </cell>
          <cell r="F264" t="str">
            <v>WC</v>
          </cell>
          <cell r="G264">
            <v>5</v>
          </cell>
          <cell r="H264">
            <v>60</v>
          </cell>
        </row>
        <row r="265">
          <cell r="D265" t="str">
            <v>RIDHO 04</v>
          </cell>
          <cell r="E265" t="str">
            <v>Lbow 1/2"</v>
          </cell>
          <cell r="F265" t="str">
            <v>WC</v>
          </cell>
          <cell r="G265">
            <v>5</v>
          </cell>
          <cell r="H265">
            <v>60</v>
          </cell>
        </row>
        <row r="266">
          <cell r="D266" t="str">
            <v>RIDHO 04</v>
          </cell>
          <cell r="E266" t="str">
            <v>Kran Air Plastik 1/2"</v>
          </cell>
          <cell r="F266" t="str">
            <v>WC</v>
          </cell>
          <cell r="G266">
            <v>3</v>
          </cell>
          <cell r="H266">
            <v>60</v>
          </cell>
        </row>
        <row r="267">
          <cell r="D267" t="str">
            <v>RIDHO 04</v>
          </cell>
          <cell r="E267" t="str">
            <v>SDD 1/2"</v>
          </cell>
          <cell r="F267" t="str">
            <v>WC</v>
          </cell>
          <cell r="G267">
            <v>2</v>
          </cell>
          <cell r="H267">
            <v>60</v>
          </cell>
        </row>
        <row r="268">
          <cell r="D268" t="str">
            <v>RIDHO 04</v>
          </cell>
          <cell r="E268" t="str">
            <v>Bata</v>
          </cell>
          <cell r="F268" t="str">
            <v>MINIMALIS</v>
          </cell>
          <cell r="G268">
            <v>149</v>
          </cell>
          <cell r="H268">
            <v>60</v>
          </cell>
        </row>
        <row r="269">
          <cell r="D269" t="str">
            <v>RIDHO 04</v>
          </cell>
          <cell r="E269" t="str">
            <v>Pasir</v>
          </cell>
          <cell r="F269" t="str">
            <v>MINIMALIS</v>
          </cell>
          <cell r="G269">
            <v>4</v>
          </cell>
          <cell r="H269">
            <v>60</v>
          </cell>
        </row>
        <row r="270">
          <cell r="D270" t="str">
            <v>RIDHO 04</v>
          </cell>
          <cell r="E270" t="str">
            <v>Semen PCC 40 Kg Tiga Roda</v>
          </cell>
          <cell r="F270" t="str">
            <v>MINIMALIS</v>
          </cell>
          <cell r="G270">
            <v>7</v>
          </cell>
          <cell r="H270">
            <v>60</v>
          </cell>
        </row>
        <row r="271">
          <cell r="D271" t="str">
            <v>RIDHO 04</v>
          </cell>
          <cell r="E271" t="str">
            <v>Keramik 60 x 60 Blackmatt</v>
          </cell>
          <cell r="F271" t="str">
            <v>MINIMALIS</v>
          </cell>
          <cell r="G271">
            <v>11</v>
          </cell>
          <cell r="H271">
            <v>60</v>
          </cell>
        </row>
        <row r="272">
          <cell r="D272" t="str">
            <v>RIDHO 01</v>
          </cell>
          <cell r="E272" t="str">
            <v>Bata</v>
          </cell>
          <cell r="F272" t="str">
            <v>PAGAR</v>
          </cell>
          <cell r="G272">
            <v>300</v>
          </cell>
          <cell r="H272">
            <v>80</v>
          </cell>
        </row>
        <row r="273">
          <cell r="D273" t="str">
            <v>RIDHO 01</v>
          </cell>
          <cell r="E273" t="str">
            <v>Pasir</v>
          </cell>
          <cell r="F273" t="str">
            <v>PAGAR</v>
          </cell>
          <cell r="G273">
            <v>2</v>
          </cell>
          <cell r="H273">
            <v>80</v>
          </cell>
        </row>
        <row r="274">
          <cell r="D274" t="str">
            <v>RIDHO 01</v>
          </cell>
          <cell r="E274" t="str">
            <v>Semen PCC 40 Kg Tiga Roda</v>
          </cell>
          <cell r="F274" t="str">
            <v>PAGAR</v>
          </cell>
          <cell r="G274">
            <v>6</v>
          </cell>
          <cell r="H274">
            <v>80</v>
          </cell>
        </row>
        <row r="275">
          <cell r="D275" t="str">
            <v>RIDHO 01</v>
          </cell>
          <cell r="E275" t="str">
            <v xml:space="preserve">Besi ø6 </v>
          </cell>
          <cell r="F275" t="str">
            <v>PAGAR</v>
          </cell>
          <cell r="G275">
            <v>7</v>
          </cell>
          <cell r="H275">
            <v>80</v>
          </cell>
        </row>
        <row r="276">
          <cell r="D276" t="str">
            <v>RIDHO 01</v>
          </cell>
          <cell r="E276" t="str">
            <v>Besi ø8</v>
          </cell>
          <cell r="F276" t="str">
            <v>PAGAR</v>
          </cell>
          <cell r="G276">
            <v>13</v>
          </cell>
          <cell r="H276">
            <v>80</v>
          </cell>
        </row>
        <row r="277">
          <cell r="D277" t="str">
            <v>RIDHO 01</v>
          </cell>
          <cell r="E277" t="str">
            <v>Pasir</v>
          </cell>
          <cell r="F277" t="str">
            <v>PLASTER</v>
          </cell>
          <cell r="G277">
            <v>10</v>
          </cell>
          <cell r="H277">
            <v>80</v>
          </cell>
        </row>
        <row r="278">
          <cell r="D278" t="str">
            <v>RIDHO 01</v>
          </cell>
          <cell r="E278" t="str">
            <v>Pipa 5/8</v>
          </cell>
          <cell r="F278" t="str">
            <v>PLASTER</v>
          </cell>
          <cell r="G278">
            <v>8</v>
          </cell>
          <cell r="H278">
            <v>80</v>
          </cell>
        </row>
        <row r="279">
          <cell r="D279" t="str">
            <v>RIDHO 02</v>
          </cell>
          <cell r="E279" t="str">
            <v>Bata</v>
          </cell>
          <cell r="F279" t="str">
            <v>PAGAR</v>
          </cell>
          <cell r="G279">
            <v>300</v>
          </cell>
          <cell r="H279">
            <v>45</v>
          </cell>
        </row>
        <row r="280">
          <cell r="D280" t="str">
            <v>RIDHO 02</v>
          </cell>
          <cell r="E280" t="str">
            <v>Pasir</v>
          </cell>
          <cell r="F280" t="str">
            <v>PAGAR</v>
          </cell>
          <cell r="G280">
            <v>2</v>
          </cell>
          <cell r="H280">
            <v>45</v>
          </cell>
        </row>
        <row r="281">
          <cell r="D281" t="str">
            <v>RIDHO 02</v>
          </cell>
          <cell r="E281" t="str">
            <v>Semen PCC 40 Kg Tiga Roda</v>
          </cell>
          <cell r="F281" t="str">
            <v>PAGAR</v>
          </cell>
          <cell r="G281">
            <v>5.5</v>
          </cell>
          <cell r="H281">
            <v>45</v>
          </cell>
        </row>
        <row r="282">
          <cell r="D282" t="str">
            <v>RIDHO 02</v>
          </cell>
          <cell r="E282" t="str">
            <v xml:space="preserve">Besi ø6 </v>
          </cell>
          <cell r="F282" t="str">
            <v>PAGAR</v>
          </cell>
          <cell r="G282">
            <v>2</v>
          </cell>
          <cell r="H282">
            <v>45</v>
          </cell>
        </row>
        <row r="283">
          <cell r="D283" t="str">
            <v>RIDHO 02</v>
          </cell>
          <cell r="E283" t="str">
            <v>Besi ø8</v>
          </cell>
          <cell r="F283" t="str">
            <v>PAGAR</v>
          </cell>
          <cell r="G283">
            <v>4</v>
          </cell>
          <cell r="H283">
            <v>45</v>
          </cell>
        </row>
        <row r="284">
          <cell r="D284" t="str">
            <v>RIDHO 02</v>
          </cell>
          <cell r="E284" t="str">
            <v>Semen PCC 40 Kg Tiga Roda</v>
          </cell>
          <cell r="F284" t="str">
            <v>MINIMALIS CARPOT</v>
          </cell>
          <cell r="G284">
            <v>3</v>
          </cell>
          <cell r="H284">
            <v>45</v>
          </cell>
        </row>
        <row r="285">
          <cell r="D285" t="str">
            <v>RIDHO 02</v>
          </cell>
          <cell r="E285" t="str">
            <v>Pasir</v>
          </cell>
          <cell r="F285" t="str">
            <v>MINIMALIS CARPOT</v>
          </cell>
          <cell r="G285">
            <v>1</v>
          </cell>
          <cell r="H285">
            <v>45</v>
          </cell>
        </row>
        <row r="286">
          <cell r="D286" t="str">
            <v>RIDHO 02</v>
          </cell>
          <cell r="E286" t="str">
            <v>Pintu Kayu 120 x 220</v>
          </cell>
          <cell r="F286" t="str">
            <v>PINTU</v>
          </cell>
          <cell r="G286">
            <v>1</v>
          </cell>
          <cell r="H286">
            <v>45</v>
          </cell>
        </row>
        <row r="287">
          <cell r="D287" t="str">
            <v>RIDHO 02</v>
          </cell>
          <cell r="E287" t="str">
            <v>Pintu Kayu 80 x 220</v>
          </cell>
          <cell r="F287" t="str">
            <v>PINTU</v>
          </cell>
          <cell r="G287">
            <v>3</v>
          </cell>
          <cell r="H287">
            <v>45</v>
          </cell>
        </row>
        <row r="288">
          <cell r="D288" t="str">
            <v>RIDHO 02</v>
          </cell>
          <cell r="E288" t="str">
            <v>Pintu WC PVC Biru</v>
          </cell>
          <cell r="F288" t="str">
            <v>PINTU</v>
          </cell>
          <cell r="G288">
            <v>1</v>
          </cell>
          <cell r="H288">
            <v>45</v>
          </cell>
        </row>
        <row r="289">
          <cell r="D289" t="str">
            <v>RIDHO 02</v>
          </cell>
          <cell r="E289" t="str">
            <v>Pintu WC Edenjoice Putih</v>
          </cell>
          <cell r="F289" t="str">
            <v>PINTU</v>
          </cell>
          <cell r="G289">
            <v>1</v>
          </cell>
          <cell r="H289">
            <v>45</v>
          </cell>
        </row>
        <row r="290">
          <cell r="D290" t="str">
            <v>RIDHO 02</v>
          </cell>
          <cell r="E290" t="str">
            <v>Engsel Pintu 4"</v>
          </cell>
          <cell r="F290" t="str">
            <v>PINTU</v>
          </cell>
          <cell r="G290">
            <v>15</v>
          </cell>
          <cell r="H290">
            <v>45</v>
          </cell>
        </row>
        <row r="291">
          <cell r="D291" t="str">
            <v>RIDHO 02</v>
          </cell>
          <cell r="E291" t="str">
            <v>Peganggan pintu 2 daun</v>
          </cell>
          <cell r="F291" t="str">
            <v>PINTU</v>
          </cell>
          <cell r="G291">
            <v>2</v>
          </cell>
          <cell r="H291">
            <v>45</v>
          </cell>
        </row>
        <row r="292">
          <cell r="D292" t="str">
            <v>RIDHO 02</v>
          </cell>
          <cell r="E292" t="str">
            <v>Pengunci Pintu 2 daun</v>
          </cell>
          <cell r="F292" t="str">
            <v>PINTU</v>
          </cell>
          <cell r="G292">
            <v>1</v>
          </cell>
          <cell r="H292">
            <v>45</v>
          </cell>
        </row>
        <row r="293">
          <cell r="D293" t="str">
            <v>RIDHO 02</v>
          </cell>
          <cell r="E293" t="str">
            <v>Pegangan kunci 1 daun</v>
          </cell>
          <cell r="F293" t="str">
            <v>PINTU</v>
          </cell>
          <cell r="G293">
            <v>3</v>
          </cell>
          <cell r="H293">
            <v>45</v>
          </cell>
        </row>
        <row r="294">
          <cell r="D294" t="str">
            <v>RIDHO 02</v>
          </cell>
          <cell r="E294" t="str">
            <v xml:space="preserve">Avian </v>
          </cell>
          <cell r="F294" t="str">
            <v>PINTU</v>
          </cell>
          <cell r="G294">
            <v>4</v>
          </cell>
          <cell r="H294">
            <v>45</v>
          </cell>
        </row>
        <row r="295">
          <cell r="D295" t="str">
            <v>RIDHO 02</v>
          </cell>
          <cell r="E295" t="str">
            <v>Tinner Nb Kaleng</v>
          </cell>
          <cell r="F295" t="str">
            <v>PINTU</v>
          </cell>
          <cell r="G295">
            <v>2</v>
          </cell>
          <cell r="H295">
            <v>45</v>
          </cell>
        </row>
        <row r="296">
          <cell r="D296" t="str">
            <v>RIDHO 02</v>
          </cell>
          <cell r="E296" t="str">
            <v>Slot 6 "</v>
          </cell>
          <cell r="F296" t="str">
            <v>PINTU</v>
          </cell>
          <cell r="G296">
            <v>1</v>
          </cell>
          <cell r="H296">
            <v>45</v>
          </cell>
        </row>
        <row r="297">
          <cell r="D297" t="str">
            <v>RIDHO 02</v>
          </cell>
          <cell r="E297" t="str">
            <v>Slot 4"</v>
          </cell>
          <cell r="F297" t="str">
            <v>PINTU</v>
          </cell>
          <cell r="G297">
            <v>1</v>
          </cell>
          <cell r="H297">
            <v>45</v>
          </cell>
        </row>
        <row r="298">
          <cell r="D298" t="str">
            <v>RIDHO 03</v>
          </cell>
          <cell r="E298" t="str">
            <v>Pintu Kayu 120 x 220</v>
          </cell>
          <cell r="F298" t="str">
            <v>PINTU</v>
          </cell>
          <cell r="G298">
            <v>1</v>
          </cell>
          <cell r="H298">
            <v>60</v>
          </cell>
        </row>
        <row r="299">
          <cell r="D299" t="str">
            <v>RIDHO 03</v>
          </cell>
          <cell r="E299" t="str">
            <v>Pintu Kayu 80 x 220</v>
          </cell>
          <cell r="F299" t="str">
            <v>PINTU</v>
          </cell>
          <cell r="G299">
            <v>3</v>
          </cell>
          <cell r="H299">
            <v>60</v>
          </cell>
        </row>
        <row r="300">
          <cell r="D300" t="str">
            <v>RIDHO 03</v>
          </cell>
          <cell r="E300" t="str">
            <v>Pintu WC PVC Biru</v>
          </cell>
          <cell r="F300" t="str">
            <v>PINTU</v>
          </cell>
          <cell r="G300">
            <v>1</v>
          </cell>
          <cell r="H300">
            <v>60</v>
          </cell>
        </row>
        <row r="301">
          <cell r="D301" t="str">
            <v>RIDHO 03</v>
          </cell>
          <cell r="E301" t="str">
            <v>Pintu WC Edenjoice Putih</v>
          </cell>
          <cell r="F301" t="str">
            <v>PINTU</v>
          </cell>
          <cell r="G301">
            <v>1</v>
          </cell>
          <cell r="H301">
            <v>60</v>
          </cell>
        </row>
        <row r="302">
          <cell r="D302" t="str">
            <v>RIDHO 03</v>
          </cell>
          <cell r="E302" t="str">
            <v>Engsel Pintu 4"</v>
          </cell>
          <cell r="F302" t="str">
            <v>PINTU</v>
          </cell>
          <cell r="G302">
            <v>18</v>
          </cell>
          <cell r="H302">
            <v>60</v>
          </cell>
        </row>
        <row r="303">
          <cell r="D303" t="str">
            <v>RIDHO 03</v>
          </cell>
          <cell r="E303" t="str">
            <v>Peganggan pintu 2 daun</v>
          </cell>
          <cell r="F303" t="str">
            <v>PINTU</v>
          </cell>
          <cell r="G303">
            <v>2</v>
          </cell>
          <cell r="H303">
            <v>60</v>
          </cell>
        </row>
        <row r="304">
          <cell r="D304" t="str">
            <v>RIDHO 03</v>
          </cell>
          <cell r="E304" t="str">
            <v>Pengunci Pintu 2 daun</v>
          </cell>
          <cell r="F304" t="str">
            <v>PINTU</v>
          </cell>
          <cell r="G304">
            <v>3</v>
          </cell>
          <cell r="H304">
            <v>60</v>
          </cell>
        </row>
        <row r="305">
          <cell r="D305" t="str">
            <v>RIDHO 03</v>
          </cell>
          <cell r="E305" t="str">
            <v>Pegangan kunci 1 daun</v>
          </cell>
          <cell r="F305" t="str">
            <v>PINTU</v>
          </cell>
          <cell r="G305">
            <v>3</v>
          </cell>
          <cell r="H305">
            <v>60</v>
          </cell>
        </row>
        <row r="306">
          <cell r="D306" t="str">
            <v>RIDHO 03</v>
          </cell>
          <cell r="E306" t="str">
            <v xml:space="preserve">Avian </v>
          </cell>
          <cell r="F306" t="str">
            <v>PINTU</v>
          </cell>
          <cell r="G306">
            <v>5</v>
          </cell>
          <cell r="H306">
            <v>60</v>
          </cell>
        </row>
        <row r="307">
          <cell r="D307" t="str">
            <v>RIDHO 03</v>
          </cell>
          <cell r="E307" t="str">
            <v>Tinner Nb Kaleng</v>
          </cell>
          <cell r="F307" t="str">
            <v>PINTU</v>
          </cell>
          <cell r="G307">
            <v>3</v>
          </cell>
          <cell r="H307">
            <v>60</v>
          </cell>
        </row>
        <row r="308">
          <cell r="D308" t="str">
            <v>RIDHO 03</v>
          </cell>
          <cell r="E308" t="str">
            <v>Slot 6 "</v>
          </cell>
          <cell r="F308" t="str">
            <v>PINTU</v>
          </cell>
          <cell r="G308">
            <v>1</v>
          </cell>
          <cell r="H308">
            <v>60</v>
          </cell>
        </row>
        <row r="309">
          <cell r="D309" t="str">
            <v>RIDHO 03</v>
          </cell>
          <cell r="E309" t="str">
            <v>Slot 4"</v>
          </cell>
          <cell r="F309" t="str">
            <v>PINTU</v>
          </cell>
          <cell r="G309">
            <v>1</v>
          </cell>
          <cell r="H309">
            <v>60</v>
          </cell>
        </row>
        <row r="310">
          <cell r="D310" t="str">
            <v>RIDHO 03</v>
          </cell>
          <cell r="E310" t="str">
            <v>Bata</v>
          </cell>
          <cell r="F310" t="str">
            <v>PAGAR</v>
          </cell>
          <cell r="G310">
            <v>513</v>
          </cell>
          <cell r="H310">
            <v>60</v>
          </cell>
        </row>
        <row r="311">
          <cell r="D311" t="str">
            <v>RIDHO 03</v>
          </cell>
          <cell r="E311" t="str">
            <v>Pasir</v>
          </cell>
          <cell r="F311" t="str">
            <v>PAGAR</v>
          </cell>
          <cell r="G311">
            <v>3</v>
          </cell>
          <cell r="H311">
            <v>60</v>
          </cell>
        </row>
        <row r="312">
          <cell r="D312" t="str">
            <v>RIDHO 03</v>
          </cell>
          <cell r="E312" t="str">
            <v>Semen PCC 40 Kg Tiga Roda</v>
          </cell>
          <cell r="F312" t="str">
            <v>PAGAR</v>
          </cell>
          <cell r="G312">
            <v>15</v>
          </cell>
          <cell r="H312">
            <v>60</v>
          </cell>
        </row>
        <row r="313">
          <cell r="D313" t="str">
            <v>RIDHO 03</v>
          </cell>
          <cell r="E313" t="str">
            <v xml:space="preserve">Besi ø6 </v>
          </cell>
          <cell r="F313" t="str">
            <v>PAGAR</v>
          </cell>
          <cell r="G313">
            <v>3</v>
          </cell>
          <cell r="H313">
            <v>60</v>
          </cell>
        </row>
        <row r="314">
          <cell r="D314" t="str">
            <v>RIDHO 03</v>
          </cell>
          <cell r="E314" t="str">
            <v>Besi ø8</v>
          </cell>
          <cell r="F314" t="str">
            <v>PAGAR</v>
          </cell>
          <cell r="G314">
            <v>4</v>
          </cell>
          <cell r="H314">
            <v>60</v>
          </cell>
        </row>
        <row r="315">
          <cell r="D315" t="str">
            <v>RIDHO 04</v>
          </cell>
          <cell r="E315" t="str">
            <v>Pintu Kayu 120 x 220</v>
          </cell>
          <cell r="F315" t="str">
            <v>PINTU</v>
          </cell>
          <cell r="G315">
            <v>1</v>
          </cell>
          <cell r="H315">
            <v>60</v>
          </cell>
        </row>
        <row r="316">
          <cell r="D316" t="str">
            <v>RIDHO 04</v>
          </cell>
          <cell r="E316" t="str">
            <v>Pintu Kayu 80 x 220</v>
          </cell>
          <cell r="F316" t="str">
            <v>PINTU</v>
          </cell>
          <cell r="G316">
            <v>3</v>
          </cell>
          <cell r="H316">
            <v>60</v>
          </cell>
        </row>
        <row r="317">
          <cell r="D317" t="str">
            <v>RIDHO 04</v>
          </cell>
          <cell r="E317" t="str">
            <v>Pintu WC PVC Biru</v>
          </cell>
          <cell r="F317" t="str">
            <v>PINTU</v>
          </cell>
          <cell r="G317">
            <v>1</v>
          </cell>
          <cell r="H317">
            <v>60</v>
          </cell>
        </row>
        <row r="318">
          <cell r="D318" t="str">
            <v>RIDHO 04</v>
          </cell>
          <cell r="E318" t="str">
            <v>Pintu WC Edenjoice Putih</v>
          </cell>
          <cell r="F318" t="str">
            <v>PINTU</v>
          </cell>
          <cell r="G318">
            <v>1</v>
          </cell>
          <cell r="H318">
            <v>60</v>
          </cell>
        </row>
        <row r="319">
          <cell r="D319" t="str">
            <v>RIDHO 04</v>
          </cell>
          <cell r="E319" t="str">
            <v>Engsel Pintu 4"</v>
          </cell>
          <cell r="F319" t="str">
            <v>PINTU</v>
          </cell>
          <cell r="G319">
            <v>15</v>
          </cell>
          <cell r="H319">
            <v>60</v>
          </cell>
        </row>
        <row r="320">
          <cell r="D320" t="str">
            <v>RIDHO 04</v>
          </cell>
          <cell r="E320" t="str">
            <v>Peganggan pintu 2 daun</v>
          </cell>
          <cell r="F320" t="str">
            <v>PINTU</v>
          </cell>
          <cell r="G320">
            <v>2</v>
          </cell>
          <cell r="H320">
            <v>60</v>
          </cell>
        </row>
        <row r="321">
          <cell r="D321" t="str">
            <v>RIDHO 04</v>
          </cell>
          <cell r="E321" t="str">
            <v>Pengunci Pintu 2 daun</v>
          </cell>
          <cell r="F321" t="str">
            <v>PINTU</v>
          </cell>
          <cell r="G321">
            <v>1</v>
          </cell>
          <cell r="H321">
            <v>60</v>
          </cell>
        </row>
        <row r="322">
          <cell r="D322" t="str">
            <v>RIDHO 04</v>
          </cell>
          <cell r="E322" t="str">
            <v>Pegangan kunci 1 daun</v>
          </cell>
          <cell r="F322" t="str">
            <v>PINTU</v>
          </cell>
          <cell r="G322">
            <v>3</v>
          </cell>
          <cell r="H322">
            <v>60</v>
          </cell>
        </row>
        <row r="323">
          <cell r="D323" t="str">
            <v>RIDHO 04</v>
          </cell>
          <cell r="E323" t="str">
            <v xml:space="preserve">Avian </v>
          </cell>
          <cell r="F323" t="str">
            <v>PINTU</v>
          </cell>
          <cell r="G323">
            <v>4</v>
          </cell>
          <cell r="H323">
            <v>60</v>
          </cell>
        </row>
        <row r="324">
          <cell r="D324" t="str">
            <v>RIDHO 04</v>
          </cell>
          <cell r="E324" t="str">
            <v>Tinner Nb Kaleng</v>
          </cell>
          <cell r="F324" t="str">
            <v>PINTU</v>
          </cell>
          <cell r="G324">
            <v>2</v>
          </cell>
          <cell r="H324">
            <v>60</v>
          </cell>
        </row>
        <row r="325">
          <cell r="D325" t="str">
            <v>RIDHO 04</v>
          </cell>
          <cell r="E325" t="str">
            <v>Slot 6 "</v>
          </cell>
          <cell r="F325" t="str">
            <v>PINTU</v>
          </cell>
          <cell r="G325">
            <v>1</v>
          </cell>
          <cell r="H325">
            <v>60</v>
          </cell>
        </row>
        <row r="326">
          <cell r="D326" t="str">
            <v>RIDHO 04</v>
          </cell>
          <cell r="E326" t="str">
            <v>Slot 4"</v>
          </cell>
          <cell r="F326" t="str">
            <v>PINTU</v>
          </cell>
          <cell r="G326">
            <v>1</v>
          </cell>
          <cell r="H326">
            <v>60</v>
          </cell>
        </row>
        <row r="327">
          <cell r="D327" t="str">
            <v>SUKABASUKI</v>
          </cell>
          <cell r="E327" t="str">
            <v>Pasir</v>
          </cell>
          <cell r="F327" t="str">
            <v>COR LANTAI</v>
          </cell>
          <cell r="G327">
            <v>10</v>
          </cell>
          <cell r="H327">
            <v>100</v>
          </cell>
        </row>
        <row r="328">
          <cell r="D328" t="str">
            <v>SUKABASUKI</v>
          </cell>
          <cell r="E328" t="str">
            <v>Semen PCC 40 Kg Tiga Roda</v>
          </cell>
          <cell r="F328" t="str">
            <v>COR LANTAI</v>
          </cell>
          <cell r="G328">
            <v>27</v>
          </cell>
          <cell r="H328">
            <v>100</v>
          </cell>
        </row>
        <row r="329">
          <cell r="D329" t="str">
            <v>SUKABASUKI</v>
          </cell>
          <cell r="E329" t="str">
            <v>Plastik cor</v>
          </cell>
          <cell r="F329" t="str">
            <v>COR LANTAI</v>
          </cell>
          <cell r="G329">
            <v>13</v>
          </cell>
          <cell r="H329">
            <v>100</v>
          </cell>
        </row>
        <row r="330">
          <cell r="D330" t="str">
            <v>SUKABASUKI</v>
          </cell>
          <cell r="E330" t="str">
            <v>Semen PCC 40 Kg Tiga Roda</v>
          </cell>
          <cell r="F330" t="str">
            <v>CARPORT</v>
          </cell>
          <cell r="G330">
            <v>9</v>
          </cell>
          <cell r="H330">
            <v>100</v>
          </cell>
        </row>
        <row r="331">
          <cell r="D331" t="str">
            <v>SUKABASUKI</v>
          </cell>
          <cell r="E331" t="str">
            <v>Kayu 3/5</v>
          </cell>
          <cell r="F331" t="str">
            <v>CARPORT</v>
          </cell>
          <cell r="G331">
            <v>8</v>
          </cell>
          <cell r="H331">
            <v>100</v>
          </cell>
        </row>
        <row r="332">
          <cell r="D332" t="str">
            <v>SUKABASUKI</v>
          </cell>
          <cell r="E332" t="str">
            <v>Cerucuk</v>
          </cell>
          <cell r="F332" t="str">
            <v>CARPORT</v>
          </cell>
          <cell r="G332">
            <v>5</v>
          </cell>
          <cell r="H332">
            <v>100</v>
          </cell>
        </row>
        <row r="333">
          <cell r="D333" t="str">
            <v>SUKABASUKI</v>
          </cell>
          <cell r="E333" t="str">
            <v>Papan Mal</v>
          </cell>
          <cell r="F333" t="str">
            <v>CARPORT</v>
          </cell>
          <cell r="G333">
            <v>10</v>
          </cell>
          <cell r="H333">
            <v>100</v>
          </cell>
        </row>
        <row r="334">
          <cell r="D334" t="str">
            <v>SUKABASUKI</v>
          </cell>
          <cell r="E334" t="str">
            <v>Plastik cor</v>
          </cell>
          <cell r="F334" t="str">
            <v>CARPORT</v>
          </cell>
          <cell r="G334">
            <v>7</v>
          </cell>
          <cell r="H334">
            <v>100</v>
          </cell>
        </row>
        <row r="335">
          <cell r="D335" t="str">
            <v>SUKABASUKI</v>
          </cell>
          <cell r="E335" t="str">
            <v>Besi ø6</v>
          </cell>
          <cell r="F335" t="str">
            <v>CARPORT</v>
          </cell>
          <cell r="G335">
            <v>2</v>
          </cell>
          <cell r="H335">
            <v>100</v>
          </cell>
        </row>
        <row r="336">
          <cell r="D336" t="str">
            <v>SUKABASUKI</v>
          </cell>
          <cell r="E336" t="str">
            <v>Besi ø8</v>
          </cell>
          <cell r="F336" t="str">
            <v>CARPORT</v>
          </cell>
          <cell r="G336">
            <v>15</v>
          </cell>
          <cell r="H336">
            <v>100</v>
          </cell>
        </row>
        <row r="337">
          <cell r="D337" t="str">
            <v>SUKABASUKI</v>
          </cell>
          <cell r="E337" t="str">
            <v>Batu</v>
          </cell>
          <cell r="F337" t="str">
            <v>CARPORT</v>
          </cell>
          <cell r="G337">
            <v>1</v>
          </cell>
          <cell r="H337">
            <v>100</v>
          </cell>
        </row>
        <row r="338">
          <cell r="D338" t="str">
            <v>SUKABASUKI</v>
          </cell>
          <cell r="E338" t="str">
            <v>Pasir</v>
          </cell>
          <cell r="F338" t="str">
            <v>CARPORT</v>
          </cell>
          <cell r="G338">
            <v>6</v>
          </cell>
          <cell r="H338">
            <v>100</v>
          </cell>
        </row>
        <row r="339">
          <cell r="D339" t="str">
            <v>SUKABASUKI</v>
          </cell>
          <cell r="E339" t="str">
            <v>Keramik 60 x 60 Blackmatt</v>
          </cell>
          <cell r="F339" t="str">
            <v>CARPORT</v>
          </cell>
          <cell r="H339">
            <v>100</v>
          </cell>
        </row>
        <row r="340">
          <cell r="D340" t="str">
            <v>RIDHO 01</v>
          </cell>
          <cell r="E340" t="str">
            <v>Kayu 3/5</v>
          </cell>
          <cell r="F340" t="str">
            <v>ATAP</v>
          </cell>
          <cell r="G340">
            <v>145</v>
          </cell>
          <cell r="H340">
            <v>80</v>
          </cell>
        </row>
        <row r="341">
          <cell r="D341" t="str">
            <v>RIDHO 01</v>
          </cell>
          <cell r="E341" t="str">
            <v>Kayu 4/6</v>
          </cell>
          <cell r="F341" t="str">
            <v>ATAP</v>
          </cell>
          <cell r="G341">
            <v>112</v>
          </cell>
          <cell r="H341">
            <v>80</v>
          </cell>
        </row>
        <row r="342">
          <cell r="D342" t="str">
            <v>RIDHO 01</v>
          </cell>
          <cell r="E342" t="str">
            <v>Kayu 5/7</v>
          </cell>
          <cell r="F342" t="str">
            <v>ATAP</v>
          </cell>
          <cell r="G342">
            <v>55</v>
          </cell>
          <cell r="H342">
            <v>80</v>
          </cell>
        </row>
        <row r="343">
          <cell r="D343" t="str">
            <v>RIDHO 01</v>
          </cell>
          <cell r="E343" t="str">
            <v>Lisplank</v>
          </cell>
          <cell r="F343" t="str">
            <v>ATAP</v>
          </cell>
          <cell r="G343">
            <v>10</v>
          </cell>
          <cell r="H343">
            <v>80</v>
          </cell>
        </row>
        <row r="344">
          <cell r="D344" t="str">
            <v>RIDHO 01</v>
          </cell>
          <cell r="E344" t="str">
            <v>Seng  Metal 4 Susun (merah)</v>
          </cell>
          <cell r="F344" t="str">
            <v>ATAP</v>
          </cell>
          <cell r="G344">
            <v>116</v>
          </cell>
          <cell r="H344">
            <v>80</v>
          </cell>
        </row>
        <row r="345">
          <cell r="D345" t="str">
            <v>RIDHO 01</v>
          </cell>
          <cell r="E345" t="str">
            <v>Seng  Metal 2 Susun (hitam)</v>
          </cell>
          <cell r="F345" t="str">
            <v>ATAP</v>
          </cell>
          <cell r="H345">
            <v>80</v>
          </cell>
        </row>
        <row r="346">
          <cell r="D346" t="str">
            <v>RIDHO 01</v>
          </cell>
          <cell r="E346" t="str">
            <v>Perabung Hitam</v>
          </cell>
          <cell r="F346" t="str">
            <v>ATAP</v>
          </cell>
          <cell r="H346">
            <v>80</v>
          </cell>
        </row>
        <row r="347">
          <cell r="D347" t="str">
            <v>RIDHO 01</v>
          </cell>
          <cell r="E347" t="str">
            <v>Perabung Merah</v>
          </cell>
          <cell r="F347" t="str">
            <v>ATAP</v>
          </cell>
          <cell r="G347">
            <v>1.5</v>
          </cell>
          <cell r="H347">
            <v>80</v>
          </cell>
        </row>
        <row r="348">
          <cell r="D348" t="str">
            <v>RIDHO 01</v>
          </cell>
          <cell r="E348" t="str">
            <v>Paku 2 inch</v>
          </cell>
          <cell r="F348" t="str">
            <v>ATAP</v>
          </cell>
          <cell r="G348">
            <v>1</v>
          </cell>
          <cell r="H348">
            <v>80</v>
          </cell>
        </row>
        <row r="349">
          <cell r="D349" t="str">
            <v>RIDHO 01</v>
          </cell>
          <cell r="E349" t="str">
            <v>Paku 3 inch</v>
          </cell>
          <cell r="F349" t="str">
            <v>ATAP</v>
          </cell>
          <cell r="G349">
            <v>1</v>
          </cell>
          <cell r="H349">
            <v>80</v>
          </cell>
        </row>
        <row r="350">
          <cell r="D350" t="str">
            <v>RIDHO 01</v>
          </cell>
          <cell r="E350" t="str">
            <v xml:space="preserve">Keramik 30 x 30 </v>
          </cell>
          <cell r="F350" t="str">
            <v>WC</v>
          </cell>
          <cell r="G350">
            <v>6</v>
          </cell>
          <cell r="H350">
            <v>80</v>
          </cell>
        </row>
        <row r="351">
          <cell r="D351" t="str">
            <v>RIDHO 01</v>
          </cell>
          <cell r="E351" t="str">
            <v>Keramik 25 x 40</v>
          </cell>
          <cell r="F351" t="str">
            <v>WC</v>
          </cell>
          <cell r="G351">
            <v>11</v>
          </cell>
          <cell r="H351">
            <v>80</v>
          </cell>
        </row>
        <row r="352">
          <cell r="D352" t="str">
            <v>RIDHO 01</v>
          </cell>
          <cell r="E352" t="str">
            <v>Closed jongkok Ina</v>
          </cell>
          <cell r="F352" t="str">
            <v>WC</v>
          </cell>
          <cell r="H352">
            <v>80</v>
          </cell>
        </row>
        <row r="353">
          <cell r="D353" t="str">
            <v>RIDHO 01</v>
          </cell>
          <cell r="E353" t="str">
            <v>Closed Duduk Volk</v>
          </cell>
          <cell r="F353" t="str">
            <v>WC</v>
          </cell>
          <cell r="H353">
            <v>80</v>
          </cell>
        </row>
        <row r="354">
          <cell r="D354" t="str">
            <v>RIDHO 01</v>
          </cell>
          <cell r="E354" t="str">
            <v>Floor drain</v>
          </cell>
          <cell r="F354" t="str">
            <v>WC</v>
          </cell>
          <cell r="G354">
            <v>1</v>
          </cell>
          <cell r="H354">
            <v>80</v>
          </cell>
        </row>
        <row r="355">
          <cell r="D355" t="str">
            <v>RIDHO 01</v>
          </cell>
          <cell r="E355" t="str">
            <v>Pasir</v>
          </cell>
          <cell r="F355" t="str">
            <v>WC</v>
          </cell>
          <cell r="G355">
            <v>1</v>
          </cell>
          <cell r="H355">
            <v>80</v>
          </cell>
        </row>
        <row r="356">
          <cell r="D356" t="str">
            <v>RIDHO 01</v>
          </cell>
          <cell r="E356" t="str">
            <v>Semen PCC 40 Kg Tiga Roda</v>
          </cell>
          <cell r="F356" t="str">
            <v>WC</v>
          </cell>
          <cell r="G356">
            <v>5</v>
          </cell>
          <cell r="H356">
            <v>80</v>
          </cell>
        </row>
        <row r="357">
          <cell r="D357" t="str">
            <v>RIDHO 01</v>
          </cell>
          <cell r="E357" t="str">
            <v>Bak Air</v>
          </cell>
          <cell r="F357" t="str">
            <v>WC</v>
          </cell>
          <cell r="H357">
            <v>80</v>
          </cell>
        </row>
        <row r="358">
          <cell r="D358" t="str">
            <v>RIDHO 01</v>
          </cell>
          <cell r="E358" t="str">
            <v>Pipa 1/2"</v>
          </cell>
          <cell r="F358" t="str">
            <v>WC</v>
          </cell>
          <cell r="H358">
            <v>80</v>
          </cell>
        </row>
        <row r="359">
          <cell r="D359" t="str">
            <v>RIDHO 01</v>
          </cell>
          <cell r="E359" t="str">
            <v>Lbow 1/2"</v>
          </cell>
          <cell r="F359" t="str">
            <v>WC</v>
          </cell>
          <cell r="H359">
            <v>80</v>
          </cell>
        </row>
        <row r="360">
          <cell r="D360" t="str">
            <v>RIDHO 01</v>
          </cell>
          <cell r="E360" t="str">
            <v>Kran Air Plastik 1/2"</v>
          </cell>
          <cell r="F360" t="str">
            <v>WC</v>
          </cell>
          <cell r="H360">
            <v>80</v>
          </cell>
        </row>
        <row r="361">
          <cell r="D361" t="str">
            <v>RIDHO 01</v>
          </cell>
          <cell r="E361" t="str">
            <v>SDD 1/2"</v>
          </cell>
          <cell r="F361" t="str">
            <v>WC</v>
          </cell>
          <cell r="H361">
            <v>80</v>
          </cell>
        </row>
        <row r="362">
          <cell r="D362" t="str">
            <v>RIDHO 01</v>
          </cell>
          <cell r="E362" t="str">
            <v>Bata</v>
          </cell>
          <cell r="F362" t="str">
            <v>MINIMALIS</v>
          </cell>
          <cell r="G362">
            <v>140</v>
          </cell>
          <cell r="H362">
            <v>80</v>
          </cell>
        </row>
        <row r="363">
          <cell r="D363" t="str">
            <v>RIDHO 01</v>
          </cell>
          <cell r="E363" t="str">
            <v>Pasir</v>
          </cell>
          <cell r="F363" t="str">
            <v>MINIMALIS</v>
          </cell>
          <cell r="G363">
            <v>2</v>
          </cell>
          <cell r="H363">
            <v>80</v>
          </cell>
        </row>
        <row r="364">
          <cell r="D364" t="str">
            <v>RIDHO 01</v>
          </cell>
          <cell r="E364" t="str">
            <v>Semen PCC 40 Kg Tiga Roda</v>
          </cell>
          <cell r="F364" t="str">
            <v>MINIMALIS</v>
          </cell>
          <cell r="G364">
            <v>11</v>
          </cell>
          <cell r="H364">
            <v>80</v>
          </cell>
        </row>
        <row r="365">
          <cell r="D365" t="str">
            <v>RIDHO 01</v>
          </cell>
          <cell r="E365" t="str">
            <v>Keramik 60 x 60 Blackmatt</v>
          </cell>
          <cell r="F365" t="str">
            <v>MINIMALIS</v>
          </cell>
          <cell r="G365">
            <v>7</v>
          </cell>
          <cell r="H365">
            <v>80</v>
          </cell>
        </row>
        <row r="366">
          <cell r="D366" t="str">
            <v>RIDHO 02</v>
          </cell>
          <cell r="E366" t="str">
            <v>Keramik 60 x 60 Cream</v>
          </cell>
          <cell r="F366" t="str">
            <v>KERAMIK</v>
          </cell>
          <cell r="G366">
            <v>29</v>
          </cell>
          <cell r="H366">
            <v>45</v>
          </cell>
        </row>
        <row r="367">
          <cell r="D367" t="str">
            <v>RIDHO 02</v>
          </cell>
          <cell r="E367" t="str">
            <v>Keramik 60 x 60 Blackmatt</v>
          </cell>
          <cell r="F367" t="str">
            <v>KERAMIK</v>
          </cell>
          <cell r="H367">
            <v>45</v>
          </cell>
        </row>
        <row r="368">
          <cell r="D368" t="str">
            <v>RIDHO 02</v>
          </cell>
          <cell r="E368" t="str">
            <v>Pasir</v>
          </cell>
          <cell r="F368" t="str">
            <v>KERAMIK</v>
          </cell>
          <cell r="G368">
            <v>4</v>
          </cell>
          <cell r="H368">
            <v>45</v>
          </cell>
        </row>
        <row r="369">
          <cell r="D369" t="str">
            <v>RIDHO 02</v>
          </cell>
          <cell r="E369" t="str">
            <v>Semen PCC 40 Kg Tiga Roda</v>
          </cell>
          <cell r="F369" t="str">
            <v>KERAMIK</v>
          </cell>
          <cell r="H369">
            <v>45</v>
          </cell>
        </row>
        <row r="370">
          <cell r="D370" t="str">
            <v>RIDHO 02</v>
          </cell>
          <cell r="E370" t="str">
            <v>Oker</v>
          </cell>
          <cell r="F370" t="str">
            <v>KERAMIK</v>
          </cell>
          <cell r="G370">
            <v>5</v>
          </cell>
          <cell r="H370">
            <v>45</v>
          </cell>
        </row>
        <row r="371">
          <cell r="D371" t="str">
            <v>RIDHO 02</v>
          </cell>
          <cell r="E371" t="str">
            <v>Mowilex weathercoat</v>
          </cell>
          <cell r="F371" t="str">
            <v>CAT</v>
          </cell>
          <cell r="H371">
            <v>45</v>
          </cell>
        </row>
        <row r="372">
          <cell r="D372" t="str">
            <v>RIDHO 02</v>
          </cell>
          <cell r="E372" t="str">
            <v>Nippon pain  Q--luc</v>
          </cell>
          <cell r="F372" t="str">
            <v>CAT</v>
          </cell>
          <cell r="G372">
            <v>7</v>
          </cell>
          <cell r="H372">
            <v>45</v>
          </cell>
        </row>
        <row r="373">
          <cell r="D373" t="str">
            <v>RIDHO 02</v>
          </cell>
          <cell r="E373" t="str">
            <v>Semen TR-30 40 Kg Tiga Roda</v>
          </cell>
          <cell r="F373" t="str">
            <v>CAT</v>
          </cell>
          <cell r="G373">
            <v>16</v>
          </cell>
          <cell r="H373">
            <v>45</v>
          </cell>
        </row>
        <row r="374">
          <cell r="D374" t="str">
            <v>RIDHO 02</v>
          </cell>
          <cell r="E374" t="str">
            <v>Semen Aci Putih 25 kg</v>
          </cell>
          <cell r="F374" t="str">
            <v>CAT</v>
          </cell>
          <cell r="H374">
            <v>45</v>
          </cell>
        </row>
        <row r="375">
          <cell r="D375" t="str">
            <v>RIDHO 02</v>
          </cell>
          <cell r="E375" t="str">
            <v>Semen PCC 40 Kg Tiga Roda</v>
          </cell>
          <cell r="F375" t="str">
            <v>MINIMALIS CARPOT</v>
          </cell>
          <cell r="G375">
            <v>16</v>
          </cell>
          <cell r="H375">
            <v>45</v>
          </cell>
        </row>
        <row r="376">
          <cell r="D376" t="str">
            <v>RIDHO 02</v>
          </cell>
          <cell r="E376" t="str">
            <v>Pasir</v>
          </cell>
          <cell r="F376" t="str">
            <v>MINIMALIS CARPOT</v>
          </cell>
          <cell r="G376">
            <v>2</v>
          </cell>
          <cell r="H376">
            <v>45</v>
          </cell>
        </row>
        <row r="377">
          <cell r="D377" t="str">
            <v>RIDHO 02</v>
          </cell>
          <cell r="E377" t="str">
            <v>Semen PCC 40 Kg Tiga Roda</v>
          </cell>
          <cell r="F377" t="str">
            <v>PLASTER</v>
          </cell>
          <cell r="G377">
            <v>33</v>
          </cell>
          <cell r="H377">
            <v>45</v>
          </cell>
        </row>
        <row r="378">
          <cell r="D378" t="str">
            <v>RIDHO 02</v>
          </cell>
          <cell r="E378" t="str">
            <v>Pasir</v>
          </cell>
          <cell r="F378" t="str">
            <v>PLASTER</v>
          </cell>
          <cell r="G378">
            <v>7</v>
          </cell>
          <cell r="H378">
            <v>45</v>
          </cell>
        </row>
        <row r="379">
          <cell r="D379" t="str">
            <v>RIDHO 02</v>
          </cell>
          <cell r="E379" t="str">
            <v>Pipa 5/8</v>
          </cell>
          <cell r="F379" t="str">
            <v>PLASTER</v>
          </cell>
          <cell r="G379">
            <v>6</v>
          </cell>
          <cell r="H379">
            <v>45</v>
          </cell>
        </row>
        <row r="380">
          <cell r="D380" t="str">
            <v>RIDHO 02</v>
          </cell>
          <cell r="E380" t="str">
            <v>Semen TR-30 40 Kg Tiga Roda</v>
          </cell>
          <cell r="F380" t="str">
            <v>ACI MINIMALIS</v>
          </cell>
          <cell r="G380">
            <v>2</v>
          </cell>
          <cell r="H380">
            <v>45</v>
          </cell>
        </row>
        <row r="381">
          <cell r="D381" t="str">
            <v>RIDHO 02</v>
          </cell>
          <cell r="E381" t="str">
            <v xml:space="preserve">Keramik 30 x 30 </v>
          </cell>
          <cell r="F381" t="str">
            <v>wc</v>
          </cell>
          <cell r="G381">
            <v>3</v>
          </cell>
          <cell r="H381">
            <v>45</v>
          </cell>
        </row>
        <row r="382">
          <cell r="D382" t="str">
            <v>RIDHO 02</v>
          </cell>
          <cell r="E382" t="str">
            <v>Keramik 25 x 40</v>
          </cell>
          <cell r="F382" t="str">
            <v>wc</v>
          </cell>
          <cell r="G382">
            <v>11</v>
          </cell>
          <cell r="H382">
            <v>45</v>
          </cell>
        </row>
        <row r="383">
          <cell r="D383" t="str">
            <v>RIDHO 02</v>
          </cell>
          <cell r="E383" t="str">
            <v>Closed jongkok Ina</v>
          </cell>
          <cell r="F383" t="str">
            <v>wc</v>
          </cell>
          <cell r="G383">
            <v>1</v>
          </cell>
          <cell r="H383">
            <v>45</v>
          </cell>
        </row>
        <row r="384">
          <cell r="D384" t="str">
            <v>RIDHO 02</v>
          </cell>
          <cell r="E384" t="str">
            <v>Closed Duduk Volk</v>
          </cell>
          <cell r="F384" t="str">
            <v>wc</v>
          </cell>
          <cell r="H384">
            <v>45</v>
          </cell>
        </row>
        <row r="385">
          <cell r="D385" t="str">
            <v>RIDHO 02</v>
          </cell>
          <cell r="E385" t="str">
            <v>Floor drain</v>
          </cell>
          <cell r="F385" t="str">
            <v>wc</v>
          </cell>
          <cell r="G385">
            <v>1</v>
          </cell>
          <cell r="H385">
            <v>45</v>
          </cell>
        </row>
        <row r="386">
          <cell r="D386" t="str">
            <v>RIDHO 02</v>
          </cell>
          <cell r="E386" t="str">
            <v>Pasir</v>
          </cell>
          <cell r="F386" t="str">
            <v>wc</v>
          </cell>
          <cell r="G386">
            <v>1</v>
          </cell>
          <cell r="H386">
            <v>45</v>
          </cell>
        </row>
        <row r="387">
          <cell r="D387" t="str">
            <v>RIDHO 02</v>
          </cell>
          <cell r="E387" t="str">
            <v>Semen PCC 40 Kg Tiga Roda</v>
          </cell>
          <cell r="F387" t="str">
            <v>wc</v>
          </cell>
          <cell r="G387">
            <v>2</v>
          </cell>
          <cell r="H387">
            <v>45</v>
          </cell>
        </row>
        <row r="388">
          <cell r="D388" t="str">
            <v>RIDHO 02</v>
          </cell>
          <cell r="E388" t="str">
            <v>Bak Air</v>
          </cell>
          <cell r="F388" t="str">
            <v>wc</v>
          </cell>
          <cell r="H388">
            <v>45</v>
          </cell>
        </row>
        <row r="389">
          <cell r="D389" t="str">
            <v>RIDHO 02</v>
          </cell>
          <cell r="E389" t="str">
            <v>Pipa 1/2"</v>
          </cell>
          <cell r="F389" t="str">
            <v>wc</v>
          </cell>
          <cell r="H389">
            <v>45</v>
          </cell>
        </row>
        <row r="390">
          <cell r="D390" t="str">
            <v>RIDHO 02</v>
          </cell>
          <cell r="E390" t="str">
            <v>Lbow 1/2"</v>
          </cell>
          <cell r="F390" t="str">
            <v>wc</v>
          </cell>
          <cell r="H390">
            <v>45</v>
          </cell>
        </row>
        <row r="391">
          <cell r="D391" t="str">
            <v>RIDHO 02</v>
          </cell>
          <cell r="E391" t="str">
            <v>Kran Air Plastik 1/2"</v>
          </cell>
          <cell r="F391" t="str">
            <v>wc</v>
          </cell>
          <cell r="H391">
            <v>45</v>
          </cell>
        </row>
        <row r="392">
          <cell r="D392" t="str">
            <v>RIDHO 02</v>
          </cell>
          <cell r="E392" t="str">
            <v>SDD 1/2"</v>
          </cell>
          <cell r="F392" t="str">
            <v>wc</v>
          </cell>
          <cell r="H392">
            <v>45</v>
          </cell>
        </row>
        <row r="393">
          <cell r="D393" t="str">
            <v>RIDHO 03</v>
          </cell>
          <cell r="E393" t="str">
            <v>Semen PCC 40 Kg Tiga Roda</v>
          </cell>
          <cell r="F393" t="str">
            <v>CARPOT</v>
          </cell>
          <cell r="G393">
            <v>4</v>
          </cell>
          <cell r="H393">
            <v>60</v>
          </cell>
        </row>
        <row r="394">
          <cell r="D394" t="str">
            <v>RIDHO 03</v>
          </cell>
          <cell r="E394" t="str">
            <v>Kayu 3/5</v>
          </cell>
          <cell r="F394" t="str">
            <v>CARPOT</v>
          </cell>
          <cell r="H394">
            <v>60</v>
          </cell>
        </row>
        <row r="395">
          <cell r="D395" t="str">
            <v>RIDHO 03</v>
          </cell>
          <cell r="E395" t="str">
            <v>Cerucuk</v>
          </cell>
          <cell r="F395" t="str">
            <v>CARPOT</v>
          </cell>
          <cell r="H395">
            <v>60</v>
          </cell>
        </row>
        <row r="396">
          <cell r="D396" t="str">
            <v>RIDHO 03</v>
          </cell>
          <cell r="E396" t="str">
            <v>Papan Mal</v>
          </cell>
          <cell r="F396" t="str">
            <v>CARPOT</v>
          </cell>
          <cell r="H396">
            <v>60</v>
          </cell>
        </row>
        <row r="397">
          <cell r="D397" t="str">
            <v>RIDHO 03</v>
          </cell>
          <cell r="E397" t="str">
            <v>Plastik cor</v>
          </cell>
          <cell r="F397" t="str">
            <v>CARPOT</v>
          </cell>
          <cell r="H397">
            <v>60</v>
          </cell>
        </row>
        <row r="398">
          <cell r="D398" t="str">
            <v>RIDHO 03</v>
          </cell>
          <cell r="E398" t="str">
            <v>Besi ø6</v>
          </cell>
          <cell r="F398" t="str">
            <v>CARPOT</v>
          </cell>
          <cell r="H398">
            <v>60</v>
          </cell>
        </row>
        <row r="399">
          <cell r="D399" t="str">
            <v>RIDHO 03</v>
          </cell>
          <cell r="E399" t="str">
            <v>Besi ø8</v>
          </cell>
          <cell r="F399" t="str">
            <v>CARPOT</v>
          </cell>
          <cell r="H399">
            <v>60</v>
          </cell>
        </row>
        <row r="400">
          <cell r="D400" t="str">
            <v>RIDHO 03</v>
          </cell>
          <cell r="E400" t="str">
            <v>Batu</v>
          </cell>
          <cell r="F400" t="str">
            <v>CARPOT</v>
          </cell>
          <cell r="H400">
            <v>60</v>
          </cell>
        </row>
        <row r="401">
          <cell r="D401" t="str">
            <v>RIDHO 03</v>
          </cell>
          <cell r="E401" t="str">
            <v>Pasir</v>
          </cell>
          <cell r="F401" t="str">
            <v>CARPOT</v>
          </cell>
          <cell r="G401">
            <v>1</v>
          </cell>
          <cell r="H401">
            <v>60</v>
          </cell>
        </row>
        <row r="402">
          <cell r="D402" t="str">
            <v>RIDHO 03</v>
          </cell>
          <cell r="E402" t="str">
            <v>Keramik 60 x 60 Blackmatt</v>
          </cell>
          <cell r="F402" t="str">
            <v>CARPOT</v>
          </cell>
          <cell r="H402">
            <v>60</v>
          </cell>
        </row>
        <row r="403">
          <cell r="D403" t="str">
            <v>RIDHO 03</v>
          </cell>
          <cell r="E403" t="str">
            <v>Mowilex weathercoat</v>
          </cell>
          <cell r="F403" t="str">
            <v>CAT</v>
          </cell>
          <cell r="G403">
            <v>1</v>
          </cell>
          <cell r="H403">
            <v>60</v>
          </cell>
        </row>
        <row r="404">
          <cell r="D404" t="str">
            <v>RIDHO 03</v>
          </cell>
          <cell r="E404" t="str">
            <v>Nippon pain  Q--luc</v>
          </cell>
          <cell r="F404" t="str">
            <v>CAT</v>
          </cell>
          <cell r="G404">
            <v>2</v>
          </cell>
          <cell r="H404">
            <v>60</v>
          </cell>
        </row>
        <row r="405">
          <cell r="D405" t="str">
            <v>RIDHO 03</v>
          </cell>
          <cell r="E405" t="str">
            <v>Semen TR-30 40 Kg Tiga Roda</v>
          </cell>
          <cell r="F405" t="str">
            <v>CAT</v>
          </cell>
          <cell r="G405">
            <v>11.5</v>
          </cell>
          <cell r="H405">
            <v>60</v>
          </cell>
        </row>
        <row r="406">
          <cell r="D406" t="str">
            <v>RIDHO 03</v>
          </cell>
          <cell r="E406" t="str">
            <v>Semen Aci Putih 25 kg</v>
          </cell>
          <cell r="F406" t="str">
            <v>CAT</v>
          </cell>
          <cell r="G406">
            <v>1.5</v>
          </cell>
          <cell r="H406">
            <v>60</v>
          </cell>
        </row>
        <row r="407">
          <cell r="D407" t="str">
            <v>RIDHO 03</v>
          </cell>
          <cell r="E407" t="str">
            <v>Semen TR-30 40 Kg Tiga Roda</v>
          </cell>
          <cell r="F407" t="str">
            <v>ACI MINIMALIS</v>
          </cell>
          <cell r="G407">
            <v>4</v>
          </cell>
          <cell r="H407">
            <v>60</v>
          </cell>
        </row>
        <row r="408">
          <cell r="D408" t="str">
            <v>RIDHO 04</v>
          </cell>
        </row>
        <row r="409">
          <cell r="D409" t="str">
            <v>RIDHO 04</v>
          </cell>
        </row>
        <row r="410">
          <cell r="D410" t="str">
            <v>RIDHO 04</v>
          </cell>
        </row>
        <row r="411">
          <cell r="D411" t="str">
            <v>RIDHO 04</v>
          </cell>
        </row>
        <row r="412">
          <cell r="D412" t="str">
            <v>DAMAI 3 03</v>
          </cell>
          <cell r="E412" t="str">
            <v>Semen PCC 40 Kg Tiga Roda</v>
          </cell>
          <cell r="F412" t="str">
            <v>PLASTER</v>
          </cell>
          <cell r="G412">
            <v>31</v>
          </cell>
          <cell r="H412">
            <v>45</v>
          </cell>
        </row>
        <row r="413">
          <cell r="D413" t="str">
            <v>DAMAI 3 03</v>
          </cell>
          <cell r="E413" t="str">
            <v>Pasir</v>
          </cell>
          <cell r="F413" t="str">
            <v>PLASTER</v>
          </cell>
          <cell r="G413">
            <v>7</v>
          </cell>
          <cell r="H413">
            <v>45</v>
          </cell>
        </row>
        <row r="414">
          <cell r="D414" t="str">
            <v>DAMAI 3 03</v>
          </cell>
          <cell r="E414" t="str">
            <v>Pipa 5/8</v>
          </cell>
          <cell r="F414" t="str">
            <v>PLASTER</v>
          </cell>
          <cell r="G414">
            <v>8</v>
          </cell>
          <cell r="H414">
            <v>45</v>
          </cell>
        </row>
        <row r="415">
          <cell r="D415" t="str">
            <v>DAMAI 3 04</v>
          </cell>
          <cell r="E415" t="str">
            <v>Bata</v>
          </cell>
          <cell r="F415" t="str">
            <v>MINIMALIS</v>
          </cell>
          <cell r="G415">
            <v>60</v>
          </cell>
          <cell r="H415">
            <v>45</v>
          </cell>
        </row>
        <row r="416">
          <cell r="D416" t="str">
            <v>DAMAI 3 04</v>
          </cell>
          <cell r="E416" t="str">
            <v>Pasir</v>
          </cell>
          <cell r="F416" t="str">
            <v>MINIMALIS</v>
          </cell>
          <cell r="G416">
            <v>1</v>
          </cell>
          <cell r="H416">
            <v>45</v>
          </cell>
        </row>
        <row r="417">
          <cell r="D417" t="str">
            <v>DAMAI 3 04</v>
          </cell>
          <cell r="E417" t="str">
            <v>Semen PCC 40 Kg Tiga Roda</v>
          </cell>
          <cell r="F417" t="str">
            <v>MINIMALIS</v>
          </cell>
          <cell r="G417">
            <v>1</v>
          </cell>
          <cell r="H417">
            <v>45</v>
          </cell>
        </row>
        <row r="418">
          <cell r="D418" t="str">
            <v>DAMAI 3 04</v>
          </cell>
          <cell r="E418" t="str">
            <v>Keramik 60 x 60 Blackmatt</v>
          </cell>
          <cell r="F418" t="str">
            <v>MINIMALIS</v>
          </cell>
          <cell r="H418">
            <v>45</v>
          </cell>
        </row>
        <row r="419">
          <cell r="D419" t="str">
            <v>DAMAI 3 04</v>
          </cell>
        </row>
        <row r="420">
          <cell r="D420" t="str">
            <v>DAMAI 3 04</v>
          </cell>
        </row>
        <row r="421">
          <cell r="D421" t="str">
            <v>SUKABASUKI</v>
          </cell>
          <cell r="E421" t="str">
            <v>Papan</v>
          </cell>
          <cell r="F421" t="str">
            <v>BATA</v>
          </cell>
          <cell r="G421">
            <v>18</v>
          </cell>
          <cell r="H421">
            <v>100</v>
          </cell>
        </row>
        <row r="422">
          <cell r="D422" t="str">
            <v>SUKABASUKI</v>
          </cell>
          <cell r="E422" t="str">
            <v>Kayu 3/5</v>
          </cell>
          <cell r="F422" t="str">
            <v>BATA</v>
          </cell>
          <cell r="G422">
            <v>18</v>
          </cell>
          <cell r="H422">
            <v>100</v>
          </cell>
        </row>
        <row r="423">
          <cell r="D423" t="str">
            <v>SUKABASUKI</v>
          </cell>
          <cell r="E423" t="str">
            <v>Besi ø6</v>
          </cell>
          <cell r="F423" t="str">
            <v>BATA</v>
          </cell>
          <cell r="G423">
            <v>2</v>
          </cell>
          <cell r="H423">
            <v>100</v>
          </cell>
        </row>
        <row r="424">
          <cell r="D424" t="str">
            <v>SUKABASUKI</v>
          </cell>
          <cell r="E424" t="str">
            <v xml:space="preserve">Besi ø8 </v>
          </cell>
          <cell r="F424" t="str">
            <v>BATA</v>
          </cell>
          <cell r="G424">
            <v>16</v>
          </cell>
          <cell r="H424">
            <v>100</v>
          </cell>
        </row>
        <row r="425">
          <cell r="D425" t="str">
            <v>SUKABASUKI</v>
          </cell>
          <cell r="E425" t="str">
            <v xml:space="preserve">Besi ø6 </v>
          </cell>
          <cell r="F425" t="str">
            <v>BATA</v>
          </cell>
          <cell r="H425">
            <v>100</v>
          </cell>
        </row>
        <row r="426">
          <cell r="D426" t="str">
            <v>SUKABASUKI</v>
          </cell>
          <cell r="E426" t="str">
            <v>Kusen Pintu ( 2 Daun )</v>
          </cell>
          <cell r="F426" t="str">
            <v>BATA</v>
          </cell>
          <cell r="G426">
            <v>1</v>
          </cell>
          <cell r="H426">
            <v>100</v>
          </cell>
        </row>
        <row r="427">
          <cell r="D427" t="str">
            <v>SUKABASUKI</v>
          </cell>
          <cell r="E427" t="str">
            <v>Kusen Pintu ( 1 Daun )</v>
          </cell>
          <cell r="F427" t="str">
            <v>BATA</v>
          </cell>
          <cell r="G427">
            <v>3</v>
          </cell>
          <cell r="H427">
            <v>100</v>
          </cell>
        </row>
        <row r="428">
          <cell r="D428" t="str">
            <v>SUKABASUKI</v>
          </cell>
          <cell r="E428" t="str">
            <v>Bata</v>
          </cell>
          <cell r="F428" t="str">
            <v>BATA</v>
          </cell>
          <cell r="G428">
            <v>4177</v>
          </cell>
          <cell r="H428">
            <v>100</v>
          </cell>
        </row>
        <row r="429">
          <cell r="D429" t="str">
            <v>SUKABASUKI</v>
          </cell>
          <cell r="E429" t="str">
            <v>Semen PCC 40 Kg Tiga Roda</v>
          </cell>
          <cell r="F429" t="str">
            <v>BATA</v>
          </cell>
          <cell r="G429">
            <v>33</v>
          </cell>
          <cell r="H429">
            <v>100</v>
          </cell>
        </row>
        <row r="430">
          <cell r="D430" t="str">
            <v>SUKABASUKI</v>
          </cell>
          <cell r="E430" t="str">
            <v>Pasir</v>
          </cell>
          <cell r="F430" t="str">
            <v>BATA</v>
          </cell>
          <cell r="G430">
            <v>7</v>
          </cell>
          <cell r="H430">
            <v>100</v>
          </cell>
        </row>
        <row r="431">
          <cell r="D431" t="str">
            <v>SUKABASUKI</v>
          </cell>
          <cell r="E431" t="str">
            <v>Besi ø6</v>
          </cell>
          <cell r="F431" t="str">
            <v>BATA</v>
          </cell>
          <cell r="H431">
            <v>100</v>
          </cell>
        </row>
        <row r="432">
          <cell r="D432" t="str">
            <v>DINA CITRA</v>
          </cell>
          <cell r="E432" t="str">
            <v>Papan</v>
          </cell>
          <cell r="F432" t="str">
            <v>BATA</v>
          </cell>
          <cell r="G432">
            <v>29</v>
          </cell>
          <cell r="H432">
            <v>40</v>
          </cell>
        </row>
        <row r="433">
          <cell r="D433" t="str">
            <v>DINA CITRA</v>
          </cell>
          <cell r="E433" t="str">
            <v>Kayu 3/5</v>
          </cell>
          <cell r="F433" t="str">
            <v>BATA</v>
          </cell>
          <cell r="G433">
            <v>29</v>
          </cell>
          <cell r="H433">
            <v>40</v>
          </cell>
        </row>
        <row r="434">
          <cell r="D434" t="str">
            <v>DINA CITRA</v>
          </cell>
          <cell r="E434" t="str">
            <v>Besi ø6</v>
          </cell>
          <cell r="F434" t="str">
            <v>BATA</v>
          </cell>
          <cell r="G434">
            <v>4</v>
          </cell>
          <cell r="H434">
            <v>40</v>
          </cell>
        </row>
        <row r="435">
          <cell r="D435" t="str">
            <v>DINA CITRA</v>
          </cell>
          <cell r="E435" t="str">
            <v xml:space="preserve">Besi ø8 </v>
          </cell>
          <cell r="F435" t="str">
            <v>BATA</v>
          </cell>
          <cell r="G435">
            <v>10</v>
          </cell>
          <cell r="H435">
            <v>40</v>
          </cell>
        </row>
        <row r="436">
          <cell r="D436" t="str">
            <v>DINA CITRA</v>
          </cell>
          <cell r="E436" t="str">
            <v xml:space="preserve">Besi ø6 </v>
          </cell>
          <cell r="F436" t="str">
            <v>BATA</v>
          </cell>
          <cell r="G436">
            <v>4</v>
          </cell>
          <cell r="H436">
            <v>40</v>
          </cell>
        </row>
        <row r="437">
          <cell r="D437" t="str">
            <v>DINA CITRA</v>
          </cell>
          <cell r="E437" t="str">
            <v>Kusen Pintu ( 2 Daun )</v>
          </cell>
          <cell r="F437" t="str">
            <v>BATA</v>
          </cell>
          <cell r="G437">
            <v>1</v>
          </cell>
          <cell r="H437">
            <v>40</v>
          </cell>
        </row>
        <row r="438">
          <cell r="D438" t="str">
            <v>DINA CITRA</v>
          </cell>
          <cell r="E438" t="str">
            <v>Kusen Pintu ( 1 Daun )</v>
          </cell>
          <cell r="F438" t="str">
            <v>BATA</v>
          </cell>
          <cell r="G438">
            <v>3</v>
          </cell>
          <cell r="H438">
            <v>40</v>
          </cell>
        </row>
        <row r="439">
          <cell r="D439" t="str">
            <v>DINA CITRA</v>
          </cell>
          <cell r="E439" t="str">
            <v>Bata</v>
          </cell>
          <cell r="F439" t="str">
            <v>BATA</v>
          </cell>
          <cell r="G439">
            <v>890</v>
          </cell>
          <cell r="H439">
            <v>40</v>
          </cell>
        </row>
        <row r="440">
          <cell r="D440" t="str">
            <v>DINA CITRA</v>
          </cell>
          <cell r="E440" t="str">
            <v>Semen PCC 40 Kg Tiga Roda</v>
          </cell>
          <cell r="F440" t="str">
            <v>BATA</v>
          </cell>
          <cell r="G440">
            <v>11</v>
          </cell>
          <cell r="H440">
            <v>40</v>
          </cell>
        </row>
        <row r="441">
          <cell r="D441" t="str">
            <v>DINA CITRA</v>
          </cell>
          <cell r="E441" t="str">
            <v>Pasir</v>
          </cell>
          <cell r="F441" t="str">
            <v>BATA</v>
          </cell>
          <cell r="G441">
            <v>2</v>
          </cell>
          <cell r="H441">
            <v>40</v>
          </cell>
        </row>
        <row r="442">
          <cell r="D442" t="str">
            <v>DINA CITRA</v>
          </cell>
          <cell r="E442" t="str">
            <v>Besi ø6</v>
          </cell>
          <cell r="F442" t="str">
            <v>BATA</v>
          </cell>
          <cell r="H442">
            <v>40</v>
          </cell>
        </row>
        <row r="443">
          <cell r="D443" t="str">
            <v>DINA CITRA</v>
          </cell>
          <cell r="E443" t="str">
            <v>Semen PCC 40 Kg Tiga Roda</v>
          </cell>
          <cell r="F443" t="str">
            <v>PLASTER</v>
          </cell>
          <cell r="G443">
            <v>12</v>
          </cell>
          <cell r="H443">
            <v>40</v>
          </cell>
        </row>
        <row r="444">
          <cell r="D444" t="str">
            <v>DINA CITRA</v>
          </cell>
          <cell r="E444" t="str">
            <v>Pasir</v>
          </cell>
          <cell r="F444" t="str">
            <v>PLASTER</v>
          </cell>
          <cell r="G444">
            <v>2</v>
          </cell>
          <cell r="H444">
            <v>40</v>
          </cell>
        </row>
        <row r="445">
          <cell r="D445" t="str">
            <v>DINA CITRA</v>
          </cell>
          <cell r="E445" t="str">
            <v>Pipa 5/8</v>
          </cell>
          <cell r="F445" t="str">
            <v>PLASTER</v>
          </cell>
          <cell r="G445">
            <v>8</v>
          </cell>
          <cell r="H445">
            <v>40</v>
          </cell>
        </row>
        <row r="446">
          <cell r="D446" t="str">
            <v>DINA CITRA</v>
          </cell>
          <cell r="E446" t="str">
            <v>Besi ø6</v>
          </cell>
          <cell r="F446" t="str">
            <v>COR LANTAI</v>
          </cell>
          <cell r="G446">
            <v>12</v>
          </cell>
          <cell r="H446">
            <v>40</v>
          </cell>
        </row>
        <row r="447">
          <cell r="D447" t="str">
            <v>DINA CITRA</v>
          </cell>
          <cell r="E447" t="str">
            <v>Pasir</v>
          </cell>
          <cell r="F447" t="str">
            <v>COR LANTAI</v>
          </cell>
          <cell r="G447">
            <v>4</v>
          </cell>
          <cell r="H447">
            <v>40</v>
          </cell>
        </row>
        <row r="448">
          <cell r="D448" t="str">
            <v>DINA CITRA</v>
          </cell>
          <cell r="E448" t="str">
            <v>Semen PCC 40 Kg Tiga Roda</v>
          </cell>
          <cell r="F448" t="str">
            <v>COR LANTAI</v>
          </cell>
          <cell r="G448">
            <v>24</v>
          </cell>
          <cell r="H448">
            <v>40</v>
          </cell>
        </row>
        <row r="449">
          <cell r="D449" t="str">
            <v>DINA CITRA</v>
          </cell>
          <cell r="E449" t="str">
            <v>Plastik cor</v>
          </cell>
          <cell r="F449" t="str">
            <v>COR LANTAI</v>
          </cell>
          <cell r="G449">
            <v>5</v>
          </cell>
          <cell r="H449">
            <v>40</v>
          </cell>
        </row>
        <row r="450">
          <cell r="D450" t="str">
            <v>DINA CITRA</v>
          </cell>
          <cell r="E450" t="str">
            <v xml:space="preserve">Pasir </v>
          </cell>
          <cell r="F450" t="str">
            <v>URUG</v>
          </cell>
          <cell r="G450">
            <v>9</v>
          </cell>
          <cell r="H450">
            <v>40</v>
          </cell>
        </row>
        <row r="451">
          <cell r="D451" t="str">
            <v>DINA CITRA</v>
          </cell>
          <cell r="E451" t="str">
            <v>Pipa 4"</v>
          </cell>
          <cell r="F451" t="str">
            <v>URUG</v>
          </cell>
          <cell r="G451">
            <v>2</v>
          </cell>
          <cell r="H451">
            <v>40</v>
          </cell>
        </row>
        <row r="452">
          <cell r="D452" t="str">
            <v>DINA CITRA</v>
          </cell>
          <cell r="E452" t="str">
            <v>Pipa 2"</v>
          </cell>
          <cell r="F452" t="str">
            <v>URUG</v>
          </cell>
          <cell r="G452">
            <v>2</v>
          </cell>
          <cell r="H452">
            <v>40</v>
          </cell>
        </row>
        <row r="453">
          <cell r="D453" t="str">
            <v>KARYA 04</v>
          </cell>
          <cell r="E453" t="str">
            <v>Semen PCC 40 Kg Tiga Roda</v>
          </cell>
          <cell r="F453" t="str">
            <v>PLASTER</v>
          </cell>
          <cell r="G453">
            <v>47</v>
          </cell>
          <cell r="H453">
            <v>55</v>
          </cell>
        </row>
        <row r="454">
          <cell r="D454" t="str">
            <v>KARYA 04</v>
          </cell>
          <cell r="E454" t="str">
            <v>Pasir</v>
          </cell>
          <cell r="F454" t="str">
            <v>PLASTER</v>
          </cell>
          <cell r="G454">
            <v>7</v>
          </cell>
          <cell r="H454">
            <v>55</v>
          </cell>
        </row>
        <row r="455">
          <cell r="D455" t="str">
            <v>KARYA 04</v>
          </cell>
          <cell r="E455" t="str">
            <v>Pipa 5/8</v>
          </cell>
          <cell r="F455" t="str">
            <v>PLASTER</v>
          </cell>
          <cell r="G455">
            <v>8</v>
          </cell>
          <cell r="H455">
            <v>55</v>
          </cell>
        </row>
        <row r="456">
          <cell r="D456" t="str">
            <v>KARYA 04</v>
          </cell>
          <cell r="E456" t="str">
            <v>Kayu 3/5</v>
          </cell>
          <cell r="F456" t="str">
            <v>ATAP</v>
          </cell>
          <cell r="G456">
            <v>80</v>
          </cell>
          <cell r="H456">
            <v>55</v>
          </cell>
        </row>
        <row r="457">
          <cell r="D457" t="str">
            <v>KARYA 04</v>
          </cell>
          <cell r="E457" t="str">
            <v>Kayu 4/6</v>
          </cell>
          <cell r="F457" t="str">
            <v>ATAP</v>
          </cell>
          <cell r="G457">
            <v>80</v>
          </cell>
          <cell r="H457">
            <v>55</v>
          </cell>
        </row>
        <row r="458">
          <cell r="D458" t="str">
            <v>KARYA 04</v>
          </cell>
          <cell r="E458" t="str">
            <v>Kayu 5/7</v>
          </cell>
          <cell r="F458" t="str">
            <v>ATAP</v>
          </cell>
          <cell r="G458">
            <v>40</v>
          </cell>
          <cell r="H458">
            <v>55</v>
          </cell>
        </row>
        <row r="459">
          <cell r="D459" t="str">
            <v>KARYA 04</v>
          </cell>
          <cell r="E459" t="str">
            <v>Lisplank</v>
          </cell>
          <cell r="F459" t="str">
            <v>ATAP</v>
          </cell>
          <cell r="G459">
            <v>10</v>
          </cell>
          <cell r="H459">
            <v>55</v>
          </cell>
        </row>
        <row r="460">
          <cell r="D460" t="str">
            <v>KARYA 04</v>
          </cell>
          <cell r="E460" t="str">
            <v>Seng  Metal 4 Susun (merah)</v>
          </cell>
          <cell r="F460" t="str">
            <v>ATAP</v>
          </cell>
          <cell r="G460">
            <v>80</v>
          </cell>
          <cell r="H460">
            <v>55</v>
          </cell>
        </row>
        <row r="461">
          <cell r="D461" t="str">
            <v>KARYA 04</v>
          </cell>
          <cell r="E461" t="str">
            <v>Seng  Metal 2 Susun (hitam)</v>
          </cell>
          <cell r="F461" t="str">
            <v>ATAP</v>
          </cell>
          <cell r="H461">
            <v>55</v>
          </cell>
        </row>
        <row r="462">
          <cell r="D462" t="str">
            <v>KARYA 04</v>
          </cell>
          <cell r="E462" t="str">
            <v>Perabung Hitam</v>
          </cell>
          <cell r="F462" t="str">
            <v>ATAP</v>
          </cell>
          <cell r="H462">
            <v>55</v>
          </cell>
        </row>
        <row r="463">
          <cell r="D463" t="str">
            <v>KARYA 04</v>
          </cell>
          <cell r="E463" t="str">
            <v>Perabung Merah</v>
          </cell>
          <cell r="F463" t="str">
            <v>ATAP</v>
          </cell>
          <cell r="G463">
            <v>1.5</v>
          </cell>
          <cell r="H463">
            <v>55</v>
          </cell>
        </row>
        <row r="464">
          <cell r="D464" t="str">
            <v>KARYA 04</v>
          </cell>
          <cell r="E464" t="str">
            <v>Paku 2 inch</v>
          </cell>
          <cell r="F464" t="str">
            <v>ATAP</v>
          </cell>
          <cell r="G464">
            <v>2</v>
          </cell>
          <cell r="H464">
            <v>55</v>
          </cell>
        </row>
        <row r="465">
          <cell r="D465" t="str">
            <v>KARYA 04</v>
          </cell>
          <cell r="E465" t="str">
            <v>Paku 3 inch</v>
          </cell>
          <cell r="F465" t="str">
            <v>ATAP</v>
          </cell>
          <cell r="G465">
            <v>2</v>
          </cell>
          <cell r="H465">
            <v>55</v>
          </cell>
        </row>
        <row r="466">
          <cell r="D466" t="str">
            <v>KARYA 05</v>
          </cell>
          <cell r="E466" t="str">
            <v>Kayu 3/5</v>
          </cell>
          <cell r="F466" t="str">
            <v>DEK</v>
          </cell>
          <cell r="G466">
            <v>115</v>
          </cell>
          <cell r="H466">
            <v>55</v>
          </cell>
        </row>
        <row r="467">
          <cell r="D467" t="str">
            <v>KARYA 05</v>
          </cell>
          <cell r="E467" t="str">
            <v>Gypsum</v>
          </cell>
          <cell r="F467" t="str">
            <v>DEK</v>
          </cell>
          <cell r="G467">
            <v>23</v>
          </cell>
          <cell r="H467">
            <v>55</v>
          </cell>
        </row>
        <row r="468">
          <cell r="D468" t="str">
            <v>KARYA 05</v>
          </cell>
          <cell r="E468" t="str">
            <v>Baut</v>
          </cell>
          <cell r="F468" t="str">
            <v>DEK</v>
          </cell>
          <cell r="G468">
            <v>4</v>
          </cell>
          <cell r="H468">
            <v>55</v>
          </cell>
        </row>
        <row r="469">
          <cell r="D469" t="str">
            <v>KARYA 05</v>
          </cell>
          <cell r="E469" t="str">
            <v>Paku Beton 4 inch</v>
          </cell>
          <cell r="F469" t="str">
            <v>DEK</v>
          </cell>
          <cell r="G469">
            <v>1</v>
          </cell>
          <cell r="H469">
            <v>55</v>
          </cell>
        </row>
        <row r="470">
          <cell r="D470" t="str">
            <v>KARYA 05</v>
          </cell>
          <cell r="E470" t="str">
            <v>Paku 3 imch</v>
          </cell>
          <cell r="F470" t="str">
            <v>DEK</v>
          </cell>
          <cell r="G470">
            <v>1</v>
          </cell>
          <cell r="H470">
            <v>55</v>
          </cell>
        </row>
        <row r="471">
          <cell r="D471" t="str">
            <v>KARYA 05</v>
          </cell>
          <cell r="E471" t="str">
            <v>paku 2 inch</v>
          </cell>
          <cell r="F471" t="str">
            <v>DEK</v>
          </cell>
          <cell r="G471">
            <v>1</v>
          </cell>
          <cell r="H471">
            <v>55</v>
          </cell>
        </row>
        <row r="472">
          <cell r="D472" t="str">
            <v>KARYA 05</v>
          </cell>
          <cell r="E472" t="str">
            <v>Bata</v>
          </cell>
          <cell r="F472" t="str">
            <v>MINIMALIS</v>
          </cell>
          <cell r="G472">
            <v>60</v>
          </cell>
          <cell r="H472">
            <v>55</v>
          </cell>
        </row>
        <row r="473">
          <cell r="D473" t="str">
            <v>KARYA 05</v>
          </cell>
          <cell r="E473" t="str">
            <v>Pasir</v>
          </cell>
          <cell r="F473" t="str">
            <v>MINIMALIS</v>
          </cell>
          <cell r="G473">
            <v>1</v>
          </cell>
          <cell r="H473">
            <v>55</v>
          </cell>
        </row>
        <row r="474">
          <cell r="D474" t="str">
            <v>KARYA 05</v>
          </cell>
          <cell r="E474" t="str">
            <v>Semen PCC 40 Kg Tiga Roda</v>
          </cell>
          <cell r="F474" t="str">
            <v>MINIMALIS</v>
          </cell>
          <cell r="G474">
            <v>4</v>
          </cell>
          <cell r="H474">
            <v>55</v>
          </cell>
        </row>
        <row r="475">
          <cell r="D475" t="str">
            <v>KARYA 05</v>
          </cell>
          <cell r="E475" t="str">
            <v>Keramik 60 x 60 Blackmatt</v>
          </cell>
          <cell r="F475" t="str">
            <v>MINIMALIS</v>
          </cell>
          <cell r="H475">
            <v>55</v>
          </cell>
        </row>
        <row r="476">
          <cell r="D476" t="str">
            <v>KARYA 06</v>
          </cell>
          <cell r="E476" t="str">
            <v>Keramik 60 x 60 Cream</v>
          </cell>
          <cell r="F476" t="str">
            <v>KERAMIK</v>
          </cell>
          <cell r="G476">
            <v>35</v>
          </cell>
          <cell r="H476">
            <v>55</v>
          </cell>
        </row>
        <row r="477">
          <cell r="D477" t="str">
            <v>KARYA 06</v>
          </cell>
          <cell r="E477" t="str">
            <v>Keramik 60 x 60 Blackmatt</v>
          </cell>
          <cell r="F477" t="str">
            <v>KERAMIK</v>
          </cell>
          <cell r="G477">
            <v>5</v>
          </cell>
          <cell r="H477">
            <v>55</v>
          </cell>
        </row>
        <row r="478">
          <cell r="D478" t="str">
            <v>KARYA 06</v>
          </cell>
          <cell r="E478" t="str">
            <v>Pasir</v>
          </cell>
          <cell r="F478" t="str">
            <v>KERAMIK</v>
          </cell>
          <cell r="G478">
            <v>5</v>
          </cell>
          <cell r="H478">
            <v>55</v>
          </cell>
        </row>
        <row r="479">
          <cell r="D479" t="str">
            <v>KARYA 06</v>
          </cell>
          <cell r="E479" t="str">
            <v>Semen PCC 40 Kg Tiga Roda</v>
          </cell>
          <cell r="F479" t="str">
            <v>KERAMIK</v>
          </cell>
          <cell r="G479">
            <v>24</v>
          </cell>
          <cell r="H479">
            <v>55</v>
          </cell>
        </row>
        <row r="480">
          <cell r="D480" t="str">
            <v>KARYA 06</v>
          </cell>
          <cell r="E480" t="str">
            <v>Oker</v>
          </cell>
          <cell r="F480" t="str">
            <v>KERAMIK</v>
          </cell>
          <cell r="G480">
            <v>5</v>
          </cell>
          <cell r="H480">
            <v>55</v>
          </cell>
        </row>
        <row r="481">
          <cell r="D481" t="str">
            <v>KARYA 06</v>
          </cell>
          <cell r="E481" t="str">
            <v>Mowilex weathercoat</v>
          </cell>
          <cell r="F481" t="str">
            <v>CAT</v>
          </cell>
          <cell r="H481">
            <v>55</v>
          </cell>
        </row>
        <row r="482">
          <cell r="D482" t="str">
            <v>KARYA 06</v>
          </cell>
          <cell r="E482" t="str">
            <v>Nippon pain  Q--luc</v>
          </cell>
          <cell r="F482" t="str">
            <v>CAT</v>
          </cell>
          <cell r="G482">
            <v>2</v>
          </cell>
          <cell r="H482">
            <v>55</v>
          </cell>
        </row>
        <row r="483">
          <cell r="D483" t="str">
            <v>KARYA 06</v>
          </cell>
          <cell r="E483" t="str">
            <v>Semen TR-30 40 Kg Tiga Roda</v>
          </cell>
          <cell r="F483" t="str">
            <v>CAT</v>
          </cell>
          <cell r="G483">
            <v>8</v>
          </cell>
          <cell r="H483">
            <v>55</v>
          </cell>
        </row>
        <row r="484">
          <cell r="D484" t="str">
            <v>KARYA 06</v>
          </cell>
          <cell r="E484" t="str">
            <v>Semen Aci Putih 25 kg</v>
          </cell>
          <cell r="F484" t="str">
            <v>CAT</v>
          </cell>
          <cell r="H484">
            <v>55</v>
          </cell>
        </row>
        <row r="485">
          <cell r="D485" t="str">
            <v>KARYA 07</v>
          </cell>
          <cell r="E485" t="str">
            <v>Pintu Kayu 120 x 220</v>
          </cell>
          <cell r="F485" t="str">
            <v>PINTU</v>
          </cell>
          <cell r="G485">
            <v>1</v>
          </cell>
          <cell r="H485">
            <v>55</v>
          </cell>
        </row>
        <row r="486">
          <cell r="D486" t="str">
            <v>KARYA 07</v>
          </cell>
          <cell r="E486" t="str">
            <v>Pintu Kayu 80 x 220</v>
          </cell>
          <cell r="F486" t="str">
            <v>PINTU</v>
          </cell>
          <cell r="G486">
            <v>3</v>
          </cell>
          <cell r="H486">
            <v>55</v>
          </cell>
        </row>
        <row r="487">
          <cell r="D487" t="str">
            <v>KARYA 07</v>
          </cell>
          <cell r="E487" t="str">
            <v>Pintu WC PVC Biru</v>
          </cell>
          <cell r="F487" t="str">
            <v>PINTU</v>
          </cell>
          <cell r="H487">
            <v>55</v>
          </cell>
        </row>
        <row r="488">
          <cell r="D488" t="str">
            <v>KARYA 07</v>
          </cell>
          <cell r="E488" t="str">
            <v>Pintu WC Edenjoice Putih</v>
          </cell>
          <cell r="F488" t="str">
            <v>PINTU</v>
          </cell>
          <cell r="H488">
            <v>55</v>
          </cell>
        </row>
        <row r="489">
          <cell r="D489" t="str">
            <v>KARYA 07</v>
          </cell>
          <cell r="E489" t="str">
            <v>Engsel Pintu 4"</v>
          </cell>
          <cell r="F489" t="str">
            <v>PINTU</v>
          </cell>
          <cell r="G489">
            <v>15</v>
          </cell>
          <cell r="H489">
            <v>55</v>
          </cell>
        </row>
        <row r="490">
          <cell r="D490" t="str">
            <v>KARYA 07</v>
          </cell>
          <cell r="E490" t="str">
            <v>Peganggan pintu 2 daun</v>
          </cell>
          <cell r="F490" t="str">
            <v>PINTU</v>
          </cell>
          <cell r="G490">
            <v>1</v>
          </cell>
          <cell r="H490">
            <v>55</v>
          </cell>
        </row>
        <row r="491">
          <cell r="D491" t="str">
            <v>KARYA 07</v>
          </cell>
          <cell r="E491" t="str">
            <v>Pengunci Pintu 2 daun</v>
          </cell>
          <cell r="F491" t="str">
            <v>PINTU</v>
          </cell>
          <cell r="G491">
            <v>2</v>
          </cell>
          <cell r="H491">
            <v>55</v>
          </cell>
        </row>
        <row r="492">
          <cell r="D492" t="str">
            <v>KARYA 07</v>
          </cell>
          <cell r="E492" t="str">
            <v>Pegangan kunci 1 daun</v>
          </cell>
          <cell r="F492" t="str">
            <v>PINTU</v>
          </cell>
          <cell r="G492">
            <v>3</v>
          </cell>
          <cell r="H492">
            <v>55</v>
          </cell>
        </row>
        <row r="493">
          <cell r="D493" t="str">
            <v>KARYA 07</v>
          </cell>
          <cell r="E493" t="str">
            <v xml:space="preserve">Avian </v>
          </cell>
          <cell r="F493" t="str">
            <v>PINTU</v>
          </cell>
          <cell r="G493">
            <v>2</v>
          </cell>
          <cell r="H493">
            <v>55</v>
          </cell>
        </row>
        <row r="494">
          <cell r="D494" t="str">
            <v>KARYA 07</v>
          </cell>
          <cell r="E494" t="str">
            <v>Tinner Nb Kaleng</v>
          </cell>
          <cell r="F494" t="str">
            <v>PINTU</v>
          </cell>
          <cell r="G494">
            <v>1</v>
          </cell>
          <cell r="H494">
            <v>55</v>
          </cell>
        </row>
        <row r="495">
          <cell r="D495" t="str">
            <v>KARYA 07</v>
          </cell>
          <cell r="E495" t="str">
            <v>Slot 6 "</v>
          </cell>
          <cell r="F495" t="str">
            <v>PINTU</v>
          </cell>
          <cell r="G495">
            <v>1</v>
          </cell>
          <cell r="H495">
            <v>55</v>
          </cell>
        </row>
        <row r="496">
          <cell r="D496" t="str">
            <v>KARYA 07</v>
          </cell>
          <cell r="E496" t="str">
            <v>Slot 4"</v>
          </cell>
          <cell r="F496" t="str">
            <v>PINTU</v>
          </cell>
          <cell r="G496">
            <v>1</v>
          </cell>
          <cell r="H496">
            <v>55</v>
          </cell>
        </row>
        <row r="497">
          <cell r="D497" t="str">
            <v>KARYA 07</v>
          </cell>
          <cell r="E497" t="str">
            <v>Mowilex weathercoat</v>
          </cell>
          <cell r="F497" t="str">
            <v>CAT</v>
          </cell>
          <cell r="H497">
            <v>55</v>
          </cell>
        </row>
        <row r="498">
          <cell r="D498" t="str">
            <v>KARYA 07</v>
          </cell>
          <cell r="E498" t="str">
            <v>Nippon pain  Q--luc</v>
          </cell>
          <cell r="F498" t="str">
            <v>CAT</v>
          </cell>
          <cell r="G498">
            <v>3</v>
          </cell>
          <cell r="H498">
            <v>55</v>
          </cell>
        </row>
        <row r="499">
          <cell r="D499" t="str">
            <v>KARYA 07</v>
          </cell>
          <cell r="E499" t="str">
            <v>Semen TR-30 40 Kg Tiga Roda</v>
          </cell>
          <cell r="F499" t="str">
            <v>CAT</v>
          </cell>
          <cell r="G499">
            <v>10</v>
          </cell>
          <cell r="H499">
            <v>55</v>
          </cell>
        </row>
        <row r="500">
          <cell r="D500" t="str">
            <v>KARYA 07</v>
          </cell>
          <cell r="E500" t="str">
            <v>Semen Aci Putih 25 kg</v>
          </cell>
          <cell r="F500" t="str">
            <v>CAT</v>
          </cell>
          <cell r="G500">
            <v>2</v>
          </cell>
          <cell r="H500">
            <v>55</v>
          </cell>
        </row>
        <row r="501">
          <cell r="D501" t="str">
            <v>KARYA 09</v>
          </cell>
          <cell r="E501" t="str">
            <v>Bata</v>
          </cell>
          <cell r="F501" t="str">
            <v>PAGAR</v>
          </cell>
          <cell r="G501">
            <v>109</v>
          </cell>
          <cell r="H501">
            <v>70</v>
          </cell>
        </row>
        <row r="502">
          <cell r="D502" t="str">
            <v>KARYA 09</v>
          </cell>
          <cell r="E502" t="str">
            <v>Pasir</v>
          </cell>
          <cell r="F502" t="str">
            <v>PAGAR</v>
          </cell>
          <cell r="H502">
            <v>70</v>
          </cell>
        </row>
        <row r="503">
          <cell r="D503" t="str">
            <v>KARYA 09</v>
          </cell>
          <cell r="E503" t="str">
            <v>Semen PCC 40 Kg Tiga Roda</v>
          </cell>
          <cell r="F503" t="str">
            <v>PAGAR</v>
          </cell>
          <cell r="G503">
            <v>1</v>
          </cell>
          <cell r="H503">
            <v>70</v>
          </cell>
        </row>
        <row r="504">
          <cell r="D504" t="str">
            <v>KARYA 09</v>
          </cell>
          <cell r="E504" t="str">
            <v xml:space="preserve">Besi ø6 </v>
          </cell>
          <cell r="F504" t="str">
            <v>PAGAR</v>
          </cell>
          <cell r="G504">
            <v>1</v>
          </cell>
          <cell r="H504">
            <v>70</v>
          </cell>
        </row>
        <row r="505">
          <cell r="D505" t="str">
            <v>KARYA 09</v>
          </cell>
          <cell r="E505" t="str">
            <v>Besi ø8</v>
          </cell>
          <cell r="F505" t="str">
            <v>PAGAR</v>
          </cell>
          <cell r="G505">
            <v>1</v>
          </cell>
          <cell r="H505">
            <v>70</v>
          </cell>
        </row>
        <row r="506">
          <cell r="D506" t="str">
            <v>KARYA 10</v>
          </cell>
          <cell r="E506" t="str">
            <v>Semen PCC 40 Kg Tiga Roda</v>
          </cell>
          <cell r="F506" t="str">
            <v>MINIMALIS CARPOT</v>
          </cell>
          <cell r="G506">
            <v>17</v>
          </cell>
          <cell r="H506">
            <v>70</v>
          </cell>
        </row>
        <row r="507">
          <cell r="D507" t="str">
            <v>KARYA 10</v>
          </cell>
          <cell r="E507" t="str">
            <v>Pasir</v>
          </cell>
          <cell r="F507" t="str">
            <v>MINIMALIS CARPOT</v>
          </cell>
          <cell r="G507">
            <v>1</v>
          </cell>
          <cell r="H507">
            <v>70</v>
          </cell>
        </row>
        <row r="508">
          <cell r="D508" t="str">
            <v>KARYA 12</v>
          </cell>
          <cell r="E508" t="str">
            <v>Papan</v>
          </cell>
          <cell r="F508" t="str">
            <v>BATA</v>
          </cell>
          <cell r="G508">
            <v>18</v>
          </cell>
          <cell r="H508">
            <v>55</v>
          </cell>
        </row>
        <row r="509">
          <cell r="D509" t="str">
            <v>KARYA 12</v>
          </cell>
          <cell r="E509" t="str">
            <v>Kayu 3/5</v>
          </cell>
          <cell r="F509" t="str">
            <v>BATA</v>
          </cell>
          <cell r="G509">
            <v>18</v>
          </cell>
          <cell r="H509">
            <v>55</v>
          </cell>
        </row>
        <row r="510">
          <cell r="D510" t="str">
            <v>KARYA 12</v>
          </cell>
          <cell r="E510" t="str">
            <v>Besi ø6</v>
          </cell>
          <cell r="F510" t="str">
            <v>BATA</v>
          </cell>
          <cell r="G510">
            <v>2</v>
          </cell>
          <cell r="H510">
            <v>55</v>
          </cell>
        </row>
        <row r="511">
          <cell r="D511" t="str">
            <v>KARYA 12</v>
          </cell>
          <cell r="E511" t="str">
            <v xml:space="preserve">Besi ø8 </v>
          </cell>
          <cell r="F511" t="str">
            <v>BATA</v>
          </cell>
          <cell r="G511">
            <v>11</v>
          </cell>
          <cell r="H511">
            <v>55</v>
          </cell>
        </row>
        <row r="512">
          <cell r="D512" t="str">
            <v>KARYA 12</v>
          </cell>
          <cell r="E512" t="str">
            <v xml:space="preserve">Besi ø6 </v>
          </cell>
          <cell r="F512" t="str">
            <v>BATA</v>
          </cell>
          <cell r="G512">
            <v>2</v>
          </cell>
          <cell r="H512">
            <v>55</v>
          </cell>
        </row>
        <row r="513">
          <cell r="D513" t="str">
            <v>KARYA 12</v>
          </cell>
          <cell r="E513" t="str">
            <v>Kusen Pintu ( 2 Daun )</v>
          </cell>
          <cell r="F513" t="str">
            <v>BATA</v>
          </cell>
          <cell r="G513">
            <v>1</v>
          </cell>
          <cell r="H513">
            <v>55</v>
          </cell>
        </row>
        <row r="514">
          <cell r="D514" t="str">
            <v>KARYA 12</v>
          </cell>
          <cell r="E514" t="str">
            <v>Kusen Pintu ( 1 Daun )</v>
          </cell>
          <cell r="F514" t="str">
            <v>BATA</v>
          </cell>
          <cell r="G514">
            <v>3</v>
          </cell>
          <cell r="H514">
            <v>55</v>
          </cell>
        </row>
        <row r="515">
          <cell r="D515" t="str">
            <v>KARYA 12</v>
          </cell>
          <cell r="E515" t="str">
            <v>Bata</v>
          </cell>
          <cell r="F515" t="str">
            <v>BATA</v>
          </cell>
          <cell r="G515">
            <v>878</v>
          </cell>
          <cell r="H515">
            <v>55</v>
          </cell>
        </row>
        <row r="516">
          <cell r="D516" t="str">
            <v>KARYA 12</v>
          </cell>
          <cell r="E516" t="str">
            <v>Semen PCC 40 Kg Tiga Roda</v>
          </cell>
          <cell r="F516" t="str">
            <v>BATA</v>
          </cell>
          <cell r="G516">
            <v>8</v>
          </cell>
          <cell r="H516">
            <v>55</v>
          </cell>
        </row>
        <row r="517">
          <cell r="D517" t="str">
            <v>KARYA 12</v>
          </cell>
          <cell r="E517" t="str">
            <v>Pasir</v>
          </cell>
          <cell r="F517" t="str">
            <v>BATA</v>
          </cell>
          <cell r="G517">
            <v>2</v>
          </cell>
          <cell r="H517">
            <v>55</v>
          </cell>
        </row>
        <row r="518">
          <cell r="D518" t="str">
            <v>KARYA 12</v>
          </cell>
          <cell r="E518" t="str">
            <v>Besi ø6</v>
          </cell>
          <cell r="F518" t="str">
            <v>BATA</v>
          </cell>
          <cell r="G518">
            <v>2</v>
          </cell>
          <cell r="H518">
            <v>55</v>
          </cell>
        </row>
        <row r="519">
          <cell r="D519" t="str">
            <v>KARYA 02</v>
          </cell>
          <cell r="E519" t="str">
            <v>Keramik 60 x 60 Cream</v>
          </cell>
          <cell r="F519" t="str">
            <v>KERAMIK</v>
          </cell>
          <cell r="G519">
            <v>38</v>
          </cell>
          <cell r="H519">
            <v>60</v>
          </cell>
        </row>
        <row r="520">
          <cell r="D520" t="str">
            <v>KARYA 02</v>
          </cell>
          <cell r="E520" t="str">
            <v>Keramik 60 x 60 Blackmatt</v>
          </cell>
          <cell r="F520" t="str">
            <v>KERAMIK</v>
          </cell>
          <cell r="G520">
            <v>5</v>
          </cell>
          <cell r="H520">
            <v>60</v>
          </cell>
        </row>
        <row r="521">
          <cell r="D521" t="str">
            <v>KARYA 02</v>
          </cell>
          <cell r="E521" t="str">
            <v>Pasir</v>
          </cell>
          <cell r="F521" t="str">
            <v>KERAMIK</v>
          </cell>
          <cell r="G521">
            <v>5</v>
          </cell>
          <cell r="H521">
            <v>60</v>
          </cell>
        </row>
        <row r="522">
          <cell r="D522" t="str">
            <v>KARYA 02</v>
          </cell>
          <cell r="E522" t="str">
            <v>Semen PCC 40 Kg Tiga Roda</v>
          </cell>
          <cell r="F522" t="str">
            <v>KERAMIK</v>
          </cell>
          <cell r="G522">
            <v>27</v>
          </cell>
          <cell r="H522">
            <v>60</v>
          </cell>
        </row>
        <row r="523">
          <cell r="D523" t="str">
            <v>KARYA 02</v>
          </cell>
          <cell r="E523" t="str">
            <v>Oker</v>
          </cell>
          <cell r="F523" t="str">
            <v>KERAMIK</v>
          </cell>
          <cell r="H523">
            <v>60</v>
          </cell>
        </row>
        <row r="524">
          <cell r="D524" t="str">
            <v>KARYA 05</v>
          </cell>
          <cell r="E524" t="str">
            <v>Keramik 60 x 60 Cream</v>
          </cell>
          <cell r="F524" t="str">
            <v>KERAMIK</v>
          </cell>
          <cell r="G524">
            <v>28</v>
          </cell>
          <cell r="H524">
            <v>55</v>
          </cell>
        </row>
        <row r="525">
          <cell r="D525" t="str">
            <v>KARYA 05</v>
          </cell>
          <cell r="E525" t="str">
            <v>Keramik 60 x 60 Blackmatt</v>
          </cell>
          <cell r="F525" t="str">
            <v>KERAMIK</v>
          </cell>
          <cell r="G525">
            <v>5</v>
          </cell>
          <cell r="H525">
            <v>55</v>
          </cell>
        </row>
        <row r="526">
          <cell r="D526" t="str">
            <v>KARYA 05</v>
          </cell>
          <cell r="E526" t="str">
            <v>Pasir</v>
          </cell>
          <cell r="F526" t="str">
            <v>KERAMIK</v>
          </cell>
          <cell r="G526">
            <v>2</v>
          </cell>
          <cell r="H526">
            <v>55</v>
          </cell>
        </row>
        <row r="527">
          <cell r="D527" t="str">
            <v>KARYA 05</v>
          </cell>
          <cell r="E527" t="str">
            <v>Semen PCC 40 Kg Tiga Roda</v>
          </cell>
          <cell r="F527" t="str">
            <v>KERAMIK</v>
          </cell>
          <cell r="G527">
            <v>8</v>
          </cell>
          <cell r="H527">
            <v>55</v>
          </cell>
        </row>
        <row r="528">
          <cell r="D528" t="str">
            <v>KARYA 05</v>
          </cell>
          <cell r="E528" t="str">
            <v>Oker</v>
          </cell>
          <cell r="F528" t="str">
            <v>KERAMIK</v>
          </cell>
          <cell r="H528">
            <v>55</v>
          </cell>
        </row>
        <row r="529">
          <cell r="D529" t="str">
            <v>KARYA 09</v>
          </cell>
          <cell r="E529" t="str">
            <v>Semen PCC 40 Kg Tiga Roda</v>
          </cell>
          <cell r="F529" t="str">
            <v>MINIMALIS CARPORT</v>
          </cell>
          <cell r="G529">
            <v>9</v>
          </cell>
          <cell r="H529">
            <v>70</v>
          </cell>
        </row>
        <row r="530">
          <cell r="D530" t="str">
            <v>KARYA 09</v>
          </cell>
          <cell r="E530" t="str">
            <v>Pasir</v>
          </cell>
          <cell r="F530" t="str">
            <v>MINIMALIS CARPORT</v>
          </cell>
          <cell r="G530">
            <v>2</v>
          </cell>
          <cell r="H530">
            <v>70</v>
          </cell>
        </row>
        <row r="531">
          <cell r="D531" t="str">
            <v>KARYA 12</v>
          </cell>
          <cell r="E531" t="str">
            <v>Semen PCC 40 Kg Tiga Roda</v>
          </cell>
          <cell r="F531" t="str">
            <v>PLASTER</v>
          </cell>
          <cell r="G531">
            <v>30</v>
          </cell>
          <cell r="H531">
            <v>55</v>
          </cell>
        </row>
        <row r="532">
          <cell r="D532" t="str">
            <v>KARYA 12</v>
          </cell>
          <cell r="E532" t="str">
            <v>Pasir</v>
          </cell>
          <cell r="F532" t="str">
            <v>PLASTER</v>
          </cell>
          <cell r="G532">
            <v>5</v>
          </cell>
          <cell r="H532">
            <v>55</v>
          </cell>
        </row>
        <row r="533">
          <cell r="D533" t="str">
            <v>KARYA 12</v>
          </cell>
          <cell r="E533" t="str">
            <v>Pipa 5/8</v>
          </cell>
          <cell r="F533" t="str">
            <v>PLASTER</v>
          </cell>
          <cell r="G533">
            <v>7</v>
          </cell>
          <cell r="H533">
            <v>55</v>
          </cell>
        </row>
        <row r="534">
          <cell r="D534" t="str">
            <v>DAMAI 3 03</v>
          </cell>
          <cell r="E534" t="str">
            <v>Kayu 3/5</v>
          </cell>
          <cell r="F534" t="str">
            <v>ATAP</v>
          </cell>
          <cell r="G534">
            <v>52</v>
          </cell>
          <cell r="H534">
            <v>45</v>
          </cell>
        </row>
        <row r="535">
          <cell r="D535" t="str">
            <v>DAMAI 3 03</v>
          </cell>
          <cell r="E535" t="str">
            <v>Kayu 4/6</v>
          </cell>
          <cell r="F535" t="str">
            <v>ATAP</v>
          </cell>
          <cell r="G535">
            <v>36</v>
          </cell>
          <cell r="H535">
            <v>45</v>
          </cell>
        </row>
        <row r="536">
          <cell r="D536" t="str">
            <v>DAMAI 3 03</v>
          </cell>
          <cell r="E536" t="str">
            <v>Kayu 5/7</v>
          </cell>
          <cell r="F536" t="str">
            <v>ATAP</v>
          </cell>
          <cell r="G536">
            <v>26</v>
          </cell>
          <cell r="H536">
            <v>45</v>
          </cell>
        </row>
        <row r="537">
          <cell r="D537" t="str">
            <v>DAMAI 3 03</v>
          </cell>
          <cell r="E537" t="str">
            <v>Lisplank</v>
          </cell>
          <cell r="F537" t="str">
            <v>ATAP</v>
          </cell>
          <cell r="G537">
            <v>8</v>
          </cell>
          <cell r="H537">
            <v>45</v>
          </cell>
        </row>
        <row r="538">
          <cell r="D538" t="str">
            <v>DAMAI 3 03</v>
          </cell>
          <cell r="E538" t="str">
            <v>Seng  Metal 4 Susun (merah)</v>
          </cell>
          <cell r="F538" t="str">
            <v>ATAP</v>
          </cell>
          <cell r="G538">
            <v>61</v>
          </cell>
          <cell r="H538">
            <v>45</v>
          </cell>
        </row>
        <row r="539">
          <cell r="D539" t="str">
            <v>DAMAI 3 03</v>
          </cell>
          <cell r="E539" t="str">
            <v>Seng  Metal 2 Susun (hitam)</v>
          </cell>
          <cell r="F539" t="str">
            <v>ATAP</v>
          </cell>
          <cell r="H539">
            <v>45</v>
          </cell>
        </row>
        <row r="540">
          <cell r="D540" t="str">
            <v>DAMAI 3 03</v>
          </cell>
          <cell r="E540" t="str">
            <v>Perabung Hitam</v>
          </cell>
          <cell r="F540" t="str">
            <v>ATAP</v>
          </cell>
          <cell r="H540">
            <v>45</v>
          </cell>
        </row>
        <row r="541">
          <cell r="D541" t="str">
            <v>DAMAI 3 03</v>
          </cell>
          <cell r="E541" t="str">
            <v>Perabung Merah</v>
          </cell>
          <cell r="F541" t="str">
            <v>ATAP</v>
          </cell>
          <cell r="G541">
            <v>1.5</v>
          </cell>
          <cell r="H541">
            <v>45</v>
          </cell>
        </row>
        <row r="542">
          <cell r="D542" t="str">
            <v>DAMAI 3 03</v>
          </cell>
          <cell r="E542" t="str">
            <v>Paku 2 inch</v>
          </cell>
          <cell r="F542" t="str">
            <v>ATAP</v>
          </cell>
          <cell r="G542">
            <v>1</v>
          </cell>
          <cell r="H542">
            <v>45</v>
          </cell>
        </row>
        <row r="543">
          <cell r="D543" t="str">
            <v>DAMAI 3 03</v>
          </cell>
          <cell r="E543" t="str">
            <v>Paku 3 inch</v>
          </cell>
          <cell r="F543" t="str">
            <v>ATAP</v>
          </cell>
          <cell r="G543">
            <v>1</v>
          </cell>
          <cell r="H543">
            <v>45</v>
          </cell>
        </row>
        <row r="544">
          <cell r="D544" t="str">
            <v>RIDHO 01</v>
          </cell>
          <cell r="E544" t="str">
            <v>Kayu 3/5</v>
          </cell>
          <cell r="F544" t="str">
            <v>DEK</v>
          </cell>
          <cell r="G544">
            <v>195</v>
          </cell>
          <cell r="H544">
            <v>80</v>
          </cell>
        </row>
        <row r="545">
          <cell r="D545" t="str">
            <v>RIDHO 01</v>
          </cell>
          <cell r="E545" t="str">
            <v>Gypsum</v>
          </cell>
          <cell r="F545" t="str">
            <v>DEK</v>
          </cell>
          <cell r="G545">
            <v>33</v>
          </cell>
          <cell r="H545">
            <v>80</v>
          </cell>
        </row>
        <row r="546">
          <cell r="D546" t="str">
            <v>RIDHO 01</v>
          </cell>
          <cell r="E546" t="str">
            <v>Baut</v>
          </cell>
          <cell r="F546" t="str">
            <v>DEK</v>
          </cell>
          <cell r="G546">
            <v>7</v>
          </cell>
          <cell r="H546">
            <v>80</v>
          </cell>
        </row>
        <row r="547">
          <cell r="D547" t="str">
            <v>RIDHO 01</v>
          </cell>
          <cell r="E547" t="str">
            <v>Paku Beton 4 inch</v>
          </cell>
          <cell r="F547" t="str">
            <v>DEK</v>
          </cell>
          <cell r="G547">
            <v>2</v>
          </cell>
          <cell r="H547">
            <v>80</v>
          </cell>
        </row>
        <row r="548">
          <cell r="D548" t="str">
            <v>RIDHO 01</v>
          </cell>
          <cell r="E548" t="str">
            <v>Paku 3 imch</v>
          </cell>
          <cell r="F548" t="str">
            <v>DEK</v>
          </cell>
          <cell r="G548">
            <v>2</v>
          </cell>
          <cell r="H548">
            <v>80</v>
          </cell>
        </row>
        <row r="549">
          <cell r="D549" t="str">
            <v>RIDHO 01</v>
          </cell>
          <cell r="E549" t="str">
            <v>paku 2 inch</v>
          </cell>
          <cell r="F549" t="str">
            <v>DEK</v>
          </cell>
          <cell r="G549">
            <v>2</v>
          </cell>
          <cell r="H549">
            <v>80</v>
          </cell>
        </row>
        <row r="550">
          <cell r="D550" t="str">
            <v>RIDHO 02</v>
          </cell>
          <cell r="E550" t="str">
            <v>Semen PCC 40 Kg Tiga Roda</v>
          </cell>
          <cell r="F550" t="str">
            <v>MINIMALIS CARPORT</v>
          </cell>
          <cell r="G550">
            <v>9</v>
          </cell>
          <cell r="H550">
            <v>45</v>
          </cell>
        </row>
        <row r="551">
          <cell r="D551" t="str">
            <v>RIDHO 02</v>
          </cell>
          <cell r="E551" t="str">
            <v>Pasir</v>
          </cell>
          <cell r="F551" t="str">
            <v>MINIMALIS CARPORT</v>
          </cell>
          <cell r="G551">
            <v>2</v>
          </cell>
          <cell r="H551">
            <v>45</v>
          </cell>
        </row>
        <row r="552">
          <cell r="D552" t="str">
            <v>KARYA 09</v>
          </cell>
          <cell r="E552" t="str">
            <v>Kayu 3/5</v>
          </cell>
          <cell r="F552" t="str">
            <v>DEK</v>
          </cell>
          <cell r="G552">
            <v>121</v>
          </cell>
          <cell r="H552">
            <v>70</v>
          </cell>
        </row>
        <row r="553">
          <cell r="D553" t="str">
            <v>KARYA 09</v>
          </cell>
          <cell r="E553" t="str">
            <v>Gypsum</v>
          </cell>
          <cell r="F553" t="str">
            <v>DEK</v>
          </cell>
          <cell r="G553">
            <v>32</v>
          </cell>
          <cell r="H553">
            <v>70</v>
          </cell>
        </row>
        <row r="554">
          <cell r="D554" t="str">
            <v>KARYA 09</v>
          </cell>
          <cell r="E554" t="str">
            <v>Baut</v>
          </cell>
          <cell r="F554" t="str">
            <v>DEK</v>
          </cell>
          <cell r="G554">
            <v>6</v>
          </cell>
          <cell r="H554">
            <v>70</v>
          </cell>
        </row>
        <row r="555">
          <cell r="D555" t="str">
            <v>KARYA 09</v>
          </cell>
          <cell r="E555" t="str">
            <v>Paku Beton 4 inch</v>
          </cell>
          <cell r="F555" t="str">
            <v>DEK</v>
          </cell>
          <cell r="G555">
            <v>2</v>
          </cell>
          <cell r="H555">
            <v>70</v>
          </cell>
        </row>
        <row r="556">
          <cell r="D556" t="str">
            <v>KARYA 09</v>
          </cell>
          <cell r="E556" t="str">
            <v>Paku 3 imch</v>
          </cell>
          <cell r="F556" t="str">
            <v>DEK</v>
          </cell>
          <cell r="G556">
            <v>2</v>
          </cell>
          <cell r="H556">
            <v>70</v>
          </cell>
        </row>
        <row r="557">
          <cell r="D557" t="str">
            <v>KARYA 09</v>
          </cell>
          <cell r="E557" t="str">
            <v>paku 2 inch</v>
          </cell>
          <cell r="F557" t="str">
            <v>DEK</v>
          </cell>
          <cell r="G557">
            <v>2</v>
          </cell>
          <cell r="H557">
            <v>70</v>
          </cell>
        </row>
        <row r="558">
          <cell r="D558" t="str">
            <v>DINA CITRA</v>
          </cell>
          <cell r="E558" t="str">
            <v>Kayu 3/5</v>
          </cell>
          <cell r="F558" t="str">
            <v>ATAP</v>
          </cell>
          <cell r="G558">
            <v>80</v>
          </cell>
          <cell r="H558">
            <v>40</v>
          </cell>
        </row>
        <row r="559">
          <cell r="D559" t="str">
            <v>DINA CITRA</v>
          </cell>
          <cell r="E559" t="str">
            <v>Kayu 4/6</v>
          </cell>
          <cell r="F559" t="str">
            <v>ATAP</v>
          </cell>
          <cell r="G559">
            <v>57</v>
          </cell>
          <cell r="H559">
            <v>40</v>
          </cell>
        </row>
        <row r="560">
          <cell r="D560" t="str">
            <v>DINA CITRA</v>
          </cell>
          <cell r="E560" t="str">
            <v>Kayu 5/7</v>
          </cell>
          <cell r="F560" t="str">
            <v>ATAP</v>
          </cell>
          <cell r="G560">
            <v>30</v>
          </cell>
          <cell r="H560">
            <v>40</v>
          </cell>
        </row>
        <row r="561">
          <cell r="D561" t="str">
            <v>DINA CITRA</v>
          </cell>
          <cell r="E561" t="str">
            <v>Lisplank</v>
          </cell>
          <cell r="F561" t="str">
            <v>ATAP</v>
          </cell>
          <cell r="G561">
            <v>8</v>
          </cell>
          <cell r="H561">
            <v>40</v>
          </cell>
        </row>
        <row r="562">
          <cell r="D562" t="str">
            <v>DINA CITRA</v>
          </cell>
          <cell r="E562" t="str">
            <v>Seng  Metal 4 Susun (merah)</v>
          </cell>
          <cell r="F562" t="str">
            <v>ATAP</v>
          </cell>
          <cell r="G562">
            <v>70</v>
          </cell>
          <cell r="H562">
            <v>40</v>
          </cell>
        </row>
        <row r="563">
          <cell r="D563" t="str">
            <v>DINA CITRA</v>
          </cell>
          <cell r="E563" t="str">
            <v>Seng  Metal 2 Susun (hitam)</v>
          </cell>
          <cell r="F563" t="str">
            <v>ATAP</v>
          </cell>
          <cell r="H563">
            <v>40</v>
          </cell>
        </row>
        <row r="564">
          <cell r="D564" t="str">
            <v>DINA CITRA</v>
          </cell>
          <cell r="E564" t="str">
            <v>Perabung Hitam</v>
          </cell>
          <cell r="F564" t="str">
            <v>ATAP</v>
          </cell>
          <cell r="H564">
            <v>40</v>
          </cell>
        </row>
        <row r="565">
          <cell r="D565" t="str">
            <v>DINA CITRA</v>
          </cell>
          <cell r="E565" t="str">
            <v>Perabung Merah</v>
          </cell>
          <cell r="F565" t="str">
            <v>ATAP</v>
          </cell>
          <cell r="G565">
            <v>1.5</v>
          </cell>
          <cell r="H565">
            <v>40</v>
          </cell>
        </row>
        <row r="566">
          <cell r="D566" t="str">
            <v>DINA CITRA</v>
          </cell>
          <cell r="E566" t="str">
            <v>Paku 2 inch</v>
          </cell>
          <cell r="F566" t="str">
            <v>ATAP</v>
          </cell>
          <cell r="G566">
            <v>1</v>
          </cell>
          <cell r="H566">
            <v>40</v>
          </cell>
        </row>
        <row r="567">
          <cell r="D567" t="str">
            <v>KARYA HILS 02</v>
          </cell>
          <cell r="E567" t="str">
            <v>Besi ø6</v>
          </cell>
          <cell r="F567" t="str">
            <v>PONDASI</v>
          </cell>
          <cell r="G567">
            <v>9</v>
          </cell>
          <cell r="H567">
            <v>40</v>
          </cell>
        </row>
        <row r="568">
          <cell r="D568" t="str">
            <v>KARYA HILS 02</v>
          </cell>
          <cell r="E568" t="str">
            <v>Besi ø8 Ulir</v>
          </cell>
          <cell r="F568" t="str">
            <v>PONDASI</v>
          </cell>
          <cell r="G568">
            <v>13</v>
          </cell>
          <cell r="H568">
            <v>40</v>
          </cell>
        </row>
        <row r="569">
          <cell r="D569" t="str">
            <v>KARYA HILS 02</v>
          </cell>
          <cell r="E569" t="str">
            <v>Kayu 3/5</v>
          </cell>
          <cell r="F569" t="str">
            <v>PONDASI</v>
          </cell>
          <cell r="G569">
            <v>28</v>
          </cell>
          <cell r="H569">
            <v>40</v>
          </cell>
        </row>
        <row r="570">
          <cell r="D570" t="str">
            <v>KARYA HILS 02</v>
          </cell>
          <cell r="E570" t="str">
            <v>Cerucuk</v>
          </cell>
          <cell r="F570" t="str">
            <v>PONDASI</v>
          </cell>
          <cell r="G570">
            <v>71</v>
          </cell>
          <cell r="H570">
            <v>40</v>
          </cell>
        </row>
        <row r="571">
          <cell r="D571" t="str">
            <v>KARYA HILS 02</v>
          </cell>
          <cell r="E571" t="str">
            <v>Papan Mal</v>
          </cell>
          <cell r="F571" t="str">
            <v>PONDASI</v>
          </cell>
          <cell r="G571">
            <v>131</v>
          </cell>
          <cell r="H571">
            <v>40</v>
          </cell>
        </row>
        <row r="572">
          <cell r="D572" t="str">
            <v>KARYA HILS 02</v>
          </cell>
          <cell r="E572" t="str">
            <v xml:space="preserve">Pasir </v>
          </cell>
          <cell r="F572" t="str">
            <v>PONDASI</v>
          </cell>
          <cell r="G572">
            <v>10</v>
          </cell>
          <cell r="H572">
            <v>40</v>
          </cell>
        </row>
        <row r="573">
          <cell r="D573" t="str">
            <v>KARYA HILS 02</v>
          </cell>
          <cell r="E573" t="str">
            <v>Batu</v>
          </cell>
          <cell r="F573" t="str">
            <v>PONDASI</v>
          </cell>
          <cell r="G573">
            <v>1</v>
          </cell>
          <cell r="H573">
            <v>40</v>
          </cell>
        </row>
        <row r="574">
          <cell r="D574" t="str">
            <v>KARYA HILS 02</v>
          </cell>
          <cell r="E574" t="str">
            <v>Semen PCC 40 Kg Tiga Roda</v>
          </cell>
          <cell r="F574" t="str">
            <v>PONDASI</v>
          </cell>
          <cell r="G574">
            <v>33</v>
          </cell>
          <cell r="H574">
            <v>40</v>
          </cell>
        </row>
        <row r="575">
          <cell r="D575" t="str">
            <v>KARYA HILS 02</v>
          </cell>
          <cell r="E575" t="str">
            <v>Semen PCC 40 Kg Tiga Roda</v>
          </cell>
          <cell r="F575" t="str">
            <v>CARPORT</v>
          </cell>
          <cell r="G575">
            <v>10</v>
          </cell>
          <cell r="H575">
            <v>40</v>
          </cell>
        </row>
        <row r="576">
          <cell r="D576" t="str">
            <v>KARYA HILS 02</v>
          </cell>
          <cell r="E576" t="str">
            <v>Kayu 3/5</v>
          </cell>
          <cell r="F576" t="str">
            <v>CARPORT</v>
          </cell>
          <cell r="H576">
            <v>40</v>
          </cell>
        </row>
        <row r="577">
          <cell r="D577" t="str">
            <v>KARYA HILS 02</v>
          </cell>
          <cell r="E577" t="str">
            <v>Cerucuk</v>
          </cell>
          <cell r="F577" t="str">
            <v>CARPORT</v>
          </cell>
          <cell r="H577">
            <v>40</v>
          </cell>
        </row>
        <row r="578">
          <cell r="D578" t="str">
            <v>KARYA HILS 02</v>
          </cell>
          <cell r="E578" t="str">
            <v>Papan Mal</v>
          </cell>
          <cell r="F578" t="str">
            <v>CARPORT</v>
          </cell>
          <cell r="H578">
            <v>40</v>
          </cell>
        </row>
        <row r="579">
          <cell r="D579" t="str">
            <v>KARYA HILS 02</v>
          </cell>
          <cell r="E579" t="str">
            <v>Plastik cor</v>
          </cell>
          <cell r="F579" t="str">
            <v>CARPORT</v>
          </cell>
          <cell r="G579">
            <v>7</v>
          </cell>
          <cell r="H579">
            <v>40</v>
          </cell>
        </row>
        <row r="580">
          <cell r="D580" t="str">
            <v>KARYA HILS 02</v>
          </cell>
          <cell r="E580" t="str">
            <v>Besi ø6</v>
          </cell>
          <cell r="F580" t="str">
            <v>CARPORT</v>
          </cell>
          <cell r="H580">
            <v>40</v>
          </cell>
        </row>
        <row r="581">
          <cell r="D581" t="str">
            <v>KARYA HILS 02</v>
          </cell>
          <cell r="E581" t="str">
            <v>Besi ø8</v>
          </cell>
          <cell r="F581" t="str">
            <v>CARPORT</v>
          </cell>
          <cell r="H581">
            <v>40</v>
          </cell>
        </row>
        <row r="582">
          <cell r="D582" t="str">
            <v>KARYA HILS 02</v>
          </cell>
          <cell r="E582" t="str">
            <v>Batu</v>
          </cell>
          <cell r="F582" t="str">
            <v>CARPORT</v>
          </cell>
          <cell r="G582">
            <v>1</v>
          </cell>
          <cell r="H582">
            <v>40</v>
          </cell>
        </row>
        <row r="583">
          <cell r="D583" t="str">
            <v>KARYA HILS 02</v>
          </cell>
          <cell r="E583" t="str">
            <v>Pasir</v>
          </cell>
          <cell r="F583" t="str">
            <v>CARPORT</v>
          </cell>
          <cell r="G583">
            <v>5</v>
          </cell>
          <cell r="H583">
            <v>40</v>
          </cell>
        </row>
        <row r="584">
          <cell r="D584" t="str">
            <v>KARYA HILS 02</v>
          </cell>
          <cell r="E584" t="str">
            <v>Keramik 60 x 60 Blackmatt</v>
          </cell>
          <cell r="F584" t="str">
            <v>CARPORT</v>
          </cell>
          <cell r="H584">
            <v>40</v>
          </cell>
        </row>
        <row r="585">
          <cell r="D585" t="str">
            <v>KARYA HILS 02</v>
          </cell>
          <cell r="E585" t="str">
            <v xml:space="preserve">Pasir </v>
          </cell>
          <cell r="F585" t="str">
            <v>URUG</v>
          </cell>
          <cell r="G585">
            <v>23</v>
          </cell>
          <cell r="H585">
            <v>40</v>
          </cell>
        </row>
        <row r="586">
          <cell r="D586" t="str">
            <v>KARYA HILS 02</v>
          </cell>
          <cell r="E586" t="str">
            <v>Pipa 4"</v>
          </cell>
          <cell r="F586" t="str">
            <v>URUG</v>
          </cell>
          <cell r="G586">
            <v>2</v>
          </cell>
          <cell r="H586">
            <v>40</v>
          </cell>
        </row>
        <row r="587">
          <cell r="D587" t="str">
            <v>KARYA HILS 02</v>
          </cell>
          <cell r="E587" t="str">
            <v>Pipa 2"</v>
          </cell>
          <cell r="F587" t="str">
            <v>URUG</v>
          </cell>
          <cell r="G587">
            <v>2</v>
          </cell>
          <cell r="H587">
            <v>40</v>
          </cell>
        </row>
        <row r="588">
          <cell r="D588" t="str">
            <v>KARYA HILS 02</v>
          </cell>
          <cell r="E588" t="str">
            <v>Besi ø6</v>
          </cell>
          <cell r="F588" t="str">
            <v>COR LANTAI</v>
          </cell>
          <cell r="G588">
            <v>15</v>
          </cell>
          <cell r="H588">
            <v>40</v>
          </cell>
        </row>
        <row r="589">
          <cell r="D589" t="str">
            <v>KARYA HILS 02</v>
          </cell>
          <cell r="E589" t="str">
            <v>Pasir</v>
          </cell>
          <cell r="F589" t="str">
            <v>COR LANTAI</v>
          </cell>
          <cell r="G589">
            <v>2</v>
          </cell>
          <cell r="H589">
            <v>40</v>
          </cell>
        </row>
        <row r="590">
          <cell r="D590" t="str">
            <v>KARYA HILS 02</v>
          </cell>
          <cell r="E590" t="str">
            <v>Semen PCC 40 Kg Tiga Roda</v>
          </cell>
          <cell r="F590" t="str">
            <v>COR LANTAI</v>
          </cell>
          <cell r="G590">
            <v>8</v>
          </cell>
          <cell r="H590">
            <v>40</v>
          </cell>
        </row>
        <row r="591">
          <cell r="D591" t="str">
            <v>KARYA HILS 02</v>
          </cell>
          <cell r="E591" t="str">
            <v>Plastik cor</v>
          </cell>
          <cell r="F591" t="str">
            <v>COR LANTAI</v>
          </cell>
          <cell r="G591">
            <v>5</v>
          </cell>
          <cell r="H591">
            <v>40</v>
          </cell>
        </row>
        <row r="592">
          <cell r="D592" t="str">
            <v>KARYA 05</v>
          </cell>
          <cell r="E592" t="str">
            <v xml:space="preserve">Keramik 30 x 30 </v>
          </cell>
          <cell r="F592" t="str">
            <v>WC</v>
          </cell>
          <cell r="G592">
            <v>3</v>
          </cell>
          <cell r="H592">
            <v>55</v>
          </cell>
        </row>
        <row r="593">
          <cell r="D593" t="str">
            <v>KARYA 05</v>
          </cell>
          <cell r="E593" t="str">
            <v>Keramik 25 x 40</v>
          </cell>
          <cell r="F593" t="str">
            <v>WC</v>
          </cell>
          <cell r="G593">
            <v>11</v>
          </cell>
          <cell r="H593">
            <v>55</v>
          </cell>
        </row>
        <row r="594">
          <cell r="D594" t="str">
            <v>KARYA 05</v>
          </cell>
          <cell r="E594" t="str">
            <v>Closed jongkok Ina</v>
          </cell>
          <cell r="F594" t="str">
            <v>WC</v>
          </cell>
          <cell r="G594">
            <v>1</v>
          </cell>
          <cell r="H594">
            <v>55</v>
          </cell>
        </row>
        <row r="595">
          <cell r="D595" t="str">
            <v>KARYA 05</v>
          </cell>
          <cell r="E595" t="str">
            <v>Closed Duduk Volk</v>
          </cell>
          <cell r="F595" t="str">
            <v>WC</v>
          </cell>
          <cell r="H595">
            <v>55</v>
          </cell>
        </row>
        <row r="596">
          <cell r="D596" t="str">
            <v>KARYA 05</v>
          </cell>
          <cell r="E596" t="str">
            <v>Floor drain</v>
          </cell>
          <cell r="F596" t="str">
            <v>WC</v>
          </cell>
          <cell r="G596">
            <v>1</v>
          </cell>
          <cell r="H596">
            <v>55</v>
          </cell>
        </row>
        <row r="597">
          <cell r="D597" t="str">
            <v>KARYA 05</v>
          </cell>
          <cell r="E597" t="str">
            <v>Pasir</v>
          </cell>
          <cell r="F597" t="str">
            <v>WC</v>
          </cell>
          <cell r="G597">
            <v>2</v>
          </cell>
          <cell r="H597">
            <v>55</v>
          </cell>
        </row>
        <row r="598">
          <cell r="D598" t="str">
            <v>KARYA 05</v>
          </cell>
          <cell r="E598" t="str">
            <v>Semen PCC 40 Kg Tiga Roda</v>
          </cell>
          <cell r="F598" t="str">
            <v>WC</v>
          </cell>
          <cell r="G598">
            <v>4</v>
          </cell>
          <cell r="H598">
            <v>55</v>
          </cell>
        </row>
        <row r="599">
          <cell r="D599" t="str">
            <v>KARYA 05</v>
          </cell>
          <cell r="E599" t="str">
            <v>Bak Air</v>
          </cell>
          <cell r="F599" t="str">
            <v>WC</v>
          </cell>
          <cell r="H599">
            <v>55</v>
          </cell>
        </row>
        <row r="600">
          <cell r="D600" t="str">
            <v>KARYA 05</v>
          </cell>
          <cell r="E600" t="str">
            <v>Pipa 1/2"</v>
          </cell>
          <cell r="F600" t="str">
            <v>WC</v>
          </cell>
          <cell r="H600">
            <v>55</v>
          </cell>
        </row>
        <row r="601">
          <cell r="D601" t="str">
            <v>KARYA 05</v>
          </cell>
          <cell r="E601" t="str">
            <v>Lbow 1/2"</v>
          </cell>
          <cell r="F601" t="str">
            <v>WC</v>
          </cell>
          <cell r="H601">
            <v>55</v>
          </cell>
        </row>
        <row r="602">
          <cell r="D602" t="str">
            <v>KARYA 05</v>
          </cell>
          <cell r="E602" t="str">
            <v>Kran Air Plastik 1/2"</v>
          </cell>
          <cell r="F602" t="str">
            <v>WC</v>
          </cell>
          <cell r="H602">
            <v>55</v>
          </cell>
        </row>
        <row r="603">
          <cell r="D603" t="str">
            <v>KARYA 05</v>
          </cell>
          <cell r="E603" t="str">
            <v>SDD 1/2"</v>
          </cell>
          <cell r="F603" t="str">
            <v>WC</v>
          </cell>
          <cell r="H603">
            <v>55</v>
          </cell>
        </row>
        <row r="604">
          <cell r="D604" t="str">
            <v>KARYA 05</v>
          </cell>
          <cell r="E604" t="str">
            <v>Mowilex weathercoat</v>
          </cell>
          <cell r="F604" t="str">
            <v>CAT</v>
          </cell>
          <cell r="G604">
            <v>1</v>
          </cell>
          <cell r="H604">
            <v>55</v>
          </cell>
        </row>
        <row r="605">
          <cell r="D605" t="str">
            <v>KARYA 05</v>
          </cell>
          <cell r="E605" t="str">
            <v>Nippon pain  Q--luc</v>
          </cell>
          <cell r="F605" t="str">
            <v>CAT</v>
          </cell>
          <cell r="G605">
            <v>4</v>
          </cell>
          <cell r="H605">
            <v>55</v>
          </cell>
        </row>
        <row r="606">
          <cell r="D606" t="str">
            <v>KARYA 05</v>
          </cell>
          <cell r="E606" t="str">
            <v>Semen TR-30 40 Kg Tiga Roda</v>
          </cell>
          <cell r="F606" t="str">
            <v>CAT</v>
          </cell>
          <cell r="G606">
            <v>1</v>
          </cell>
          <cell r="H606">
            <v>55</v>
          </cell>
        </row>
        <row r="607">
          <cell r="D607" t="str">
            <v>KARYA 05</v>
          </cell>
          <cell r="E607" t="str">
            <v>Semen Aci Putih 25 kg</v>
          </cell>
          <cell r="F607" t="str">
            <v>CAT</v>
          </cell>
          <cell r="G607">
            <v>1</v>
          </cell>
          <cell r="H607">
            <v>55</v>
          </cell>
        </row>
        <row r="608">
          <cell r="D608" t="str">
            <v>KARYA 06</v>
          </cell>
          <cell r="E608" t="str">
            <v>Semen TR-30 40 Kg Tiga Roda</v>
          </cell>
          <cell r="F608" t="str">
            <v>ACI MINIMALIS</v>
          </cell>
          <cell r="G608">
            <v>3</v>
          </cell>
          <cell r="H608">
            <v>55</v>
          </cell>
        </row>
        <row r="609">
          <cell r="D609" t="str">
            <v>KARYA 07</v>
          </cell>
          <cell r="E609" t="str">
            <v>Bata</v>
          </cell>
          <cell r="F609" t="str">
            <v>PAGAR</v>
          </cell>
          <cell r="G609">
            <v>100</v>
          </cell>
          <cell r="H609">
            <v>55</v>
          </cell>
        </row>
        <row r="610">
          <cell r="D610" t="str">
            <v>KARYA 07</v>
          </cell>
          <cell r="E610" t="str">
            <v>Pasir</v>
          </cell>
          <cell r="F610" t="str">
            <v>PAGAR</v>
          </cell>
          <cell r="G610">
            <v>1</v>
          </cell>
          <cell r="H610">
            <v>55</v>
          </cell>
        </row>
        <row r="611">
          <cell r="D611" t="str">
            <v>KARYA 07</v>
          </cell>
          <cell r="E611" t="str">
            <v>Semen PCC 40 Kg Tiga Roda</v>
          </cell>
          <cell r="F611" t="str">
            <v>PAGAR</v>
          </cell>
          <cell r="G611">
            <v>3</v>
          </cell>
          <cell r="H611">
            <v>55</v>
          </cell>
        </row>
        <row r="612">
          <cell r="D612" t="str">
            <v>KARYA 07</v>
          </cell>
          <cell r="E612" t="str">
            <v xml:space="preserve">Besi ø6 </v>
          </cell>
          <cell r="F612" t="str">
            <v>PAGAR</v>
          </cell>
          <cell r="G612">
            <v>2</v>
          </cell>
          <cell r="H612">
            <v>55</v>
          </cell>
        </row>
        <row r="613">
          <cell r="D613" t="str">
            <v>KARYA 07</v>
          </cell>
          <cell r="E613" t="str">
            <v>Besi ø8</v>
          </cell>
          <cell r="F613" t="str">
            <v>PAGAR</v>
          </cell>
          <cell r="G613">
            <v>4</v>
          </cell>
          <cell r="H613">
            <v>55</v>
          </cell>
        </row>
        <row r="614">
          <cell r="D614" t="str">
            <v>KARYA 09</v>
          </cell>
          <cell r="E614" t="str">
            <v>Keramik 60 x 60 Cream</v>
          </cell>
          <cell r="F614" t="str">
            <v>KERAMIK</v>
          </cell>
          <cell r="G614">
            <v>55</v>
          </cell>
          <cell r="H614">
            <v>70</v>
          </cell>
        </row>
        <row r="615">
          <cell r="D615" t="str">
            <v>KARYA 09</v>
          </cell>
          <cell r="E615" t="str">
            <v>Keramik 60 x 60 Blackmatt</v>
          </cell>
          <cell r="F615" t="str">
            <v>KERAMIK</v>
          </cell>
          <cell r="G615">
            <v>4</v>
          </cell>
          <cell r="H615">
            <v>70</v>
          </cell>
        </row>
        <row r="616">
          <cell r="D616" t="str">
            <v>KARYA 09</v>
          </cell>
          <cell r="E616" t="str">
            <v>Pasir</v>
          </cell>
          <cell r="F616" t="str">
            <v>KERAMIK</v>
          </cell>
          <cell r="G616">
            <v>7</v>
          </cell>
          <cell r="H616">
            <v>70</v>
          </cell>
        </row>
        <row r="617">
          <cell r="D617" t="str">
            <v>KARYA 09</v>
          </cell>
          <cell r="E617" t="str">
            <v>Semen PCC 40 Kg Tiga Roda</v>
          </cell>
          <cell r="F617" t="str">
            <v>KERAMIK</v>
          </cell>
          <cell r="G617">
            <v>20</v>
          </cell>
          <cell r="H617">
            <v>70</v>
          </cell>
        </row>
        <row r="618">
          <cell r="D618" t="str">
            <v>KARYA 09</v>
          </cell>
          <cell r="E618" t="str">
            <v>Oker</v>
          </cell>
          <cell r="F618" t="str">
            <v>KERAMIK</v>
          </cell>
          <cell r="G618">
            <v>5</v>
          </cell>
          <cell r="H618">
            <v>70</v>
          </cell>
        </row>
        <row r="619">
          <cell r="D619" t="str">
            <v>KARYA 09</v>
          </cell>
          <cell r="E619" t="str">
            <v xml:space="preserve">Keramik 30 x 30 </v>
          </cell>
          <cell r="F619" t="str">
            <v xml:space="preserve">WC </v>
          </cell>
          <cell r="G619">
            <v>6</v>
          </cell>
          <cell r="H619">
            <v>70</v>
          </cell>
        </row>
        <row r="620">
          <cell r="D620" t="str">
            <v>KARYA 09</v>
          </cell>
          <cell r="E620" t="str">
            <v>Keramik 25 x 40</v>
          </cell>
          <cell r="F620" t="str">
            <v xml:space="preserve">WC </v>
          </cell>
          <cell r="G620">
            <v>22</v>
          </cell>
          <cell r="H620">
            <v>70</v>
          </cell>
        </row>
        <row r="621">
          <cell r="D621" t="str">
            <v>KARYA 09</v>
          </cell>
          <cell r="E621" t="str">
            <v>Closed jongkok Ina</v>
          </cell>
          <cell r="F621" t="str">
            <v xml:space="preserve">WC </v>
          </cell>
          <cell r="G621">
            <v>1</v>
          </cell>
          <cell r="H621">
            <v>70</v>
          </cell>
        </row>
        <row r="622">
          <cell r="D622" t="str">
            <v>KARYA 09</v>
          </cell>
          <cell r="E622" t="str">
            <v>Closed Duduk Volk</v>
          </cell>
          <cell r="F622" t="str">
            <v xml:space="preserve">WC </v>
          </cell>
          <cell r="G622">
            <v>1</v>
          </cell>
          <cell r="H622">
            <v>70</v>
          </cell>
        </row>
        <row r="623">
          <cell r="D623" t="str">
            <v>KARYA 09</v>
          </cell>
          <cell r="E623" t="str">
            <v>Floor drain</v>
          </cell>
          <cell r="F623" t="str">
            <v xml:space="preserve">WC </v>
          </cell>
          <cell r="G623">
            <v>2</v>
          </cell>
          <cell r="H623">
            <v>70</v>
          </cell>
        </row>
        <row r="624">
          <cell r="D624" t="str">
            <v>KARYA 09</v>
          </cell>
          <cell r="E624" t="str">
            <v>Pasir</v>
          </cell>
          <cell r="F624" t="str">
            <v xml:space="preserve">WC </v>
          </cell>
          <cell r="G624">
            <v>1</v>
          </cell>
          <cell r="H624">
            <v>70</v>
          </cell>
        </row>
        <row r="625">
          <cell r="D625" t="str">
            <v>KARYA 09</v>
          </cell>
          <cell r="E625" t="str">
            <v>Semen PCC 40 Kg Tiga Roda</v>
          </cell>
          <cell r="F625" t="str">
            <v xml:space="preserve">WC </v>
          </cell>
          <cell r="G625">
            <v>4</v>
          </cell>
          <cell r="H625">
            <v>70</v>
          </cell>
        </row>
        <row r="626">
          <cell r="D626" t="str">
            <v>KARYA 09</v>
          </cell>
          <cell r="E626" t="str">
            <v>Bak Air</v>
          </cell>
          <cell r="F626" t="str">
            <v xml:space="preserve">WC </v>
          </cell>
          <cell r="G626">
            <v>2</v>
          </cell>
          <cell r="H626">
            <v>70</v>
          </cell>
        </row>
        <row r="627">
          <cell r="D627" t="str">
            <v>KARYA 09</v>
          </cell>
          <cell r="E627" t="str">
            <v>Pipa 1/2"</v>
          </cell>
          <cell r="F627" t="str">
            <v xml:space="preserve">WC </v>
          </cell>
          <cell r="G627">
            <v>2</v>
          </cell>
          <cell r="H627">
            <v>70</v>
          </cell>
        </row>
        <row r="628">
          <cell r="D628" t="str">
            <v>KARYA 09</v>
          </cell>
          <cell r="E628" t="str">
            <v>Lbow 1/2"</v>
          </cell>
          <cell r="F628" t="str">
            <v xml:space="preserve">WC </v>
          </cell>
          <cell r="G628">
            <v>6</v>
          </cell>
          <cell r="H628">
            <v>70</v>
          </cell>
        </row>
        <row r="629">
          <cell r="D629" t="str">
            <v>KARYA 09</v>
          </cell>
          <cell r="E629" t="str">
            <v>Kran Air Plastik 1/2"</v>
          </cell>
          <cell r="F629" t="str">
            <v xml:space="preserve">WC </v>
          </cell>
          <cell r="G629">
            <v>3</v>
          </cell>
          <cell r="H629">
            <v>70</v>
          </cell>
        </row>
        <row r="630">
          <cell r="D630" t="str">
            <v>KARYA 09</v>
          </cell>
          <cell r="E630" t="str">
            <v>SDD 1/2"</v>
          </cell>
          <cell r="F630" t="str">
            <v xml:space="preserve">WC </v>
          </cell>
          <cell r="G630">
            <v>1</v>
          </cell>
          <cell r="H630">
            <v>70</v>
          </cell>
        </row>
        <row r="631">
          <cell r="D631" t="str">
            <v>SUKABASUKI</v>
          </cell>
          <cell r="E631" t="str">
            <v>Semen PCC 40 Kg Tiga Roda</v>
          </cell>
          <cell r="F631" t="str">
            <v>PLASTER</v>
          </cell>
          <cell r="G631">
            <v>68</v>
          </cell>
          <cell r="H631">
            <v>100</v>
          </cell>
        </row>
        <row r="632">
          <cell r="D632" t="str">
            <v>SUKABASUKI</v>
          </cell>
          <cell r="E632" t="str">
            <v>Pasir</v>
          </cell>
          <cell r="F632" t="str">
            <v>PLASTER</v>
          </cell>
          <cell r="G632">
            <v>8</v>
          </cell>
          <cell r="H632">
            <v>100</v>
          </cell>
        </row>
        <row r="633">
          <cell r="D633" t="str">
            <v>SUKABASUKI</v>
          </cell>
          <cell r="E633" t="str">
            <v>Pipa 5/8</v>
          </cell>
          <cell r="F633" t="str">
            <v>PLASTER</v>
          </cell>
          <cell r="G633">
            <v>5</v>
          </cell>
          <cell r="H633">
            <v>100</v>
          </cell>
        </row>
        <row r="634">
          <cell r="D634" t="str">
            <v>DINA CITRA</v>
          </cell>
          <cell r="E634" t="str">
            <v>Bata</v>
          </cell>
          <cell r="F634" t="str">
            <v>MINIMALIS</v>
          </cell>
          <cell r="G634">
            <v>70</v>
          </cell>
          <cell r="H634">
            <v>40</v>
          </cell>
        </row>
        <row r="635">
          <cell r="D635" t="str">
            <v>DINA CITRA</v>
          </cell>
          <cell r="E635" t="str">
            <v>Pasir</v>
          </cell>
          <cell r="F635" t="str">
            <v>MINIMALIS</v>
          </cell>
          <cell r="G635">
            <v>1</v>
          </cell>
          <cell r="H635">
            <v>40</v>
          </cell>
        </row>
        <row r="636">
          <cell r="D636" t="str">
            <v>DINA CITRA</v>
          </cell>
          <cell r="E636" t="str">
            <v>Semen PCC 40 Kg Tiga Roda</v>
          </cell>
          <cell r="F636" t="str">
            <v>MINIMALIS</v>
          </cell>
          <cell r="G636">
            <v>6</v>
          </cell>
          <cell r="H636">
            <v>40</v>
          </cell>
        </row>
        <row r="637">
          <cell r="D637" t="str">
            <v>DINA CITRA</v>
          </cell>
          <cell r="E637" t="str">
            <v>Keramik 60 x 60 Blackmatt</v>
          </cell>
          <cell r="F637" t="str">
            <v>MINIMALIS</v>
          </cell>
          <cell r="H637">
            <v>40</v>
          </cell>
        </row>
        <row r="638">
          <cell r="D638" t="str">
            <v>DAMAI 3 03</v>
          </cell>
          <cell r="E638" t="str">
            <v>Bata</v>
          </cell>
          <cell r="F638" t="str">
            <v>MINIMALIS</v>
          </cell>
          <cell r="G638">
            <v>98</v>
          </cell>
          <cell r="H638">
            <v>45</v>
          </cell>
        </row>
        <row r="639">
          <cell r="D639" t="str">
            <v>DAMAI 3 03</v>
          </cell>
          <cell r="E639" t="str">
            <v>Pasir</v>
          </cell>
          <cell r="F639" t="str">
            <v>MINIMALIS</v>
          </cell>
          <cell r="G639">
            <v>2</v>
          </cell>
          <cell r="H639">
            <v>45</v>
          </cell>
        </row>
        <row r="640">
          <cell r="D640" t="str">
            <v>DAMAI 3 03</v>
          </cell>
          <cell r="E640" t="str">
            <v>Semen PCC 40 Kg Tiga Roda</v>
          </cell>
          <cell r="F640" t="str">
            <v>MINIMALIS</v>
          </cell>
          <cell r="G640">
            <v>9</v>
          </cell>
          <cell r="H640">
            <v>45</v>
          </cell>
        </row>
        <row r="641">
          <cell r="D641" t="str">
            <v>DAMAI 3 03</v>
          </cell>
          <cell r="E641" t="str">
            <v>Keramik 60 x 60 Blackmatt</v>
          </cell>
          <cell r="F641" t="str">
            <v>MINIMALIS</v>
          </cell>
          <cell r="H641">
            <v>45</v>
          </cell>
        </row>
        <row r="642">
          <cell r="D642" t="str">
            <v>DAMAI 3 03</v>
          </cell>
          <cell r="E642" t="str">
            <v xml:space="preserve">Keramik 30 x 30 </v>
          </cell>
          <cell r="F642" t="str">
            <v>WC</v>
          </cell>
          <cell r="G642">
            <v>3</v>
          </cell>
          <cell r="H642">
            <v>45</v>
          </cell>
        </row>
        <row r="643">
          <cell r="D643" t="str">
            <v>DAMAI 3 03</v>
          </cell>
          <cell r="E643" t="str">
            <v>Keramik 25 x 40</v>
          </cell>
          <cell r="F643" t="str">
            <v>WC</v>
          </cell>
          <cell r="G643">
            <v>11</v>
          </cell>
          <cell r="H643">
            <v>45</v>
          </cell>
        </row>
        <row r="644">
          <cell r="D644" t="str">
            <v>DAMAI 3 03</v>
          </cell>
          <cell r="E644" t="str">
            <v>Closed jongkok Ina</v>
          </cell>
          <cell r="F644" t="str">
            <v>WC</v>
          </cell>
          <cell r="G644">
            <v>1</v>
          </cell>
          <cell r="H644">
            <v>45</v>
          </cell>
        </row>
        <row r="645">
          <cell r="D645" t="str">
            <v>DAMAI 3 03</v>
          </cell>
          <cell r="E645" t="str">
            <v>Closed Duduk Volk</v>
          </cell>
          <cell r="F645" t="str">
            <v>WC</v>
          </cell>
          <cell r="H645">
            <v>45</v>
          </cell>
        </row>
        <row r="646">
          <cell r="D646" t="str">
            <v>DAMAI 3 03</v>
          </cell>
          <cell r="E646" t="str">
            <v>Floor drain</v>
          </cell>
          <cell r="F646" t="str">
            <v>WC</v>
          </cell>
          <cell r="G646">
            <v>1</v>
          </cell>
          <cell r="H646">
            <v>45</v>
          </cell>
        </row>
        <row r="647">
          <cell r="D647" t="str">
            <v>DAMAI 3 03</v>
          </cell>
          <cell r="E647" t="str">
            <v>Pasir</v>
          </cell>
          <cell r="F647" t="str">
            <v>WC</v>
          </cell>
          <cell r="G647">
            <v>1</v>
          </cell>
          <cell r="H647">
            <v>45</v>
          </cell>
        </row>
        <row r="648">
          <cell r="D648" t="str">
            <v>DAMAI 3 03</v>
          </cell>
          <cell r="E648" t="str">
            <v>Semen PCC 40 Kg Tiga Roda</v>
          </cell>
          <cell r="F648" t="str">
            <v>WC</v>
          </cell>
          <cell r="G648">
            <v>3</v>
          </cell>
          <cell r="H648">
            <v>45</v>
          </cell>
        </row>
        <row r="649">
          <cell r="D649" t="str">
            <v>DAMAI 3 03</v>
          </cell>
          <cell r="E649" t="str">
            <v>Bak Air</v>
          </cell>
          <cell r="F649" t="str">
            <v>WC</v>
          </cell>
          <cell r="G649">
            <v>1</v>
          </cell>
          <cell r="H649">
            <v>45</v>
          </cell>
        </row>
        <row r="650">
          <cell r="D650" t="str">
            <v>DAMAI 3 03</v>
          </cell>
          <cell r="E650" t="str">
            <v>Pipa 1/2"</v>
          </cell>
          <cell r="F650" t="str">
            <v>WC</v>
          </cell>
          <cell r="G650">
            <v>1</v>
          </cell>
          <cell r="H650">
            <v>45</v>
          </cell>
        </row>
        <row r="651">
          <cell r="D651" t="str">
            <v>DAMAI 3 03</v>
          </cell>
          <cell r="E651" t="str">
            <v>Lbow 1/2"</v>
          </cell>
          <cell r="F651" t="str">
            <v>WC</v>
          </cell>
          <cell r="G651">
            <v>3</v>
          </cell>
          <cell r="H651">
            <v>45</v>
          </cell>
        </row>
        <row r="652">
          <cell r="D652" t="str">
            <v>DAMAI 3 03</v>
          </cell>
          <cell r="E652" t="str">
            <v>Kran Air Plastik 1/2"</v>
          </cell>
          <cell r="F652" t="str">
            <v>WC</v>
          </cell>
          <cell r="G652">
            <v>1</v>
          </cell>
          <cell r="H652">
            <v>45</v>
          </cell>
        </row>
        <row r="653">
          <cell r="D653" t="str">
            <v>DAMAI 3 03</v>
          </cell>
          <cell r="E653" t="str">
            <v>SDD 1/2"</v>
          </cell>
          <cell r="F653" t="str">
            <v>WC</v>
          </cell>
          <cell r="G653">
            <v>1</v>
          </cell>
          <cell r="H653">
            <v>45</v>
          </cell>
        </row>
        <row r="654">
          <cell r="D654" t="str">
            <v>DAMAI 3 04</v>
          </cell>
          <cell r="E654" t="str">
            <v>Kayu 3/5</v>
          </cell>
          <cell r="F654" t="str">
            <v>DEK</v>
          </cell>
          <cell r="G654">
            <v>140</v>
          </cell>
          <cell r="H654">
            <v>45</v>
          </cell>
        </row>
        <row r="655">
          <cell r="D655" t="str">
            <v>DAMAI 3 04</v>
          </cell>
          <cell r="E655" t="str">
            <v>Gypsum</v>
          </cell>
          <cell r="F655" t="str">
            <v>DEK</v>
          </cell>
          <cell r="G655">
            <v>20</v>
          </cell>
          <cell r="H655">
            <v>45</v>
          </cell>
        </row>
        <row r="656">
          <cell r="D656" t="str">
            <v>DAMAI 3 04</v>
          </cell>
          <cell r="E656" t="str">
            <v>Baut</v>
          </cell>
          <cell r="F656" t="str">
            <v>DEK</v>
          </cell>
          <cell r="G656">
            <v>3</v>
          </cell>
          <cell r="H656">
            <v>45</v>
          </cell>
        </row>
        <row r="657">
          <cell r="D657" t="str">
            <v>DAMAI 3 04</v>
          </cell>
          <cell r="E657" t="str">
            <v>Paku Beton 4 inch</v>
          </cell>
          <cell r="F657" t="str">
            <v>DEK</v>
          </cell>
          <cell r="G657">
            <v>1</v>
          </cell>
          <cell r="H657">
            <v>45</v>
          </cell>
        </row>
        <row r="658">
          <cell r="D658" t="str">
            <v>DAMAI 3 04</v>
          </cell>
          <cell r="E658" t="str">
            <v>Paku 3 imch</v>
          </cell>
          <cell r="F658" t="str">
            <v>DEK</v>
          </cell>
          <cell r="G658">
            <v>1</v>
          </cell>
          <cell r="H658">
            <v>45</v>
          </cell>
        </row>
        <row r="659">
          <cell r="D659" t="str">
            <v>DAMAI 3 04</v>
          </cell>
          <cell r="E659" t="str">
            <v>paku 2 inch</v>
          </cell>
          <cell r="F659" t="str">
            <v>DEK</v>
          </cell>
          <cell r="G659">
            <v>1</v>
          </cell>
          <cell r="H659">
            <v>45</v>
          </cell>
        </row>
        <row r="660">
          <cell r="D660" t="str">
            <v>KARYA 02</v>
          </cell>
          <cell r="E660" t="str">
            <v xml:space="preserve">Keramik 30 x 30 </v>
          </cell>
          <cell r="F660" t="str">
            <v>WC</v>
          </cell>
          <cell r="H660">
            <v>60</v>
          </cell>
        </row>
        <row r="661">
          <cell r="D661" t="str">
            <v>KARYA 02</v>
          </cell>
          <cell r="E661" t="str">
            <v>Keramik 25 x 40</v>
          </cell>
          <cell r="F661" t="str">
            <v>WC</v>
          </cell>
          <cell r="G661">
            <v>7</v>
          </cell>
          <cell r="H661">
            <v>60</v>
          </cell>
        </row>
        <row r="662">
          <cell r="D662" t="str">
            <v>KARYA 02</v>
          </cell>
          <cell r="E662" t="str">
            <v>Closed jongkok Ina</v>
          </cell>
          <cell r="F662" t="str">
            <v>WC</v>
          </cell>
          <cell r="H662">
            <v>60</v>
          </cell>
        </row>
        <row r="663">
          <cell r="D663" t="str">
            <v>KARYA 02</v>
          </cell>
          <cell r="E663" t="str">
            <v>Closed Duduk Volk</v>
          </cell>
          <cell r="F663" t="str">
            <v>WC</v>
          </cell>
          <cell r="H663">
            <v>60</v>
          </cell>
        </row>
        <row r="664">
          <cell r="D664" t="str">
            <v>KARYA 02</v>
          </cell>
          <cell r="E664" t="str">
            <v>Floor drain</v>
          </cell>
          <cell r="F664" t="str">
            <v>WC</v>
          </cell>
          <cell r="H664">
            <v>60</v>
          </cell>
        </row>
        <row r="665">
          <cell r="D665" t="str">
            <v>KARYA 02</v>
          </cell>
          <cell r="E665" t="str">
            <v>Pasir</v>
          </cell>
          <cell r="F665" t="str">
            <v>WC</v>
          </cell>
          <cell r="G665">
            <v>1</v>
          </cell>
          <cell r="H665">
            <v>60</v>
          </cell>
        </row>
        <row r="666">
          <cell r="D666" t="str">
            <v>KARYA 02</v>
          </cell>
          <cell r="E666" t="str">
            <v>Semen PCC 40 Kg Tiga Roda</v>
          </cell>
          <cell r="F666" t="str">
            <v>WC</v>
          </cell>
          <cell r="G666">
            <v>1</v>
          </cell>
          <cell r="H666">
            <v>60</v>
          </cell>
        </row>
        <row r="667">
          <cell r="D667" t="str">
            <v>KARYA 02</v>
          </cell>
          <cell r="E667" t="str">
            <v>Bak Air</v>
          </cell>
          <cell r="F667" t="str">
            <v>WC</v>
          </cell>
          <cell r="H667">
            <v>60</v>
          </cell>
        </row>
        <row r="668">
          <cell r="D668" t="str">
            <v>KARYA 02</v>
          </cell>
          <cell r="E668" t="str">
            <v>Pipa 1/2"</v>
          </cell>
          <cell r="F668" t="str">
            <v>WC</v>
          </cell>
          <cell r="H668">
            <v>60</v>
          </cell>
        </row>
        <row r="669">
          <cell r="D669" t="str">
            <v>KARYA 02</v>
          </cell>
          <cell r="E669" t="str">
            <v>Lbow 1/2"</v>
          </cell>
          <cell r="F669" t="str">
            <v>WC</v>
          </cell>
          <cell r="H669">
            <v>60</v>
          </cell>
        </row>
        <row r="670">
          <cell r="D670" t="str">
            <v>KARYA 02</v>
          </cell>
          <cell r="E670" t="str">
            <v>Kran Air Plastik 1/2"</v>
          </cell>
          <cell r="F670" t="str">
            <v>WC</v>
          </cell>
          <cell r="H670">
            <v>60</v>
          </cell>
        </row>
        <row r="671">
          <cell r="D671" t="str">
            <v>KARYA 02</v>
          </cell>
          <cell r="E671" t="str">
            <v>SDD 1/2"</v>
          </cell>
          <cell r="F671" t="str">
            <v>WC</v>
          </cell>
          <cell r="H671">
            <v>60</v>
          </cell>
        </row>
        <row r="672">
          <cell r="D672" t="str">
            <v>KARYA 12</v>
          </cell>
          <cell r="E672" t="str">
            <v>Bata</v>
          </cell>
          <cell r="F672" t="str">
            <v>PAGAR</v>
          </cell>
          <cell r="G672">
            <v>100</v>
          </cell>
          <cell r="H672">
            <v>55</v>
          </cell>
        </row>
        <row r="673">
          <cell r="D673" t="str">
            <v>KARYA 12</v>
          </cell>
          <cell r="E673" t="str">
            <v>Pasir</v>
          </cell>
          <cell r="F673" t="str">
            <v>PAGAR</v>
          </cell>
          <cell r="G673">
            <v>1</v>
          </cell>
          <cell r="H673">
            <v>55</v>
          </cell>
        </row>
        <row r="674">
          <cell r="D674" t="str">
            <v>KARYA 12</v>
          </cell>
          <cell r="E674" t="str">
            <v>Semen PCC 40 Kg Tiga Roda</v>
          </cell>
          <cell r="F674" t="str">
            <v>PAGAR</v>
          </cell>
          <cell r="G674">
            <v>2</v>
          </cell>
          <cell r="H674">
            <v>55</v>
          </cell>
        </row>
        <row r="675">
          <cell r="D675" t="str">
            <v>KARYA 12</v>
          </cell>
          <cell r="E675" t="str">
            <v xml:space="preserve">Besi ø6 </v>
          </cell>
          <cell r="F675" t="str">
            <v>PAGAR</v>
          </cell>
          <cell r="G675">
            <v>2</v>
          </cell>
          <cell r="H675">
            <v>55</v>
          </cell>
        </row>
        <row r="676">
          <cell r="D676" t="str">
            <v>KARYA 12</v>
          </cell>
          <cell r="E676" t="str">
            <v>Besi ø8</v>
          </cell>
          <cell r="F676" t="str">
            <v>PAGAR</v>
          </cell>
          <cell r="G676">
            <v>4</v>
          </cell>
          <cell r="H676">
            <v>55</v>
          </cell>
        </row>
        <row r="677">
          <cell r="D677" t="str">
            <v>KARYA 12</v>
          </cell>
          <cell r="E677" t="str">
            <v>Kayu 3/5</v>
          </cell>
          <cell r="F677" t="str">
            <v>ATAP</v>
          </cell>
          <cell r="G677">
            <v>80</v>
          </cell>
          <cell r="H677">
            <v>55</v>
          </cell>
        </row>
        <row r="678">
          <cell r="D678" t="str">
            <v>KARYA 12</v>
          </cell>
          <cell r="E678" t="str">
            <v>Kayu 4/6</v>
          </cell>
          <cell r="F678" t="str">
            <v>ATAP</v>
          </cell>
          <cell r="G678">
            <v>80</v>
          </cell>
          <cell r="H678">
            <v>55</v>
          </cell>
        </row>
        <row r="679">
          <cell r="D679" t="str">
            <v>KARYA 12</v>
          </cell>
          <cell r="E679" t="str">
            <v>Kayu 5/7</v>
          </cell>
          <cell r="F679" t="str">
            <v>ATAP</v>
          </cell>
          <cell r="G679">
            <v>40</v>
          </cell>
          <cell r="H679">
            <v>55</v>
          </cell>
        </row>
        <row r="680">
          <cell r="D680" t="str">
            <v>KARYA 12</v>
          </cell>
          <cell r="E680" t="str">
            <v>Lisplank</v>
          </cell>
          <cell r="F680" t="str">
            <v>ATAP</v>
          </cell>
          <cell r="H680">
            <v>55</v>
          </cell>
        </row>
        <row r="681">
          <cell r="D681" t="str">
            <v>KARYA 12</v>
          </cell>
          <cell r="E681" t="str">
            <v>Seng  Metal 4 Susun (merah)</v>
          </cell>
          <cell r="F681" t="str">
            <v>ATAP</v>
          </cell>
          <cell r="H681">
            <v>55</v>
          </cell>
        </row>
        <row r="682">
          <cell r="D682" t="str">
            <v>KARYA 12</v>
          </cell>
          <cell r="E682" t="str">
            <v>Seng  Metal 2 Susun (hitam)</v>
          </cell>
          <cell r="F682" t="str">
            <v>ATAP</v>
          </cell>
          <cell r="H682">
            <v>55</v>
          </cell>
        </row>
        <row r="683">
          <cell r="D683" t="str">
            <v>KARYA 12</v>
          </cell>
          <cell r="E683" t="str">
            <v>Perabung Hitam</v>
          </cell>
          <cell r="F683" t="str">
            <v>ATAP</v>
          </cell>
          <cell r="H683">
            <v>55</v>
          </cell>
        </row>
        <row r="684">
          <cell r="D684" t="str">
            <v>KARYA 12</v>
          </cell>
          <cell r="E684" t="str">
            <v>Perabung Merah</v>
          </cell>
          <cell r="F684" t="str">
            <v>ATAP</v>
          </cell>
          <cell r="H684">
            <v>55</v>
          </cell>
        </row>
        <row r="685">
          <cell r="D685" t="str">
            <v>KARYA 12</v>
          </cell>
          <cell r="E685" t="str">
            <v>Paku 2 inch</v>
          </cell>
          <cell r="F685" t="str">
            <v>ATAP</v>
          </cell>
          <cell r="H685">
            <v>55</v>
          </cell>
        </row>
        <row r="686">
          <cell r="D686" t="str">
            <v>KARYA 12</v>
          </cell>
          <cell r="E686" t="str">
            <v>Paku 3 inch</v>
          </cell>
          <cell r="F686" t="str">
            <v>ATAP</v>
          </cell>
          <cell r="H686">
            <v>55</v>
          </cell>
        </row>
        <row r="687">
          <cell r="D687" t="str">
            <v>RIDHO 01</v>
          </cell>
          <cell r="E687" t="str">
            <v>Mowilex weathercoat</v>
          </cell>
          <cell r="F687" t="str">
            <v>CAT</v>
          </cell>
          <cell r="H687">
            <v>80</v>
          </cell>
        </row>
        <row r="688">
          <cell r="D688" t="str">
            <v>RIDHO 01</v>
          </cell>
          <cell r="E688" t="str">
            <v>Nippon pain  Q--luc</v>
          </cell>
          <cell r="F688" t="str">
            <v>CAT</v>
          </cell>
          <cell r="G688">
            <v>1.5</v>
          </cell>
          <cell r="H688">
            <v>80</v>
          </cell>
        </row>
        <row r="689">
          <cell r="D689" t="str">
            <v>RIDHO 01</v>
          </cell>
          <cell r="E689" t="str">
            <v>Semen TR-30 40 Kg Tiga Roda</v>
          </cell>
          <cell r="F689" t="str">
            <v>CAT</v>
          </cell>
          <cell r="G689">
            <v>13</v>
          </cell>
          <cell r="H689">
            <v>80</v>
          </cell>
        </row>
        <row r="690">
          <cell r="D690" t="str">
            <v>RIDHO 01</v>
          </cell>
          <cell r="E690" t="str">
            <v>Semen Aci Putih 25 kg</v>
          </cell>
          <cell r="F690" t="str">
            <v>CAT</v>
          </cell>
          <cell r="G690">
            <v>1</v>
          </cell>
          <cell r="H690">
            <v>80</v>
          </cell>
        </row>
        <row r="691">
          <cell r="D691" t="str">
            <v>RIDHO 01</v>
          </cell>
          <cell r="E691" t="str">
            <v>Besi ø6</v>
          </cell>
          <cell r="F691" t="str">
            <v>PONDASI</v>
          </cell>
          <cell r="G691">
            <v>16</v>
          </cell>
          <cell r="H691">
            <v>80</v>
          </cell>
        </row>
        <row r="692">
          <cell r="D692" t="str">
            <v>RIDHO 01</v>
          </cell>
          <cell r="E692" t="str">
            <v>Besi ø8 Ulir</v>
          </cell>
          <cell r="F692" t="str">
            <v>PONDASI</v>
          </cell>
          <cell r="G692">
            <v>56</v>
          </cell>
          <cell r="H692">
            <v>80</v>
          </cell>
        </row>
        <row r="693">
          <cell r="D693" t="str">
            <v>RIDHO 01</v>
          </cell>
          <cell r="E693" t="str">
            <v>Kayu 3/5</v>
          </cell>
          <cell r="F693" t="str">
            <v>PONDASI</v>
          </cell>
          <cell r="G693">
            <v>42</v>
          </cell>
          <cell r="H693">
            <v>80</v>
          </cell>
        </row>
        <row r="694">
          <cell r="D694" t="str">
            <v>RIDHO 01</v>
          </cell>
          <cell r="E694" t="str">
            <v>Cerucuk</v>
          </cell>
          <cell r="F694" t="str">
            <v>PONDASI</v>
          </cell>
          <cell r="G694">
            <v>89</v>
          </cell>
          <cell r="H694">
            <v>80</v>
          </cell>
        </row>
        <row r="695">
          <cell r="D695" t="str">
            <v>RIDHO 01</v>
          </cell>
          <cell r="E695" t="str">
            <v>Papan Mal</v>
          </cell>
          <cell r="F695" t="str">
            <v>PONDASI</v>
          </cell>
          <cell r="G695">
            <v>197</v>
          </cell>
          <cell r="H695">
            <v>80</v>
          </cell>
        </row>
        <row r="696">
          <cell r="D696" t="str">
            <v>RIDHO 01</v>
          </cell>
          <cell r="E696" t="str">
            <v xml:space="preserve">Pasir </v>
          </cell>
          <cell r="F696" t="str">
            <v>PONDASI</v>
          </cell>
          <cell r="G696">
            <v>17</v>
          </cell>
          <cell r="H696">
            <v>80</v>
          </cell>
        </row>
        <row r="697">
          <cell r="D697" t="str">
            <v>RIDHO 01</v>
          </cell>
          <cell r="E697" t="str">
            <v>Batu</v>
          </cell>
          <cell r="F697" t="str">
            <v>PONDASI</v>
          </cell>
          <cell r="G697">
            <v>3</v>
          </cell>
          <cell r="H697">
            <v>80</v>
          </cell>
        </row>
        <row r="698">
          <cell r="D698" t="str">
            <v>RIDHO 01</v>
          </cell>
          <cell r="E698" t="str">
            <v>Semen PCC 40 Kg Tiga Roda</v>
          </cell>
          <cell r="F698" t="str">
            <v>PONDASI</v>
          </cell>
          <cell r="G698">
            <v>51</v>
          </cell>
          <cell r="H698">
            <v>80</v>
          </cell>
        </row>
        <row r="699">
          <cell r="D699" t="str">
            <v>RIDHO 01</v>
          </cell>
          <cell r="E699" t="str">
            <v xml:space="preserve">Pasir </v>
          </cell>
          <cell r="F699" t="str">
            <v>URUG</v>
          </cell>
          <cell r="G699">
            <v>47</v>
          </cell>
          <cell r="H699">
            <v>80</v>
          </cell>
        </row>
        <row r="700">
          <cell r="D700" t="str">
            <v>RIDHO 01</v>
          </cell>
          <cell r="E700" t="str">
            <v>Pipa 4"</v>
          </cell>
          <cell r="F700" t="str">
            <v>URUG</v>
          </cell>
          <cell r="G700">
            <v>2</v>
          </cell>
          <cell r="H700">
            <v>80</v>
          </cell>
        </row>
        <row r="701">
          <cell r="D701" t="str">
            <v>RIDHO 01</v>
          </cell>
          <cell r="E701" t="str">
            <v>Pipa 2"</v>
          </cell>
          <cell r="F701" t="str">
            <v>URUG</v>
          </cell>
          <cell r="G701">
            <v>2</v>
          </cell>
          <cell r="H701">
            <v>80</v>
          </cell>
        </row>
        <row r="702">
          <cell r="D702" t="str">
            <v>RIDHO 01</v>
          </cell>
          <cell r="E702" t="str">
            <v>Besi ø6</v>
          </cell>
          <cell r="F702" t="str">
            <v>COR LANTAI</v>
          </cell>
          <cell r="G702">
            <v>25</v>
          </cell>
          <cell r="H702">
            <v>80</v>
          </cell>
        </row>
        <row r="703">
          <cell r="D703" t="str">
            <v>RIDHO 01</v>
          </cell>
          <cell r="E703" t="str">
            <v>Pasir</v>
          </cell>
          <cell r="F703" t="str">
            <v>COR LANTAI</v>
          </cell>
          <cell r="G703">
            <v>7</v>
          </cell>
          <cell r="H703">
            <v>80</v>
          </cell>
        </row>
        <row r="704">
          <cell r="D704" t="str">
            <v>RIDHO 01</v>
          </cell>
          <cell r="E704" t="str">
            <v>Semen PCC 40 Kg Tiga Roda</v>
          </cell>
          <cell r="F704" t="str">
            <v>COR LANTAI</v>
          </cell>
          <cell r="G704">
            <v>24</v>
          </cell>
          <cell r="H704">
            <v>80</v>
          </cell>
        </row>
        <row r="705">
          <cell r="D705" t="str">
            <v>RIDHO 01</v>
          </cell>
          <cell r="E705" t="str">
            <v>Plastik cor</v>
          </cell>
          <cell r="F705" t="str">
            <v>COR LANTAI</v>
          </cell>
          <cell r="G705">
            <v>8</v>
          </cell>
          <cell r="H705">
            <v>80</v>
          </cell>
        </row>
        <row r="706">
          <cell r="D706" t="str">
            <v>ILALANG 02</v>
          </cell>
          <cell r="E706" t="str">
            <v>Besi ø6</v>
          </cell>
          <cell r="F706" t="str">
            <v>PONDASI</v>
          </cell>
          <cell r="H706">
            <v>60</v>
          </cell>
        </row>
        <row r="707">
          <cell r="D707" t="str">
            <v>ILALANG 02</v>
          </cell>
          <cell r="E707" t="str">
            <v>Besi ø8 Ulir</v>
          </cell>
          <cell r="F707" t="str">
            <v>PONDASI</v>
          </cell>
          <cell r="G707">
            <v>15</v>
          </cell>
          <cell r="H707">
            <v>60</v>
          </cell>
        </row>
        <row r="708">
          <cell r="D708" t="str">
            <v>ILALANG 02</v>
          </cell>
          <cell r="E708" t="str">
            <v>Kayu 3/5</v>
          </cell>
          <cell r="F708" t="str">
            <v>PONDASI</v>
          </cell>
          <cell r="G708">
            <v>15</v>
          </cell>
          <cell r="H708">
            <v>60</v>
          </cell>
        </row>
        <row r="709">
          <cell r="D709" t="str">
            <v>ILALANG 02</v>
          </cell>
          <cell r="E709" t="str">
            <v>Cerucuk</v>
          </cell>
          <cell r="F709" t="str">
            <v>PONDASI</v>
          </cell>
          <cell r="G709">
            <v>98</v>
          </cell>
          <cell r="H709">
            <v>60</v>
          </cell>
        </row>
        <row r="710">
          <cell r="D710" t="str">
            <v>ILALANG 02</v>
          </cell>
          <cell r="E710" t="str">
            <v>Papan Mal</v>
          </cell>
          <cell r="F710" t="str">
            <v>PONDASI</v>
          </cell>
          <cell r="G710">
            <v>197</v>
          </cell>
          <cell r="H710">
            <v>60</v>
          </cell>
        </row>
        <row r="711">
          <cell r="D711" t="str">
            <v>ILALANG 02</v>
          </cell>
          <cell r="E711" t="str">
            <v xml:space="preserve">Pasir </v>
          </cell>
          <cell r="F711" t="str">
            <v>PONDASI</v>
          </cell>
          <cell r="G711">
            <v>15</v>
          </cell>
          <cell r="H711">
            <v>60</v>
          </cell>
        </row>
        <row r="712">
          <cell r="D712" t="str">
            <v>ILALANG 02</v>
          </cell>
          <cell r="E712" t="str">
            <v>Batu</v>
          </cell>
          <cell r="F712" t="str">
            <v>PONDASI</v>
          </cell>
          <cell r="G712">
            <v>1</v>
          </cell>
          <cell r="H712">
            <v>60</v>
          </cell>
        </row>
        <row r="713">
          <cell r="D713" t="str">
            <v>ILALANG 02</v>
          </cell>
          <cell r="E713" t="str">
            <v>Semen PCC 40 Kg Tiga Roda</v>
          </cell>
          <cell r="F713" t="str">
            <v>PONDASI</v>
          </cell>
          <cell r="G713">
            <v>44</v>
          </cell>
          <cell r="H713">
            <v>60</v>
          </cell>
        </row>
        <row r="714">
          <cell r="D714" t="str">
            <v>ILALANG 02</v>
          </cell>
          <cell r="E714" t="str">
            <v xml:space="preserve">Pasir </v>
          </cell>
          <cell r="F714" t="str">
            <v>URUG</v>
          </cell>
          <cell r="G714">
            <v>37</v>
          </cell>
          <cell r="H714">
            <v>60</v>
          </cell>
        </row>
        <row r="715">
          <cell r="D715" t="str">
            <v>ILALANG 02</v>
          </cell>
          <cell r="E715" t="str">
            <v>Pipa 4"</v>
          </cell>
          <cell r="F715" t="str">
            <v>URUG</v>
          </cell>
          <cell r="G715">
            <v>2</v>
          </cell>
          <cell r="H715">
            <v>60</v>
          </cell>
        </row>
        <row r="716">
          <cell r="D716" t="str">
            <v>ILALANG 02</v>
          </cell>
          <cell r="E716" t="str">
            <v>Pipa 2"</v>
          </cell>
          <cell r="F716" t="str">
            <v>URUG</v>
          </cell>
          <cell r="G716">
            <v>2</v>
          </cell>
          <cell r="H716">
            <v>60</v>
          </cell>
        </row>
        <row r="717">
          <cell r="D717" t="str">
            <v>ILALANG 01</v>
          </cell>
          <cell r="E717" t="str">
            <v>Besi ø6</v>
          </cell>
          <cell r="F717" t="str">
            <v>PONDASI</v>
          </cell>
          <cell r="H717">
            <v>45</v>
          </cell>
        </row>
        <row r="718">
          <cell r="D718" t="str">
            <v>ILALANG 01</v>
          </cell>
          <cell r="E718" t="str">
            <v>Besi ø8 Ulir</v>
          </cell>
          <cell r="F718" t="str">
            <v>PONDASI</v>
          </cell>
          <cell r="G718">
            <v>12</v>
          </cell>
          <cell r="H718">
            <v>45</v>
          </cell>
        </row>
        <row r="719">
          <cell r="D719" t="str">
            <v>ILALANG 01</v>
          </cell>
          <cell r="E719" t="str">
            <v>Kayu 3/5</v>
          </cell>
          <cell r="F719" t="str">
            <v>PONDASI</v>
          </cell>
          <cell r="G719">
            <v>15</v>
          </cell>
          <cell r="H719">
            <v>45</v>
          </cell>
        </row>
        <row r="720">
          <cell r="D720" t="str">
            <v>ILALANG 01</v>
          </cell>
          <cell r="E720" t="str">
            <v>Cerucuk</v>
          </cell>
          <cell r="F720" t="str">
            <v>PONDASI</v>
          </cell>
          <cell r="G720">
            <v>89</v>
          </cell>
          <cell r="H720">
            <v>45</v>
          </cell>
        </row>
        <row r="721">
          <cell r="D721" t="str">
            <v>ILALANG 01</v>
          </cell>
          <cell r="E721" t="str">
            <v>Papan Mal</v>
          </cell>
          <cell r="F721" t="str">
            <v>PONDASI</v>
          </cell>
          <cell r="G721">
            <v>147</v>
          </cell>
          <cell r="H721">
            <v>45</v>
          </cell>
        </row>
        <row r="722">
          <cell r="D722" t="str">
            <v>ILALANG 01</v>
          </cell>
          <cell r="E722" t="str">
            <v xml:space="preserve">Pasir </v>
          </cell>
          <cell r="F722" t="str">
            <v>PONDASI</v>
          </cell>
          <cell r="G722">
            <v>11</v>
          </cell>
          <cell r="H722">
            <v>45</v>
          </cell>
        </row>
        <row r="723">
          <cell r="D723" t="str">
            <v>ILALANG 01</v>
          </cell>
          <cell r="E723" t="str">
            <v>Batu</v>
          </cell>
          <cell r="F723" t="str">
            <v>PONDASI</v>
          </cell>
          <cell r="G723">
            <v>1</v>
          </cell>
          <cell r="H723">
            <v>45</v>
          </cell>
        </row>
        <row r="724">
          <cell r="D724" t="str">
            <v>ILALANG 01</v>
          </cell>
          <cell r="E724" t="str">
            <v>Semen PCC 40 Kg Tiga Roda</v>
          </cell>
          <cell r="F724" t="str">
            <v>PONDASI</v>
          </cell>
          <cell r="G724">
            <v>31</v>
          </cell>
          <cell r="H724">
            <v>45</v>
          </cell>
        </row>
        <row r="725">
          <cell r="D725" t="str">
            <v>DAMAI 3 03</v>
          </cell>
          <cell r="E725" t="str">
            <v>Kayu 3/5</v>
          </cell>
          <cell r="F725" t="str">
            <v>DEK</v>
          </cell>
          <cell r="G725">
            <v>140</v>
          </cell>
          <cell r="H725">
            <v>45</v>
          </cell>
        </row>
        <row r="726">
          <cell r="D726" t="str">
            <v>DAMAI 3 03</v>
          </cell>
          <cell r="E726" t="str">
            <v>Gypsum</v>
          </cell>
          <cell r="F726" t="str">
            <v>DEK</v>
          </cell>
          <cell r="G726">
            <v>20</v>
          </cell>
          <cell r="H726">
            <v>45</v>
          </cell>
        </row>
        <row r="727">
          <cell r="D727" t="str">
            <v>DAMAI 3 03</v>
          </cell>
          <cell r="E727" t="str">
            <v>Baut</v>
          </cell>
          <cell r="F727" t="str">
            <v>DEK</v>
          </cell>
          <cell r="G727">
            <v>3</v>
          </cell>
          <cell r="H727">
            <v>45</v>
          </cell>
        </row>
        <row r="728">
          <cell r="D728" t="str">
            <v>DAMAI 3 03</v>
          </cell>
          <cell r="E728" t="str">
            <v>Paku Beton 4 inch</v>
          </cell>
          <cell r="F728" t="str">
            <v>DEK</v>
          </cell>
          <cell r="G728">
            <v>1</v>
          </cell>
          <cell r="H728">
            <v>45</v>
          </cell>
        </row>
        <row r="729">
          <cell r="D729" t="str">
            <v>DAMAI 3 03</v>
          </cell>
          <cell r="E729" t="str">
            <v>Paku 3 imch</v>
          </cell>
          <cell r="F729" t="str">
            <v>DEK</v>
          </cell>
          <cell r="G729">
            <v>1</v>
          </cell>
          <cell r="H729">
            <v>45</v>
          </cell>
        </row>
        <row r="730">
          <cell r="D730" t="str">
            <v>DAMAI 3 03</v>
          </cell>
          <cell r="E730" t="str">
            <v>paku 2 inch</v>
          </cell>
          <cell r="F730" t="str">
            <v>DEK</v>
          </cell>
          <cell r="G730">
            <v>1</v>
          </cell>
          <cell r="H730">
            <v>45</v>
          </cell>
        </row>
        <row r="731">
          <cell r="D731" t="str">
            <v>DAMAI 3 03</v>
          </cell>
          <cell r="E731" t="str">
            <v>Keramik 60 x 60 Cream</v>
          </cell>
          <cell r="F731" t="str">
            <v>KERAMIK</v>
          </cell>
          <cell r="H731">
            <v>45</v>
          </cell>
        </row>
        <row r="732">
          <cell r="D732" t="str">
            <v>DAMAI 3 03</v>
          </cell>
          <cell r="E732" t="str">
            <v>Keramik 60 x 60 Blackmatt</v>
          </cell>
          <cell r="F732" t="str">
            <v>KERAMIK</v>
          </cell>
          <cell r="H732">
            <v>45</v>
          </cell>
        </row>
        <row r="733">
          <cell r="D733" t="str">
            <v>DAMAI 3 03</v>
          </cell>
          <cell r="E733" t="str">
            <v>Pasir</v>
          </cell>
          <cell r="F733" t="str">
            <v>KERAMIK</v>
          </cell>
          <cell r="H733">
            <v>45</v>
          </cell>
        </row>
        <row r="734">
          <cell r="D734" t="str">
            <v>DAMAI 3 03</v>
          </cell>
          <cell r="E734" t="str">
            <v>Semen PCC 40 Kg Tiga Roda</v>
          </cell>
          <cell r="F734" t="str">
            <v>KERAMIK</v>
          </cell>
          <cell r="H734">
            <v>45</v>
          </cell>
        </row>
        <row r="735">
          <cell r="D735" t="str">
            <v>DAMAI 3 03</v>
          </cell>
          <cell r="E735" t="str">
            <v>Oker</v>
          </cell>
          <cell r="F735" t="str">
            <v>KERAMIK</v>
          </cell>
          <cell r="H735">
            <v>45</v>
          </cell>
        </row>
        <row r="736">
          <cell r="D736" t="str">
            <v>ILALANG 01</v>
          </cell>
          <cell r="E736" t="str">
            <v>Semen PCC 40 Kg Tiga Roda</v>
          </cell>
          <cell r="F736" t="str">
            <v>CARPORT</v>
          </cell>
          <cell r="G736">
            <v>13</v>
          </cell>
          <cell r="H736">
            <v>45</v>
          </cell>
        </row>
        <row r="737">
          <cell r="D737" t="str">
            <v>ILALANG 01</v>
          </cell>
          <cell r="E737" t="str">
            <v>Kayu 3/5</v>
          </cell>
          <cell r="F737" t="str">
            <v>CARPORT</v>
          </cell>
          <cell r="G737">
            <v>8</v>
          </cell>
          <cell r="H737">
            <v>45</v>
          </cell>
        </row>
        <row r="738">
          <cell r="D738" t="str">
            <v>ILALANG 01</v>
          </cell>
          <cell r="E738" t="str">
            <v>Cerucuk</v>
          </cell>
          <cell r="F738" t="str">
            <v>CARPORT</v>
          </cell>
          <cell r="G738">
            <v>18</v>
          </cell>
          <cell r="H738">
            <v>45</v>
          </cell>
        </row>
        <row r="739">
          <cell r="D739" t="str">
            <v>ILALANG 01</v>
          </cell>
          <cell r="E739" t="str">
            <v>Papan Mal</v>
          </cell>
          <cell r="F739" t="str">
            <v>CARPORT</v>
          </cell>
          <cell r="H739">
            <v>45</v>
          </cell>
        </row>
        <row r="740">
          <cell r="D740" t="str">
            <v>ILALANG 01</v>
          </cell>
          <cell r="E740" t="str">
            <v>Plastik cor</v>
          </cell>
          <cell r="F740" t="str">
            <v>CARPORT</v>
          </cell>
          <cell r="G740">
            <v>7</v>
          </cell>
          <cell r="H740">
            <v>45</v>
          </cell>
        </row>
        <row r="741">
          <cell r="D741" t="str">
            <v>ILALANG 01</v>
          </cell>
          <cell r="E741" t="str">
            <v>Besi ø6</v>
          </cell>
          <cell r="F741" t="str">
            <v>CARPORT</v>
          </cell>
          <cell r="G741">
            <v>10</v>
          </cell>
          <cell r="H741">
            <v>45</v>
          </cell>
        </row>
        <row r="742">
          <cell r="D742" t="str">
            <v>ILALANG 01</v>
          </cell>
          <cell r="E742" t="str">
            <v>Besi ø8</v>
          </cell>
          <cell r="F742" t="str">
            <v>CARPORT</v>
          </cell>
          <cell r="G742">
            <v>16</v>
          </cell>
          <cell r="H742">
            <v>45</v>
          </cell>
        </row>
        <row r="743">
          <cell r="D743" t="str">
            <v>ILALANG 01</v>
          </cell>
          <cell r="E743" t="str">
            <v>Batu</v>
          </cell>
          <cell r="F743" t="str">
            <v>CARPORT</v>
          </cell>
          <cell r="G743">
            <v>0.5</v>
          </cell>
          <cell r="H743">
            <v>45</v>
          </cell>
        </row>
        <row r="744">
          <cell r="D744" t="str">
            <v>ILALANG 01</v>
          </cell>
          <cell r="E744" t="str">
            <v>Pasir</v>
          </cell>
          <cell r="F744" t="str">
            <v>CARPORT</v>
          </cell>
          <cell r="G744">
            <v>6</v>
          </cell>
          <cell r="H744">
            <v>45</v>
          </cell>
        </row>
        <row r="745">
          <cell r="D745" t="str">
            <v>ILALANG 01</v>
          </cell>
          <cell r="E745" t="str">
            <v>Keramik 60 x 60 Blackmatt</v>
          </cell>
          <cell r="F745" t="str">
            <v>CARPORT</v>
          </cell>
          <cell r="H745">
            <v>45</v>
          </cell>
        </row>
        <row r="746">
          <cell r="D746" t="str">
            <v>ILALANG 02</v>
          </cell>
          <cell r="E746" t="str">
            <v>Besi ø6</v>
          </cell>
          <cell r="F746" t="str">
            <v>COR LANTAI</v>
          </cell>
          <cell r="G746">
            <v>15</v>
          </cell>
          <cell r="H746">
            <v>60</v>
          </cell>
        </row>
        <row r="747">
          <cell r="D747" t="str">
            <v>ILALANG 02</v>
          </cell>
          <cell r="E747" t="str">
            <v>Pasir</v>
          </cell>
          <cell r="F747" t="str">
            <v>COR LANTAI</v>
          </cell>
          <cell r="G747">
            <v>2</v>
          </cell>
          <cell r="H747">
            <v>60</v>
          </cell>
        </row>
        <row r="748">
          <cell r="D748" t="str">
            <v>ILALANG 02</v>
          </cell>
          <cell r="E748" t="str">
            <v>Semen PCC 40 Kg Tiga Roda</v>
          </cell>
          <cell r="F748" t="str">
            <v>COR LANTAI</v>
          </cell>
          <cell r="G748">
            <v>11</v>
          </cell>
          <cell r="H748">
            <v>60</v>
          </cell>
        </row>
        <row r="749">
          <cell r="D749" t="str">
            <v>ILALANG 02</v>
          </cell>
          <cell r="E749" t="str">
            <v>Plastik cor</v>
          </cell>
          <cell r="F749" t="str">
            <v>COR LANTAI</v>
          </cell>
          <cell r="G749">
            <v>7</v>
          </cell>
          <cell r="H749">
            <v>60</v>
          </cell>
        </row>
        <row r="750">
          <cell r="D750" t="str">
            <v>ILALANG 02</v>
          </cell>
          <cell r="E750" t="str">
            <v>Semen PCC 40 Kg Tiga Roda</v>
          </cell>
          <cell r="F750" t="str">
            <v>CARPORT</v>
          </cell>
          <cell r="G750">
            <v>13</v>
          </cell>
          <cell r="H750">
            <v>60</v>
          </cell>
        </row>
        <row r="751">
          <cell r="D751" t="str">
            <v>ILALANG 02</v>
          </cell>
          <cell r="E751" t="str">
            <v>Kayu 3/5</v>
          </cell>
          <cell r="F751" t="str">
            <v>CARPORT</v>
          </cell>
          <cell r="H751">
            <v>60</v>
          </cell>
        </row>
        <row r="752">
          <cell r="D752" t="str">
            <v>ILALANG 02</v>
          </cell>
          <cell r="E752" t="str">
            <v>Cerucuk</v>
          </cell>
          <cell r="F752" t="str">
            <v>CARPORT</v>
          </cell>
          <cell r="G752">
            <v>14</v>
          </cell>
          <cell r="H752">
            <v>60</v>
          </cell>
        </row>
        <row r="753">
          <cell r="D753" t="str">
            <v>ILALANG 02</v>
          </cell>
          <cell r="E753" t="str">
            <v>Papan Mal</v>
          </cell>
          <cell r="F753" t="str">
            <v>CARPORT</v>
          </cell>
          <cell r="H753">
            <v>60</v>
          </cell>
        </row>
        <row r="754">
          <cell r="D754" t="str">
            <v>ILALANG 02</v>
          </cell>
          <cell r="E754" t="str">
            <v>Plastik cor</v>
          </cell>
          <cell r="F754" t="str">
            <v>CARPORT</v>
          </cell>
          <cell r="G754">
            <v>7</v>
          </cell>
          <cell r="H754">
            <v>60</v>
          </cell>
        </row>
        <row r="755">
          <cell r="D755" t="str">
            <v>ILALANG 02</v>
          </cell>
          <cell r="E755" t="str">
            <v>Besi ø6</v>
          </cell>
          <cell r="F755" t="str">
            <v>CARPORT</v>
          </cell>
          <cell r="G755">
            <v>2</v>
          </cell>
          <cell r="H755">
            <v>60</v>
          </cell>
        </row>
        <row r="756">
          <cell r="D756" t="str">
            <v>ILALANG 02</v>
          </cell>
          <cell r="E756" t="str">
            <v>Besi ø8</v>
          </cell>
          <cell r="F756" t="str">
            <v>CARPORT</v>
          </cell>
          <cell r="G756">
            <v>4</v>
          </cell>
          <cell r="H756">
            <v>60</v>
          </cell>
        </row>
        <row r="757">
          <cell r="D757" t="str">
            <v>ILALANG 02</v>
          </cell>
          <cell r="E757" t="str">
            <v>Batu</v>
          </cell>
          <cell r="F757" t="str">
            <v>CARPORT</v>
          </cell>
          <cell r="G757">
            <v>0.5</v>
          </cell>
          <cell r="H757">
            <v>60</v>
          </cell>
        </row>
        <row r="758">
          <cell r="D758" t="str">
            <v>ILALANG 02</v>
          </cell>
          <cell r="E758" t="str">
            <v>Pasir</v>
          </cell>
          <cell r="F758" t="str">
            <v>CARPORT</v>
          </cell>
          <cell r="G758">
            <v>6</v>
          </cell>
          <cell r="H758">
            <v>60</v>
          </cell>
        </row>
        <row r="759">
          <cell r="D759" t="str">
            <v>ILALANG 02</v>
          </cell>
          <cell r="E759" t="str">
            <v>Keramik 60 x 60 Blackmatt</v>
          </cell>
          <cell r="F759" t="str">
            <v>CARPORT</v>
          </cell>
          <cell r="H759">
            <v>60</v>
          </cell>
        </row>
        <row r="760">
          <cell r="D760" t="str">
            <v>DAMAI 3 04</v>
          </cell>
          <cell r="E760" t="str">
            <v>Bata</v>
          </cell>
          <cell r="F760" t="str">
            <v>PAGAR</v>
          </cell>
          <cell r="G760">
            <v>165</v>
          </cell>
          <cell r="H760">
            <v>45</v>
          </cell>
        </row>
        <row r="761">
          <cell r="D761" t="str">
            <v>DAMAI 3 04</v>
          </cell>
          <cell r="E761" t="str">
            <v>Pasir</v>
          </cell>
          <cell r="F761" t="str">
            <v>PAGAR</v>
          </cell>
          <cell r="G761">
            <v>1</v>
          </cell>
          <cell r="H761">
            <v>45</v>
          </cell>
        </row>
        <row r="762">
          <cell r="D762" t="str">
            <v>DAMAI 3 04</v>
          </cell>
          <cell r="E762" t="str">
            <v>Semen PCC 40 Kg Tiga Roda</v>
          </cell>
          <cell r="F762" t="str">
            <v>PAGAR</v>
          </cell>
          <cell r="G762">
            <v>3</v>
          </cell>
          <cell r="H762">
            <v>45</v>
          </cell>
        </row>
        <row r="763">
          <cell r="D763" t="str">
            <v>DAMAI 3 04</v>
          </cell>
          <cell r="E763" t="str">
            <v xml:space="preserve">Besi ø6 </v>
          </cell>
          <cell r="F763" t="str">
            <v>PAGAR</v>
          </cell>
          <cell r="G763">
            <v>2</v>
          </cell>
          <cell r="H763">
            <v>45</v>
          </cell>
        </row>
        <row r="764">
          <cell r="D764" t="str">
            <v>DAMAI 3 04</v>
          </cell>
          <cell r="E764" t="str">
            <v>Besi ø8</v>
          </cell>
          <cell r="F764" t="str">
            <v>PAGAR</v>
          </cell>
          <cell r="G764">
            <v>2</v>
          </cell>
          <cell r="H764">
            <v>45</v>
          </cell>
        </row>
        <row r="765">
          <cell r="D765" t="str">
            <v>DAMAI 3 03</v>
          </cell>
          <cell r="E765" t="str">
            <v>Keramik 60 x 60 Cream</v>
          </cell>
          <cell r="F765" t="str">
            <v>KERAMIK</v>
          </cell>
          <cell r="G765">
            <v>29</v>
          </cell>
          <cell r="H765">
            <v>45</v>
          </cell>
        </row>
        <row r="766">
          <cell r="D766" t="str">
            <v>DAMAI 3 03</v>
          </cell>
          <cell r="E766" t="str">
            <v>Keramik 60 x 60 Blackmatt</v>
          </cell>
          <cell r="F766" t="str">
            <v>KERAMIK</v>
          </cell>
          <cell r="H766">
            <v>45</v>
          </cell>
        </row>
        <row r="767">
          <cell r="D767" t="str">
            <v>DAMAI 3 03</v>
          </cell>
          <cell r="E767" t="str">
            <v>Pasir</v>
          </cell>
          <cell r="F767" t="str">
            <v>KERAMIK</v>
          </cell>
          <cell r="G767">
            <v>4</v>
          </cell>
          <cell r="H767">
            <v>45</v>
          </cell>
        </row>
        <row r="768">
          <cell r="D768" t="str">
            <v>DAMAI 3 03</v>
          </cell>
          <cell r="E768" t="str">
            <v>Semen PCC 40 Kg Tiga Roda</v>
          </cell>
          <cell r="F768" t="str">
            <v>KERAMIK</v>
          </cell>
          <cell r="G768">
            <v>9</v>
          </cell>
          <cell r="H768">
            <v>45</v>
          </cell>
        </row>
        <row r="769">
          <cell r="D769" t="str">
            <v>DAMAI 3 03</v>
          </cell>
          <cell r="E769" t="str">
            <v>Oker</v>
          </cell>
          <cell r="F769" t="str">
            <v>KERAMIK</v>
          </cell>
          <cell r="H769">
            <v>45</v>
          </cell>
        </row>
        <row r="770">
          <cell r="D770" t="str">
            <v>DAMAI 3 03</v>
          </cell>
          <cell r="E770" t="str">
            <v>Bata</v>
          </cell>
          <cell r="F770" t="str">
            <v>PAGAR</v>
          </cell>
          <cell r="G770">
            <v>165</v>
          </cell>
          <cell r="H770">
            <v>45</v>
          </cell>
        </row>
        <row r="771">
          <cell r="D771" t="str">
            <v>DAMAI 3 03</v>
          </cell>
          <cell r="E771" t="str">
            <v>Pasir</v>
          </cell>
          <cell r="F771" t="str">
            <v>PAGAR</v>
          </cell>
          <cell r="G771">
            <v>1</v>
          </cell>
          <cell r="H771">
            <v>45</v>
          </cell>
        </row>
        <row r="772">
          <cell r="D772" t="str">
            <v>DAMAI 3 03</v>
          </cell>
          <cell r="E772" t="str">
            <v>Semen PCC 40 Kg Tiga Roda</v>
          </cell>
          <cell r="F772" t="str">
            <v>PAGAR</v>
          </cell>
          <cell r="G772">
            <v>3</v>
          </cell>
          <cell r="H772">
            <v>45</v>
          </cell>
        </row>
        <row r="773">
          <cell r="D773" t="str">
            <v>DAMAI 3 03</v>
          </cell>
          <cell r="E773" t="str">
            <v xml:space="preserve">Besi ø6 </v>
          </cell>
          <cell r="F773" t="str">
            <v>PAGAR</v>
          </cell>
          <cell r="G773">
            <v>2</v>
          </cell>
          <cell r="H773">
            <v>45</v>
          </cell>
        </row>
        <row r="774">
          <cell r="D774" t="str">
            <v>DAMAI 3 03</v>
          </cell>
          <cell r="E774" t="str">
            <v>Besi ø8</v>
          </cell>
          <cell r="F774" t="str">
            <v>PAGAR</v>
          </cell>
          <cell r="G774">
            <v>2</v>
          </cell>
          <cell r="H774">
            <v>45</v>
          </cell>
        </row>
        <row r="775">
          <cell r="D775" t="str">
            <v>KARYA 04</v>
          </cell>
          <cell r="E775" t="str">
            <v>Bata</v>
          </cell>
          <cell r="F775" t="str">
            <v>MINIMALIS</v>
          </cell>
          <cell r="G775">
            <v>120</v>
          </cell>
          <cell r="H775">
            <v>55</v>
          </cell>
        </row>
        <row r="776">
          <cell r="D776" t="str">
            <v>KARYA 04</v>
          </cell>
          <cell r="E776" t="str">
            <v>Pasir</v>
          </cell>
          <cell r="F776" t="str">
            <v>MINIMALIS</v>
          </cell>
          <cell r="G776">
            <v>2</v>
          </cell>
          <cell r="H776">
            <v>55</v>
          </cell>
        </row>
        <row r="777">
          <cell r="D777" t="str">
            <v>KARYA 04</v>
          </cell>
          <cell r="E777" t="str">
            <v>Semen PCC 40 Kg Tiga Roda</v>
          </cell>
          <cell r="F777" t="str">
            <v>MINIMALIS</v>
          </cell>
          <cell r="G777">
            <v>7</v>
          </cell>
          <cell r="H777">
            <v>55</v>
          </cell>
        </row>
        <row r="778">
          <cell r="D778" t="str">
            <v>KARYA 04</v>
          </cell>
          <cell r="E778" t="str">
            <v>Keramik 60 x 60 Blackmatt</v>
          </cell>
          <cell r="F778" t="str">
            <v>MINIMALIS</v>
          </cell>
          <cell r="G778">
            <v>7</v>
          </cell>
          <cell r="H778">
            <v>55</v>
          </cell>
        </row>
        <row r="779">
          <cell r="D779" t="str">
            <v>KARYA 05</v>
          </cell>
          <cell r="E779" t="str">
            <v>Bata</v>
          </cell>
          <cell r="F779" t="str">
            <v>PAGAR</v>
          </cell>
          <cell r="G779">
            <v>156</v>
          </cell>
          <cell r="H779">
            <v>55</v>
          </cell>
        </row>
        <row r="780">
          <cell r="D780" t="str">
            <v>KARYA 05</v>
          </cell>
          <cell r="E780" t="str">
            <v>Pasir</v>
          </cell>
          <cell r="F780" t="str">
            <v>PAGAR</v>
          </cell>
          <cell r="G780">
            <v>4</v>
          </cell>
          <cell r="H780">
            <v>55</v>
          </cell>
        </row>
        <row r="781">
          <cell r="D781" t="str">
            <v>KARYA 05</v>
          </cell>
          <cell r="E781" t="str">
            <v>Semen PCC 40 Kg Tiga Roda</v>
          </cell>
          <cell r="F781" t="str">
            <v>PAGAR</v>
          </cell>
          <cell r="G781">
            <v>2</v>
          </cell>
          <cell r="H781">
            <v>55</v>
          </cell>
        </row>
        <row r="782">
          <cell r="D782" t="str">
            <v>KARYA 05</v>
          </cell>
          <cell r="E782" t="str">
            <v xml:space="preserve">Besi ø6 </v>
          </cell>
          <cell r="F782" t="str">
            <v>PAGAR</v>
          </cell>
          <cell r="G782">
            <v>1</v>
          </cell>
          <cell r="H782">
            <v>55</v>
          </cell>
        </row>
        <row r="783">
          <cell r="D783" t="str">
            <v>KARYA 05</v>
          </cell>
          <cell r="E783" t="str">
            <v>Besi ø8</v>
          </cell>
          <cell r="F783" t="str">
            <v>PAGAR</v>
          </cell>
          <cell r="G783">
            <v>1</v>
          </cell>
          <cell r="H783">
            <v>55</v>
          </cell>
        </row>
        <row r="784">
          <cell r="D784" t="str">
            <v>KARYA 06</v>
          </cell>
          <cell r="E784" t="str">
            <v>Bata</v>
          </cell>
          <cell r="F784" t="str">
            <v>PAGAR</v>
          </cell>
          <cell r="G784">
            <v>156</v>
          </cell>
          <cell r="H784">
            <v>55</v>
          </cell>
        </row>
        <row r="785">
          <cell r="D785" t="str">
            <v>KARYA 06</v>
          </cell>
          <cell r="E785" t="str">
            <v>Pasir</v>
          </cell>
          <cell r="F785" t="str">
            <v>PAGAR</v>
          </cell>
          <cell r="G785">
            <v>1</v>
          </cell>
          <cell r="H785">
            <v>55</v>
          </cell>
        </row>
        <row r="786">
          <cell r="D786" t="str">
            <v>KARYA 06</v>
          </cell>
          <cell r="E786" t="str">
            <v>Semen PCC 40 Kg Tiga Roda</v>
          </cell>
          <cell r="F786" t="str">
            <v>PAGAR</v>
          </cell>
          <cell r="G786">
            <v>2</v>
          </cell>
          <cell r="H786">
            <v>55</v>
          </cell>
        </row>
        <row r="787">
          <cell r="D787" t="str">
            <v>KARYA 06</v>
          </cell>
          <cell r="E787" t="str">
            <v xml:space="preserve">Besi ø6 </v>
          </cell>
          <cell r="F787" t="str">
            <v>PAGAR</v>
          </cell>
          <cell r="G787">
            <v>1</v>
          </cell>
          <cell r="H787">
            <v>55</v>
          </cell>
        </row>
        <row r="788">
          <cell r="D788" t="str">
            <v>KARYA 06</v>
          </cell>
          <cell r="E788" t="str">
            <v>Besi ø8</v>
          </cell>
          <cell r="F788" t="str">
            <v>PAGAR</v>
          </cell>
          <cell r="G788">
            <v>1</v>
          </cell>
          <cell r="H788">
            <v>55</v>
          </cell>
        </row>
        <row r="789">
          <cell r="D789" t="str">
            <v>SUKABASUKI</v>
          </cell>
          <cell r="E789" t="str">
            <v>Kayu 3/5</v>
          </cell>
          <cell r="F789" t="str">
            <v>ATAP</v>
          </cell>
          <cell r="G789">
            <v>150</v>
          </cell>
          <cell r="H789">
            <v>100</v>
          </cell>
        </row>
        <row r="790">
          <cell r="D790" t="str">
            <v>SUKABASUKI</v>
          </cell>
          <cell r="E790" t="str">
            <v>Kayu 4/6</v>
          </cell>
          <cell r="F790" t="str">
            <v>ATAP</v>
          </cell>
          <cell r="G790">
            <v>190</v>
          </cell>
          <cell r="H790">
            <v>100</v>
          </cell>
        </row>
        <row r="791">
          <cell r="D791" t="str">
            <v>SUKABASUKI</v>
          </cell>
          <cell r="E791" t="str">
            <v>Kayu 5/7</v>
          </cell>
          <cell r="F791" t="str">
            <v>ATAP</v>
          </cell>
          <cell r="G791">
            <v>70</v>
          </cell>
          <cell r="H791">
            <v>100</v>
          </cell>
        </row>
        <row r="792">
          <cell r="D792" t="str">
            <v>SUKABASUKI</v>
          </cell>
          <cell r="E792" t="str">
            <v>Lisplank</v>
          </cell>
          <cell r="F792" t="str">
            <v>ATAP</v>
          </cell>
          <cell r="G792">
            <v>14</v>
          </cell>
          <cell r="H792">
            <v>100</v>
          </cell>
        </row>
        <row r="793">
          <cell r="D793" t="str">
            <v>SUKABASUKI</v>
          </cell>
          <cell r="E793" t="str">
            <v>Seng  Metal 4 Susun (merah)</v>
          </cell>
          <cell r="F793" t="str">
            <v>ATAP</v>
          </cell>
          <cell r="H793">
            <v>100</v>
          </cell>
        </row>
        <row r="794">
          <cell r="D794" t="str">
            <v>SUKABASUKI</v>
          </cell>
          <cell r="E794" t="str">
            <v>Seng  Metal 2 Susun (hitam)</v>
          </cell>
          <cell r="F794" t="str">
            <v>ATAP</v>
          </cell>
          <cell r="G794">
            <v>307</v>
          </cell>
          <cell r="H794">
            <v>100</v>
          </cell>
        </row>
        <row r="795">
          <cell r="D795" t="str">
            <v>SUKABASUKI</v>
          </cell>
          <cell r="E795" t="str">
            <v>Perabung Hitam</v>
          </cell>
          <cell r="F795" t="str">
            <v>ATAP</v>
          </cell>
          <cell r="G795">
            <v>46</v>
          </cell>
          <cell r="H795">
            <v>100</v>
          </cell>
        </row>
        <row r="796">
          <cell r="D796" t="str">
            <v>SUKABASUKI</v>
          </cell>
          <cell r="E796" t="str">
            <v>Perabung Merah</v>
          </cell>
          <cell r="F796" t="str">
            <v>ATAP</v>
          </cell>
          <cell r="H796">
            <v>100</v>
          </cell>
        </row>
        <row r="797">
          <cell r="D797" t="str">
            <v>SUKABASUKI</v>
          </cell>
          <cell r="E797" t="str">
            <v>Paku 2 inch</v>
          </cell>
          <cell r="F797" t="str">
            <v>ATAP</v>
          </cell>
          <cell r="G797">
            <v>2</v>
          </cell>
          <cell r="H797">
            <v>100</v>
          </cell>
        </row>
        <row r="798">
          <cell r="D798" t="str">
            <v>SUKABASUKI</v>
          </cell>
          <cell r="E798" t="str">
            <v>Paku 3 inch</v>
          </cell>
          <cell r="F798" t="str">
            <v>ATAP</v>
          </cell>
          <cell r="G798">
            <v>2</v>
          </cell>
          <cell r="H798">
            <v>100</v>
          </cell>
        </row>
        <row r="799">
          <cell r="D799" t="str">
            <v>ILALANG 01</v>
          </cell>
          <cell r="E799" t="str">
            <v xml:space="preserve">Pasir </v>
          </cell>
          <cell r="F799" t="str">
            <v>URUG</v>
          </cell>
          <cell r="G799">
            <v>27</v>
          </cell>
          <cell r="H799">
            <v>45</v>
          </cell>
        </row>
        <row r="800">
          <cell r="D800" t="str">
            <v>ILALANG 01</v>
          </cell>
          <cell r="E800" t="str">
            <v>Pipa 4"</v>
          </cell>
          <cell r="F800" t="str">
            <v>URUG</v>
          </cell>
          <cell r="G800">
            <v>2</v>
          </cell>
          <cell r="H800">
            <v>45</v>
          </cell>
        </row>
        <row r="801">
          <cell r="D801" t="str">
            <v>ILALANG 01</v>
          </cell>
          <cell r="E801" t="str">
            <v>Pipa 2"</v>
          </cell>
          <cell r="F801" t="str">
            <v>URUG</v>
          </cell>
          <cell r="G801">
            <v>2</v>
          </cell>
          <cell r="H801">
            <v>45</v>
          </cell>
        </row>
        <row r="802">
          <cell r="D802" t="str">
            <v>ILALANG 01</v>
          </cell>
          <cell r="E802" t="str">
            <v>Besi ø6</v>
          </cell>
          <cell r="F802" t="str">
            <v>COR LANTAI</v>
          </cell>
          <cell r="G802">
            <v>12</v>
          </cell>
          <cell r="H802">
            <v>45</v>
          </cell>
        </row>
        <row r="803">
          <cell r="D803" t="str">
            <v>ILALANG 01</v>
          </cell>
          <cell r="E803" t="str">
            <v>Pasir</v>
          </cell>
          <cell r="F803" t="str">
            <v>COR LANTAI</v>
          </cell>
          <cell r="G803">
            <v>1</v>
          </cell>
          <cell r="H803">
            <v>45</v>
          </cell>
        </row>
        <row r="804">
          <cell r="D804" t="str">
            <v>ILALANG 01</v>
          </cell>
          <cell r="E804" t="str">
            <v>Semen PCC 40 Kg Tiga Roda</v>
          </cell>
          <cell r="F804" t="str">
            <v>COR LANTAI</v>
          </cell>
          <cell r="G804">
            <v>7</v>
          </cell>
          <cell r="H804">
            <v>45</v>
          </cell>
        </row>
        <row r="805">
          <cell r="D805" t="str">
            <v>ILALANG 01</v>
          </cell>
          <cell r="E805" t="str">
            <v>Plastik cor</v>
          </cell>
          <cell r="F805" t="str">
            <v>COR LANTAI</v>
          </cell>
          <cell r="G805">
            <v>6</v>
          </cell>
          <cell r="H805">
            <v>45</v>
          </cell>
        </row>
        <row r="806">
          <cell r="D806" t="str">
            <v>ILALANG 01</v>
          </cell>
          <cell r="E806" t="str">
            <v>Bata</v>
          </cell>
          <cell r="F806" t="str">
            <v>PAGAR</v>
          </cell>
          <cell r="H806">
            <v>45</v>
          </cell>
        </row>
        <row r="807">
          <cell r="D807" t="str">
            <v>ILALANG 01</v>
          </cell>
          <cell r="E807" t="str">
            <v>Pasir</v>
          </cell>
          <cell r="F807" t="str">
            <v>PAGAR</v>
          </cell>
          <cell r="G807">
            <v>1</v>
          </cell>
          <cell r="H807">
            <v>45</v>
          </cell>
        </row>
        <row r="808">
          <cell r="D808" t="str">
            <v>ILALANG 01</v>
          </cell>
          <cell r="E808" t="str">
            <v>Semen PCC 40 Kg Tiga Roda</v>
          </cell>
          <cell r="F808" t="str">
            <v>PAGAR</v>
          </cell>
          <cell r="G808">
            <v>5</v>
          </cell>
          <cell r="H808">
            <v>45</v>
          </cell>
        </row>
        <row r="809">
          <cell r="D809" t="str">
            <v>ILALANG 01</v>
          </cell>
          <cell r="E809" t="str">
            <v xml:space="preserve">Besi ø6 </v>
          </cell>
          <cell r="F809" t="str">
            <v>PAGAR</v>
          </cell>
          <cell r="H809">
            <v>45</v>
          </cell>
        </row>
        <row r="810">
          <cell r="D810" t="str">
            <v>ILALANG 01</v>
          </cell>
          <cell r="E810" t="str">
            <v>Besi ø8</v>
          </cell>
          <cell r="F810" t="str">
            <v>PAGAR</v>
          </cell>
          <cell r="H810">
            <v>45</v>
          </cell>
        </row>
        <row r="811">
          <cell r="D811" t="str">
            <v>ILALANG 01</v>
          </cell>
          <cell r="E811" t="str">
            <v>Papan</v>
          </cell>
          <cell r="F811" t="str">
            <v>BATA</v>
          </cell>
          <cell r="G811">
            <v>26</v>
          </cell>
          <cell r="H811">
            <v>45</v>
          </cell>
        </row>
        <row r="812">
          <cell r="D812" t="str">
            <v>ILALANG 01</v>
          </cell>
          <cell r="E812" t="str">
            <v>Kayu 3/5</v>
          </cell>
          <cell r="F812" t="str">
            <v>BATA</v>
          </cell>
          <cell r="G812">
            <v>26</v>
          </cell>
          <cell r="H812">
            <v>45</v>
          </cell>
        </row>
        <row r="813">
          <cell r="D813" t="str">
            <v>ILALANG 01</v>
          </cell>
          <cell r="E813" t="str">
            <v>Besi ø6</v>
          </cell>
          <cell r="F813" t="str">
            <v>BATA</v>
          </cell>
          <cell r="H813">
            <v>45</v>
          </cell>
        </row>
        <row r="814">
          <cell r="D814" t="str">
            <v>ILALANG 01</v>
          </cell>
          <cell r="E814" t="str">
            <v xml:space="preserve">Besi ø8 </v>
          </cell>
          <cell r="F814" t="str">
            <v>BATA</v>
          </cell>
          <cell r="G814">
            <v>7</v>
          </cell>
          <cell r="H814">
            <v>45</v>
          </cell>
        </row>
        <row r="815">
          <cell r="D815" t="str">
            <v>ILALANG 01</v>
          </cell>
          <cell r="E815" t="str">
            <v xml:space="preserve">Besi ø6 </v>
          </cell>
          <cell r="F815" t="str">
            <v>BATA</v>
          </cell>
          <cell r="G815">
            <v>2</v>
          </cell>
          <cell r="H815">
            <v>45</v>
          </cell>
        </row>
        <row r="816">
          <cell r="D816" t="str">
            <v>ILALANG 01</v>
          </cell>
          <cell r="E816" t="str">
            <v>Kusen Pintu ( 2 Daun )</v>
          </cell>
          <cell r="F816" t="str">
            <v>BATA</v>
          </cell>
          <cell r="G816">
            <v>3</v>
          </cell>
          <cell r="H816">
            <v>45</v>
          </cell>
        </row>
        <row r="817">
          <cell r="D817" t="str">
            <v>ILALANG 01</v>
          </cell>
          <cell r="E817" t="str">
            <v>Kusen Pintu ( 1 Daun )</v>
          </cell>
          <cell r="F817" t="str">
            <v>BATA</v>
          </cell>
          <cell r="G817">
            <v>1</v>
          </cell>
          <cell r="H817">
            <v>45</v>
          </cell>
        </row>
        <row r="818">
          <cell r="D818" t="str">
            <v>ILALANG 01</v>
          </cell>
          <cell r="E818" t="str">
            <v>Bata</v>
          </cell>
          <cell r="F818" t="str">
            <v>BATA</v>
          </cell>
          <cell r="G818">
            <v>2112</v>
          </cell>
          <cell r="H818">
            <v>45</v>
          </cell>
        </row>
        <row r="819">
          <cell r="D819" t="str">
            <v>ILALANG 01</v>
          </cell>
          <cell r="E819" t="str">
            <v>Semen PCC 40 Kg Tiga Roda</v>
          </cell>
          <cell r="F819" t="str">
            <v>BATA</v>
          </cell>
          <cell r="G819">
            <v>20</v>
          </cell>
          <cell r="H819">
            <v>45</v>
          </cell>
        </row>
        <row r="820">
          <cell r="D820" t="str">
            <v>ILALANG 01</v>
          </cell>
          <cell r="E820" t="str">
            <v>Pasir</v>
          </cell>
          <cell r="F820" t="str">
            <v>BATA</v>
          </cell>
          <cell r="G820">
            <v>4</v>
          </cell>
          <cell r="H820">
            <v>45</v>
          </cell>
        </row>
        <row r="821">
          <cell r="D821" t="str">
            <v>ILALANG 01</v>
          </cell>
          <cell r="E821" t="str">
            <v>Besi ø6</v>
          </cell>
          <cell r="F821" t="str">
            <v>BATA</v>
          </cell>
          <cell r="G821">
            <v>4</v>
          </cell>
          <cell r="H821">
            <v>45</v>
          </cell>
        </row>
        <row r="822">
          <cell r="D822" t="str">
            <v>ILALANG 01</v>
          </cell>
          <cell r="E822" t="str">
            <v>Semen PCC 40 Kg Tiga Roda</v>
          </cell>
          <cell r="F822" t="str">
            <v>BATA</v>
          </cell>
          <cell r="G822">
            <v>2</v>
          </cell>
          <cell r="H822">
            <v>45</v>
          </cell>
        </row>
        <row r="823">
          <cell r="D823" t="str">
            <v>ILALANG 01</v>
          </cell>
          <cell r="E823" t="str">
            <v>Pasir</v>
          </cell>
          <cell r="F823" t="str">
            <v>BATA</v>
          </cell>
          <cell r="G823">
            <v>1</v>
          </cell>
          <cell r="H823">
            <v>45</v>
          </cell>
        </row>
        <row r="824">
          <cell r="D824" t="str">
            <v>ILALANG 01</v>
          </cell>
          <cell r="E824" t="str">
            <v>Batu</v>
          </cell>
          <cell r="F824" t="str">
            <v>BATA</v>
          </cell>
          <cell r="H824">
            <v>45</v>
          </cell>
        </row>
        <row r="825">
          <cell r="D825" t="str">
            <v>ILALANG 01</v>
          </cell>
          <cell r="E825" t="str">
            <v xml:space="preserve">Besi ø6 </v>
          </cell>
          <cell r="F825" t="str">
            <v>BATA</v>
          </cell>
          <cell r="H825">
            <v>45</v>
          </cell>
        </row>
        <row r="826">
          <cell r="D826" t="str">
            <v>ILALANG 01</v>
          </cell>
          <cell r="E826" t="str">
            <v>Besi ø8</v>
          </cell>
          <cell r="F826" t="str">
            <v>BATA</v>
          </cell>
          <cell r="G826">
            <v>3</v>
          </cell>
          <cell r="H826">
            <v>45</v>
          </cell>
        </row>
        <row r="827">
          <cell r="D827" t="str">
            <v>ILALANG 01</v>
          </cell>
          <cell r="E827" t="str">
            <v>Multiplek</v>
          </cell>
          <cell r="F827" t="str">
            <v>BATA</v>
          </cell>
          <cell r="H827">
            <v>45</v>
          </cell>
        </row>
        <row r="828">
          <cell r="D828" t="str">
            <v>ILALANG 01</v>
          </cell>
          <cell r="E828" t="str">
            <v>Kayu 3/5</v>
          </cell>
          <cell r="F828" t="str">
            <v>BATA</v>
          </cell>
          <cell r="H828">
            <v>45</v>
          </cell>
        </row>
        <row r="829">
          <cell r="D829" t="str">
            <v>ILALANG 01</v>
          </cell>
          <cell r="E829" t="str">
            <v>Bata</v>
          </cell>
          <cell r="F829" t="str">
            <v>BATA</v>
          </cell>
          <cell r="H829">
            <v>45</v>
          </cell>
        </row>
        <row r="830">
          <cell r="D830" t="str">
            <v>ILALANG 01</v>
          </cell>
          <cell r="E830" t="str">
            <v>Cerucuk</v>
          </cell>
          <cell r="F830" t="str">
            <v>BATA</v>
          </cell>
          <cell r="H830">
            <v>45</v>
          </cell>
        </row>
        <row r="831">
          <cell r="D831" t="str">
            <v>ILALANG 01</v>
          </cell>
          <cell r="E831" t="str">
            <v>Papan Mal</v>
          </cell>
          <cell r="F831" t="str">
            <v>BATA</v>
          </cell>
          <cell r="H831">
            <v>45</v>
          </cell>
        </row>
        <row r="832">
          <cell r="D832" t="str">
            <v>ILALANG 02</v>
          </cell>
          <cell r="E832" t="str">
            <v>Papan</v>
          </cell>
          <cell r="F832" t="str">
            <v>BATA</v>
          </cell>
          <cell r="G832">
            <v>29</v>
          </cell>
          <cell r="H832">
            <v>60</v>
          </cell>
        </row>
        <row r="833">
          <cell r="D833" t="str">
            <v>ILALANG 02</v>
          </cell>
          <cell r="E833" t="str">
            <v>Kayu 3/5</v>
          </cell>
          <cell r="F833" t="str">
            <v>BATA</v>
          </cell>
          <cell r="G833">
            <v>31</v>
          </cell>
          <cell r="H833">
            <v>60</v>
          </cell>
        </row>
        <row r="834">
          <cell r="D834" t="str">
            <v>ILALANG 02</v>
          </cell>
          <cell r="E834" t="str">
            <v>Besi ø6</v>
          </cell>
          <cell r="F834" t="str">
            <v>BATA</v>
          </cell>
          <cell r="G834">
            <v>6</v>
          </cell>
          <cell r="H834">
            <v>60</v>
          </cell>
        </row>
        <row r="835">
          <cell r="D835" t="str">
            <v>ILALANG 02</v>
          </cell>
          <cell r="E835" t="str">
            <v xml:space="preserve">Besi ø8 </v>
          </cell>
          <cell r="F835" t="str">
            <v>BATA</v>
          </cell>
          <cell r="G835">
            <v>10</v>
          </cell>
          <cell r="H835">
            <v>60</v>
          </cell>
        </row>
        <row r="836">
          <cell r="D836" t="str">
            <v>ILALANG 02</v>
          </cell>
          <cell r="E836" t="str">
            <v xml:space="preserve">Besi ø6 </v>
          </cell>
          <cell r="F836" t="str">
            <v>BATA</v>
          </cell>
          <cell r="G836">
            <v>3</v>
          </cell>
          <cell r="H836">
            <v>60</v>
          </cell>
        </row>
        <row r="837">
          <cell r="D837" t="str">
            <v>ILALANG 02</v>
          </cell>
          <cell r="E837" t="str">
            <v>Kusen Pintu ( 2 Daun )</v>
          </cell>
          <cell r="F837" t="str">
            <v>BATA</v>
          </cell>
          <cell r="G837">
            <v>3</v>
          </cell>
          <cell r="H837">
            <v>60</v>
          </cell>
        </row>
        <row r="838">
          <cell r="D838" t="str">
            <v>ILALANG 02</v>
          </cell>
          <cell r="E838" t="str">
            <v>Kusen Pintu ( 1 Daun )</v>
          </cell>
          <cell r="F838" t="str">
            <v>BATA</v>
          </cell>
          <cell r="G838">
            <v>1</v>
          </cell>
          <cell r="H838">
            <v>60</v>
          </cell>
        </row>
        <row r="839">
          <cell r="D839" t="str">
            <v>ILALANG 02</v>
          </cell>
          <cell r="E839" t="str">
            <v>Bata</v>
          </cell>
          <cell r="F839" t="str">
            <v>BATA</v>
          </cell>
          <cell r="G839">
            <v>2719</v>
          </cell>
          <cell r="H839">
            <v>60</v>
          </cell>
        </row>
        <row r="840">
          <cell r="D840" t="str">
            <v>ILALANG 02</v>
          </cell>
          <cell r="E840" t="str">
            <v>Semen PCC 40 Kg Tiga Roda</v>
          </cell>
          <cell r="F840" t="str">
            <v>BATA</v>
          </cell>
          <cell r="G840">
            <v>21</v>
          </cell>
          <cell r="H840">
            <v>60</v>
          </cell>
        </row>
        <row r="841">
          <cell r="D841" t="str">
            <v>ILALANG 02</v>
          </cell>
          <cell r="E841" t="str">
            <v>Pasir</v>
          </cell>
          <cell r="F841" t="str">
            <v>BATA</v>
          </cell>
          <cell r="G841">
            <v>4</v>
          </cell>
          <cell r="H841">
            <v>60</v>
          </cell>
        </row>
        <row r="842">
          <cell r="D842" t="str">
            <v>ILALANG 02</v>
          </cell>
          <cell r="E842" t="str">
            <v>Besi ø6</v>
          </cell>
          <cell r="F842" t="str">
            <v>BATA</v>
          </cell>
          <cell r="H842">
            <v>60</v>
          </cell>
        </row>
        <row r="843">
          <cell r="D843" t="str">
            <v>ILALANG 02</v>
          </cell>
          <cell r="E843" t="str">
            <v>Cor Tiang Depan</v>
          </cell>
          <cell r="F843" t="str">
            <v>BATA</v>
          </cell>
          <cell r="H843">
            <v>60</v>
          </cell>
        </row>
        <row r="844">
          <cell r="D844" t="str">
            <v>ILALANG 02</v>
          </cell>
          <cell r="E844" t="str">
            <v>Semen PCC 40 Kg Tiga Roda</v>
          </cell>
          <cell r="F844" t="str">
            <v>BATA</v>
          </cell>
          <cell r="G844">
            <v>3</v>
          </cell>
          <cell r="H844">
            <v>60</v>
          </cell>
        </row>
        <row r="845">
          <cell r="D845" t="str">
            <v>ILALANG 02</v>
          </cell>
          <cell r="E845" t="str">
            <v>Pasir</v>
          </cell>
          <cell r="F845" t="str">
            <v>BATA</v>
          </cell>
          <cell r="G845">
            <v>1</v>
          </cell>
          <cell r="H845">
            <v>60</v>
          </cell>
        </row>
        <row r="846">
          <cell r="D846" t="str">
            <v>ILALANG 02</v>
          </cell>
          <cell r="E846" t="str">
            <v>Batu</v>
          </cell>
          <cell r="F846" t="str">
            <v>BATA</v>
          </cell>
          <cell r="H846">
            <v>60</v>
          </cell>
        </row>
        <row r="847">
          <cell r="D847" t="str">
            <v>ILALANG 02</v>
          </cell>
          <cell r="E847" t="str">
            <v xml:space="preserve">Besi ø6 </v>
          </cell>
          <cell r="F847" t="str">
            <v>BATA</v>
          </cell>
          <cell r="G847">
            <v>1</v>
          </cell>
          <cell r="H847">
            <v>60</v>
          </cell>
        </row>
        <row r="848">
          <cell r="D848" t="str">
            <v>ILALANG 02</v>
          </cell>
          <cell r="E848" t="str">
            <v>Besi ø8</v>
          </cell>
          <cell r="F848" t="str">
            <v>BATA</v>
          </cell>
          <cell r="G848">
            <v>2</v>
          </cell>
          <cell r="H848">
            <v>60</v>
          </cell>
        </row>
        <row r="849">
          <cell r="D849" t="str">
            <v>ILALANG 02</v>
          </cell>
          <cell r="E849" t="str">
            <v>Multiplek</v>
          </cell>
          <cell r="F849" t="str">
            <v>BATA</v>
          </cell>
          <cell r="G849">
            <v>2</v>
          </cell>
          <cell r="H849">
            <v>60</v>
          </cell>
        </row>
        <row r="850">
          <cell r="D850" t="str">
            <v>ILALANG 02</v>
          </cell>
          <cell r="E850" t="str">
            <v>Kayu 3/5</v>
          </cell>
          <cell r="F850" t="str">
            <v>BATA</v>
          </cell>
          <cell r="G850">
            <v>6</v>
          </cell>
          <cell r="H850">
            <v>60</v>
          </cell>
        </row>
        <row r="851">
          <cell r="D851" t="str">
            <v>ILALANG 02</v>
          </cell>
          <cell r="E851" t="str">
            <v>Bata</v>
          </cell>
          <cell r="F851" t="str">
            <v>BATA</v>
          </cell>
          <cell r="H851">
            <v>60</v>
          </cell>
        </row>
        <row r="852">
          <cell r="D852" t="str">
            <v>ILALANG 02</v>
          </cell>
          <cell r="E852" t="str">
            <v>Cerucuk</v>
          </cell>
          <cell r="F852" t="str">
            <v>BATA</v>
          </cell>
          <cell r="G852">
            <v>9</v>
          </cell>
          <cell r="H852">
            <v>60</v>
          </cell>
        </row>
        <row r="853">
          <cell r="D853" t="str">
            <v>ILALANG 02</v>
          </cell>
          <cell r="E853" t="str">
            <v>Papan Mal</v>
          </cell>
          <cell r="F853" t="str">
            <v>BATA</v>
          </cell>
          <cell r="G853">
            <v>8</v>
          </cell>
          <cell r="H853">
            <v>60</v>
          </cell>
        </row>
        <row r="854">
          <cell r="D854" t="str">
            <v>RIDHO 01</v>
          </cell>
          <cell r="E854" t="str">
            <v>Papan</v>
          </cell>
          <cell r="F854" t="str">
            <v>BATA</v>
          </cell>
          <cell r="H854">
            <v>80</v>
          </cell>
        </row>
        <row r="855">
          <cell r="D855" t="str">
            <v>RIDHO 01</v>
          </cell>
          <cell r="E855" t="str">
            <v>Kayu 3/5</v>
          </cell>
          <cell r="F855" t="str">
            <v>BATA</v>
          </cell>
          <cell r="H855">
            <v>80</v>
          </cell>
        </row>
        <row r="856">
          <cell r="D856" t="str">
            <v>RIDHO 01</v>
          </cell>
          <cell r="E856" t="str">
            <v>Besi ø6</v>
          </cell>
          <cell r="F856" t="str">
            <v>BATA</v>
          </cell>
          <cell r="H856">
            <v>80</v>
          </cell>
        </row>
        <row r="857">
          <cell r="D857" t="str">
            <v>RIDHO 01</v>
          </cell>
          <cell r="E857" t="str">
            <v xml:space="preserve">Besi ø8 </v>
          </cell>
          <cell r="F857" t="str">
            <v>BATA</v>
          </cell>
          <cell r="H857">
            <v>80</v>
          </cell>
        </row>
        <row r="858">
          <cell r="D858" t="str">
            <v>RIDHO 01</v>
          </cell>
          <cell r="E858" t="str">
            <v xml:space="preserve">Besi ø6 </v>
          </cell>
          <cell r="F858" t="str">
            <v>BATA</v>
          </cell>
          <cell r="H858">
            <v>80</v>
          </cell>
        </row>
        <row r="859">
          <cell r="D859" t="str">
            <v>RIDHO 01</v>
          </cell>
          <cell r="E859" t="str">
            <v>Kusen Pintu ( 2 Daun )</v>
          </cell>
          <cell r="F859" t="str">
            <v>BATA</v>
          </cell>
          <cell r="H859">
            <v>80</v>
          </cell>
        </row>
        <row r="860">
          <cell r="D860" t="str">
            <v>RIDHO 01</v>
          </cell>
          <cell r="E860" t="str">
            <v>Kusen Pintu ( 1 Daun )</v>
          </cell>
          <cell r="F860" t="str">
            <v>BATA</v>
          </cell>
          <cell r="H860">
            <v>80</v>
          </cell>
        </row>
        <row r="861">
          <cell r="D861" t="str">
            <v>RIDHO 01</v>
          </cell>
          <cell r="E861" t="str">
            <v>Bata</v>
          </cell>
          <cell r="F861" t="str">
            <v>BATA</v>
          </cell>
          <cell r="H861">
            <v>80</v>
          </cell>
        </row>
        <row r="862">
          <cell r="D862" t="str">
            <v>RIDHO 01</v>
          </cell>
          <cell r="E862" t="str">
            <v>Semen PCC 40 Kg Tiga Roda</v>
          </cell>
          <cell r="F862" t="str">
            <v>BATA</v>
          </cell>
          <cell r="G862">
            <v>4</v>
          </cell>
          <cell r="H862">
            <v>80</v>
          </cell>
        </row>
        <row r="863">
          <cell r="D863" t="str">
            <v>RIDHO 01</v>
          </cell>
          <cell r="E863" t="str">
            <v>Pasir</v>
          </cell>
          <cell r="F863" t="str">
            <v>BATA</v>
          </cell>
          <cell r="G863">
            <v>1</v>
          </cell>
          <cell r="H863">
            <v>80</v>
          </cell>
        </row>
        <row r="864">
          <cell r="D864" t="str">
            <v>RIDHO 01</v>
          </cell>
          <cell r="E864" t="str">
            <v>Besi ø6</v>
          </cell>
          <cell r="F864" t="str">
            <v>BATA</v>
          </cell>
          <cell r="H864">
            <v>80</v>
          </cell>
        </row>
        <row r="865">
          <cell r="D865" t="str">
            <v>RIDHO 01</v>
          </cell>
          <cell r="E865" t="str">
            <v>Cor Tiang Depan</v>
          </cell>
          <cell r="F865" t="str">
            <v>BATA</v>
          </cell>
          <cell r="H865">
            <v>80</v>
          </cell>
        </row>
        <row r="866">
          <cell r="D866" t="str">
            <v>RIDHO 01</v>
          </cell>
          <cell r="E866" t="str">
            <v>Semen PCC 40 Kg Tiga Roda</v>
          </cell>
          <cell r="F866" t="str">
            <v>BATA</v>
          </cell>
          <cell r="H866">
            <v>80</v>
          </cell>
        </row>
        <row r="867">
          <cell r="D867" t="str">
            <v>RIDHO 01</v>
          </cell>
          <cell r="E867" t="str">
            <v>Pasir</v>
          </cell>
          <cell r="F867" t="str">
            <v>BATA</v>
          </cell>
          <cell r="H867">
            <v>80</v>
          </cell>
        </row>
        <row r="868">
          <cell r="D868" t="str">
            <v>RIDHO 01</v>
          </cell>
          <cell r="E868" t="str">
            <v>Batu</v>
          </cell>
          <cell r="F868" t="str">
            <v>BATA</v>
          </cell>
          <cell r="H868">
            <v>80</v>
          </cell>
        </row>
        <row r="869">
          <cell r="D869" t="str">
            <v>RIDHO 01</v>
          </cell>
          <cell r="E869" t="str">
            <v xml:space="preserve">Besi ø6 </v>
          </cell>
          <cell r="F869" t="str">
            <v>BATA</v>
          </cell>
          <cell r="H869">
            <v>80</v>
          </cell>
        </row>
        <row r="870">
          <cell r="D870" t="str">
            <v>RIDHO 01</v>
          </cell>
          <cell r="E870" t="str">
            <v>Besi ø8</v>
          </cell>
          <cell r="F870" t="str">
            <v>BATA</v>
          </cell>
          <cell r="H870">
            <v>80</v>
          </cell>
        </row>
        <row r="871">
          <cell r="D871" t="str">
            <v>RIDHO 01</v>
          </cell>
          <cell r="E871" t="str">
            <v>Multiplek</v>
          </cell>
          <cell r="F871" t="str">
            <v>BATA</v>
          </cell>
          <cell r="H871">
            <v>80</v>
          </cell>
        </row>
        <row r="872">
          <cell r="D872" t="str">
            <v>RIDHO 01</v>
          </cell>
          <cell r="E872" t="str">
            <v>Kayu 3/5</v>
          </cell>
          <cell r="F872" t="str">
            <v>BATA</v>
          </cell>
          <cell r="H872">
            <v>80</v>
          </cell>
        </row>
        <row r="873">
          <cell r="D873" t="str">
            <v>RIDHO 01</v>
          </cell>
          <cell r="E873" t="str">
            <v>Bata</v>
          </cell>
          <cell r="F873" t="str">
            <v>BATA</v>
          </cell>
          <cell r="H873">
            <v>80</v>
          </cell>
        </row>
        <row r="874">
          <cell r="D874" t="str">
            <v>RIDHO 01</v>
          </cell>
          <cell r="E874" t="str">
            <v>Cerucuk</v>
          </cell>
          <cell r="F874" t="str">
            <v>BATA</v>
          </cell>
          <cell r="H874">
            <v>80</v>
          </cell>
        </row>
        <row r="875">
          <cell r="D875" t="str">
            <v>RIDHO 01</v>
          </cell>
          <cell r="E875" t="str">
            <v>Papan Mal</v>
          </cell>
          <cell r="F875" t="str">
            <v>BATA</v>
          </cell>
          <cell r="H875">
            <v>80</v>
          </cell>
        </row>
        <row r="876">
          <cell r="D876" t="str">
            <v>DAMAI 3 03</v>
          </cell>
          <cell r="E876" t="str">
            <v>Semen PCC 40 Kg Tiga Roda</v>
          </cell>
          <cell r="F876" t="str">
            <v>CARPORT</v>
          </cell>
          <cell r="G876">
            <v>8</v>
          </cell>
          <cell r="H876">
            <v>45</v>
          </cell>
        </row>
        <row r="877">
          <cell r="D877" t="str">
            <v>DAMAI 3 03</v>
          </cell>
          <cell r="E877" t="str">
            <v>Kayu 3/5</v>
          </cell>
          <cell r="F877" t="str">
            <v>CARPORT</v>
          </cell>
          <cell r="G877">
            <v>2</v>
          </cell>
          <cell r="H877">
            <v>45</v>
          </cell>
        </row>
        <row r="878">
          <cell r="D878" t="str">
            <v>DAMAI 3 03</v>
          </cell>
          <cell r="E878" t="str">
            <v>Cerucuk</v>
          </cell>
          <cell r="F878" t="str">
            <v>CARPORT</v>
          </cell>
          <cell r="G878">
            <v>2</v>
          </cell>
          <cell r="H878">
            <v>45</v>
          </cell>
        </row>
        <row r="879">
          <cell r="D879" t="str">
            <v>DAMAI 3 03</v>
          </cell>
          <cell r="E879" t="str">
            <v>Papan Mal</v>
          </cell>
          <cell r="F879" t="str">
            <v>CARPORT</v>
          </cell>
          <cell r="G879">
            <v>5</v>
          </cell>
          <cell r="H879">
            <v>45</v>
          </cell>
        </row>
        <row r="880">
          <cell r="D880" t="str">
            <v>DAMAI 3 03</v>
          </cell>
          <cell r="E880" t="str">
            <v>Plastik cor</v>
          </cell>
          <cell r="F880" t="str">
            <v>CARPORT</v>
          </cell>
          <cell r="G880">
            <v>6</v>
          </cell>
          <cell r="H880">
            <v>45</v>
          </cell>
        </row>
        <row r="881">
          <cell r="D881" t="str">
            <v>DAMAI 3 03</v>
          </cell>
          <cell r="E881" t="str">
            <v>Besi ø6</v>
          </cell>
          <cell r="F881" t="str">
            <v>CARPORT</v>
          </cell>
          <cell r="G881">
            <v>1</v>
          </cell>
          <cell r="H881">
            <v>45</v>
          </cell>
        </row>
        <row r="882">
          <cell r="D882" t="str">
            <v>DAMAI 3 03</v>
          </cell>
          <cell r="E882" t="str">
            <v>Besi ø8</v>
          </cell>
          <cell r="F882" t="str">
            <v>CARPORT</v>
          </cell>
          <cell r="G882">
            <v>2</v>
          </cell>
          <cell r="H882">
            <v>45</v>
          </cell>
        </row>
        <row r="883">
          <cell r="D883" t="str">
            <v>DAMAI 3 03</v>
          </cell>
          <cell r="E883" t="str">
            <v>Batu</v>
          </cell>
          <cell r="F883" t="str">
            <v>CARPORT</v>
          </cell>
          <cell r="G883">
            <v>0.5</v>
          </cell>
          <cell r="H883">
            <v>45</v>
          </cell>
        </row>
        <row r="884">
          <cell r="D884" t="str">
            <v>DAMAI 3 03</v>
          </cell>
          <cell r="E884" t="str">
            <v>Pasir</v>
          </cell>
          <cell r="F884" t="str">
            <v>CARPORT</v>
          </cell>
          <cell r="G884">
            <v>5</v>
          </cell>
          <cell r="H884">
            <v>45</v>
          </cell>
        </row>
        <row r="885">
          <cell r="D885" t="str">
            <v>DAMAI 3 03</v>
          </cell>
          <cell r="E885" t="str">
            <v>Keramik 60 x 60 Blackmatt</v>
          </cell>
          <cell r="F885" t="str">
            <v>CARPORT</v>
          </cell>
          <cell r="H885">
            <v>45</v>
          </cell>
        </row>
        <row r="886">
          <cell r="D886" t="str">
            <v>DAMAI 3 03</v>
          </cell>
          <cell r="E886" t="str">
            <v>Semen PCC 40 Kg Tiga Roda</v>
          </cell>
          <cell r="F886" t="str">
            <v>MINIMALIS CARPORT</v>
          </cell>
          <cell r="G886">
            <v>22</v>
          </cell>
          <cell r="H886">
            <v>45</v>
          </cell>
        </row>
        <row r="887">
          <cell r="D887" t="str">
            <v>DAMAI 3 03</v>
          </cell>
          <cell r="E887" t="str">
            <v>Pasir</v>
          </cell>
          <cell r="F887" t="str">
            <v>MINIMALIS CARPORT</v>
          </cell>
          <cell r="G887">
            <v>5</v>
          </cell>
          <cell r="H887">
            <v>45</v>
          </cell>
        </row>
        <row r="888">
          <cell r="D888" t="str">
            <v>DAMAI 3 04</v>
          </cell>
          <cell r="E888" t="str">
            <v>Keramik 60 x 60 Cream</v>
          </cell>
          <cell r="F888" t="str">
            <v>KERAMIK</v>
          </cell>
          <cell r="G888">
            <v>29</v>
          </cell>
          <cell r="H888">
            <v>45</v>
          </cell>
        </row>
        <row r="889">
          <cell r="D889" t="str">
            <v>DAMAI 3 04</v>
          </cell>
          <cell r="E889" t="str">
            <v>Keramik 60 x 60 Blackmatt</v>
          </cell>
          <cell r="F889" t="str">
            <v>KERAMIK</v>
          </cell>
          <cell r="G889">
            <v>4</v>
          </cell>
          <cell r="H889">
            <v>45</v>
          </cell>
        </row>
        <row r="890">
          <cell r="D890" t="str">
            <v>DAMAI 3 04</v>
          </cell>
          <cell r="E890" t="str">
            <v>Pasir</v>
          </cell>
          <cell r="F890" t="str">
            <v>KERAMIK</v>
          </cell>
          <cell r="G890">
            <v>6</v>
          </cell>
          <cell r="H890">
            <v>45</v>
          </cell>
        </row>
        <row r="891">
          <cell r="D891" t="str">
            <v>DAMAI 3 04</v>
          </cell>
          <cell r="E891" t="str">
            <v>Semen PCC 40 Kg Tiga Roda</v>
          </cell>
          <cell r="F891" t="str">
            <v>KERAMIK</v>
          </cell>
          <cell r="G891">
            <v>18</v>
          </cell>
          <cell r="H891">
            <v>45</v>
          </cell>
        </row>
        <row r="892">
          <cell r="D892" t="str">
            <v>DAMAI 3 04</v>
          </cell>
          <cell r="E892" t="str">
            <v>Oker</v>
          </cell>
          <cell r="F892" t="str">
            <v>KERAMIK</v>
          </cell>
          <cell r="G892">
            <v>1</v>
          </cell>
          <cell r="H892">
            <v>45</v>
          </cell>
        </row>
        <row r="893">
          <cell r="D893" t="str">
            <v>SUKABASUKI</v>
          </cell>
          <cell r="E893" t="str">
            <v>Bata</v>
          </cell>
          <cell r="F893" t="str">
            <v>PAGAR</v>
          </cell>
          <cell r="G893">
            <v>2562</v>
          </cell>
          <cell r="H893">
            <v>100</v>
          </cell>
        </row>
        <row r="894">
          <cell r="D894" t="str">
            <v>SUKABASUKI</v>
          </cell>
          <cell r="E894" t="str">
            <v>Pasir</v>
          </cell>
          <cell r="F894" t="str">
            <v>PAGAR</v>
          </cell>
          <cell r="G894">
            <v>5</v>
          </cell>
          <cell r="H894">
            <v>100</v>
          </cell>
        </row>
        <row r="895">
          <cell r="D895" t="str">
            <v>SUKABASUKI</v>
          </cell>
          <cell r="E895" t="str">
            <v>Semen PCC 40 Kg Tiga Roda</v>
          </cell>
          <cell r="F895" t="str">
            <v>PAGAR</v>
          </cell>
          <cell r="G895">
            <v>32</v>
          </cell>
          <cell r="H895">
            <v>100</v>
          </cell>
        </row>
        <row r="896">
          <cell r="D896" t="str">
            <v>SUKABASUKI</v>
          </cell>
          <cell r="E896" t="str">
            <v xml:space="preserve">Besi ø6 </v>
          </cell>
          <cell r="F896" t="str">
            <v>PAGAR</v>
          </cell>
          <cell r="G896">
            <v>4</v>
          </cell>
          <cell r="H896">
            <v>100</v>
          </cell>
        </row>
        <row r="897">
          <cell r="D897" t="str">
            <v>SUKABASUKI</v>
          </cell>
          <cell r="E897" t="str">
            <v>Besi ø8</v>
          </cell>
          <cell r="F897" t="str">
            <v>PAGAR</v>
          </cell>
          <cell r="G897">
            <v>4</v>
          </cell>
          <cell r="H897">
            <v>100</v>
          </cell>
        </row>
        <row r="898">
          <cell r="D898" t="str">
            <v>KARYA 01</v>
          </cell>
          <cell r="E898" t="str">
            <v>Besi ø6</v>
          </cell>
          <cell r="F898" t="str">
            <v>PONDASI</v>
          </cell>
          <cell r="G898">
            <v>13</v>
          </cell>
          <cell r="H898">
            <v>55</v>
          </cell>
        </row>
        <row r="899">
          <cell r="D899" t="str">
            <v>KARYA 01</v>
          </cell>
          <cell r="E899" t="str">
            <v>Besi ø8 Ulir</v>
          </cell>
          <cell r="F899" t="str">
            <v>PONDASI</v>
          </cell>
          <cell r="G899">
            <v>35</v>
          </cell>
          <cell r="H899">
            <v>55</v>
          </cell>
        </row>
        <row r="900">
          <cell r="D900" t="str">
            <v>KARYA 01</v>
          </cell>
          <cell r="E900" t="str">
            <v>Kayu 3/5</v>
          </cell>
          <cell r="F900" t="str">
            <v>PONDASI</v>
          </cell>
          <cell r="G900">
            <v>38</v>
          </cell>
          <cell r="H900">
            <v>55</v>
          </cell>
        </row>
        <row r="901">
          <cell r="D901" t="str">
            <v>KARYA 01</v>
          </cell>
          <cell r="E901" t="str">
            <v>Cerucuk</v>
          </cell>
          <cell r="F901" t="str">
            <v>PONDASI</v>
          </cell>
          <cell r="G901">
            <v>81</v>
          </cell>
          <cell r="H901">
            <v>55</v>
          </cell>
        </row>
        <row r="902">
          <cell r="D902" t="str">
            <v>KARYA 01</v>
          </cell>
          <cell r="E902" t="str">
            <v>Papan Mal</v>
          </cell>
          <cell r="F902" t="str">
            <v>PONDASI</v>
          </cell>
          <cell r="G902">
            <v>180</v>
          </cell>
          <cell r="H902">
            <v>55</v>
          </cell>
        </row>
        <row r="903">
          <cell r="D903" t="str">
            <v>KARYA 01</v>
          </cell>
          <cell r="E903" t="str">
            <v xml:space="preserve">Pasir </v>
          </cell>
          <cell r="F903" t="str">
            <v>PONDASI</v>
          </cell>
          <cell r="G903">
            <v>6</v>
          </cell>
          <cell r="H903">
            <v>55</v>
          </cell>
        </row>
        <row r="904">
          <cell r="D904" t="str">
            <v>KARYA 01</v>
          </cell>
          <cell r="E904" t="str">
            <v>Batu</v>
          </cell>
          <cell r="F904" t="str">
            <v>PONDASI</v>
          </cell>
          <cell r="G904">
            <v>2</v>
          </cell>
          <cell r="H904">
            <v>55</v>
          </cell>
        </row>
        <row r="905">
          <cell r="D905" t="str">
            <v>KARYA 01</v>
          </cell>
          <cell r="E905" t="str">
            <v>Semen PCC 40 Kg Tiga Roda</v>
          </cell>
          <cell r="F905" t="str">
            <v>PONDASI</v>
          </cell>
          <cell r="G905">
            <v>39</v>
          </cell>
          <cell r="H905">
            <v>55</v>
          </cell>
        </row>
        <row r="906">
          <cell r="D906" t="str">
            <v>KARYA 01</v>
          </cell>
          <cell r="E906" t="str">
            <v xml:space="preserve">Pasir </v>
          </cell>
          <cell r="F906" t="str">
            <v>URUG</v>
          </cell>
          <cell r="G906">
            <v>16</v>
          </cell>
          <cell r="H906">
            <v>55</v>
          </cell>
        </row>
        <row r="907">
          <cell r="D907" t="str">
            <v>KARYA 01</v>
          </cell>
          <cell r="E907" t="str">
            <v>Pipa 4"</v>
          </cell>
          <cell r="F907" t="str">
            <v>URUG</v>
          </cell>
          <cell r="G907">
            <v>2</v>
          </cell>
          <cell r="H907">
            <v>55</v>
          </cell>
        </row>
        <row r="908">
          <cell r="D908" t="str">
            <v>KARYA 01</v>
          </cell>
          <cell r="E908" t="str">
            <v>Pipa 2"</v>
          </cell>
          <cell r="F908" t="str">
            <v>URUG</v>
          </cell>
          <cell r="G908">
            <v>2</v>
          </cell>
          <cell r="H908">
            <v>55</v>
          </cell>
        </row>
        <row r="909">
          <cell r="D909" t="str">
            <v>KARYA 02</v>
          </cell>
          <cell r="E909" t="str">
            <v>Mowilex weathercoat</v>
          </cell>
          <cell r="F909" t="str">
            <v>CAT</v>
          </cell>
          <cell r="G909">
            <v>1</v>
          </cell>
          <cell r="H909">
            <v>60</v>
          </cell>
        </row>
        <row r="910">
          <cell r="D910" t="str">
            <v>KARYA 02</v>
          </cell>
          <cell r="E910" t="str">
            <v>Nippon pain  Q--luc</v>
          </cell>
          <cell r="F910" t="str">
            <v>CAT</v>
          </cell>
          <cell r="G910">
            <v>7</v>
          </cell>
          <cell r="H910">
            <v>60</v>
          </cell>
        </row>
        <row r="911">
          <cell r="D911" t="str">
            <v>KARYA 02</v>
          </cell>
          <cell r="E911" t="str">
            <v>Semen TR-30 40 Kg Tiga Roda</v>
          </cell>
          <cell r="F911" t="str">
            <v>CAT</v>
          </cell>
          <cell r="G911">
            <v>17</v>
          </cell>
          <cell r="H911">
            <v>60</v>
          </cell>
        </row>
        <row r="912">
          <cell r="D912" t="str">
            <v>KARYA 02</v>
          </cell>
          <cell r="E912" t="str">
            <v>Semen Aci Putih 25 kg</v>
          </cell>
          <cell r="F912" t="str">
            <v>CAT</v>
          </cell>
          <cell r="G912">
            <v>4</v>
          </cell>
          <cell r="H912">
            <v>60</v>
          </cell>
        </row>
        <row r="913">
          <cell r="D913" t="str">
            <v>KARYA 02</v>
          </cell>
          <cell r="E913" t="str">
            <v>Semen PCC 40 Kg Tiga Roda</v>
          </cell>
          <cell r="F913" t="str">
            <v>CARPORT</v>
          </cell>
          <cell r="G913">
            <v>4</v>
          </cell>
          <cell r="H913">
            <v>60</v>
          </cell>
        </row>
        <row r="914">
          <cell r="D914" t="str">
            <v>KARYA 02</v>
          </cell>
          <cell r="E914" t="str">
            <v>Kayu 3/5</v>
          </cell>
          <cell r="F914" t="str">
            <v>CARPORT</v>
          </cell>
          <cell r="G914">
            <v>1</v>
          </cell>
          <cell r="H914">
            <v>60</v>
          </cell>
        </row>
        <row r="915">
          <cell r="D915" t="str">
            <v>KARYA 02</v>
          </cell>
          <cell r="E915" t="str">
            <v>Cerucuk</v>
          </cell>
          <cell r="F915" t="str">
            <v>CARPORT</v>
          </cell>
          <cell r="H915">
            <v>60</v>
          </cell>
        </row>
        <row r="916">
          <cell r="D916" t="str">
            <v>KARYA 02</v>
          </cell>
          <cell r="E916" t="str">
            <v>Papan Mal</v>
          </cell>
          <cell r="F916" t="str">
            <v>CARPORT</v>
          </cell>
          <cell r="G916">
            <v>5</v>
          </cell>
          <cell r="H916">
            <v>60</v>
          </cell>
        </row>
        <row r="917">
          <cell r="D917" t="str">
            <v>KARYA 02</v>
          </cell>
          <cell r="E917" t="str">
            <v>Plastik cor</v>
          </cell>
          <cell r="F917" t="str">
            <v>CARPORT</v>
          </cell>
          <cell r="G917">
            <v>6</v>
          </cell>
          <cell r="H917">
            <v>60</v>
          </cell>
        </row>
        <row r="918">
          <cell r="D918" t="str">
            <v>KARYA 02</v>
          </cell>
          <cell r="E918" t="str">
            <v>Besi ø6</v>
          </cell>
          <cell r="F918" t="str">
            <v>CARPORT</v>
          </cell>
          <cell r="H918">
            <v>60</v>
          </cell>
        </row>
        <row r="919">
          <cell r="D919" t="str">
            <v>KARYA 02</v>
          </cell>
          <cell r="E919" t="str">
            <v>Besi ø8</v>
          </cell>
          <cell r="F919" t="str">
            <v>CARPORT</v>
          </cell>
          <cell r="G919">
            <v>1</v>
          </cell>
          <cell r="H919">
            <v>60</v>
          </cell>
        </row>
        <row r="920">
          <cell r="D920" t="str">
            <v>KARYA 02</v>
          </cell>
          <cell r="E920" t="str">
            <v>Batu</v>
          </cell>
          <cell r="F920" t="str">
            <v>CARPORT</v>
          </cell>
          <cell r="G920">
            <v>1</v>
          </cell>
          <cell r="H920">
            <v>60</v>
          </cell>
        </row>
        <row r="921">
          <cell r="D921" t="str">
            <v>KARYA 02</v>
          </cell>
          <cell r="E921" t="str">
            <v>Pasir</v>
          </cell>
          <cell r="F921" t="str">
            <v>CARPORT</v>
          </cell>
          <cell r="G921">
            <v>1</v>
          </cell>
          <cell r="H921">
            <v>60</v>
          </cell>
        </row>
        <row r="922">
          <cell r="D922" t="str">
            <v>KARYA 03</v>
          </cell>
          <cell r="E922" t="str">
            <v>Besi ø6</v>
          </cell>
          <cell r="F922" t="str">
            <v>PONDASI</v>
          </cell>
          <cell r="G922">
            <v>13</v>
          </cell>
          <cell r="H922">
            <v>55</v>
          </cell>
        </row>
        <row r="923">
          <cell r="D923" t="str">
            <v>KARYA 03</v>
          </cell>
          <cell r="E923" t="str">
            <v>Besi ø8 Ulir</v>
          </cell>
          <cell r="F923" t="str">
            <v>PONDASI</v>
          </cell>
          <cell r="G923">
            <v>45</v>
          </cell>
          <cell r="H923">
            <v>55</v>
          </cell>
        </row>
        <row r="924">
          <cell r="D924" t="str">
            <v>KARYA 03</v>
          </cell>
          <cell r="E924" t="str">
            <v>Kayu 3/5</v>
          </cell>
          <cell r="F924" t="str">
            <v>PONDASI</v>
          </cell>
          <cell r="G924">
            <v>38</v>
          </cell>
          <cell r="H924">
            <v>55</v>
          </cell>
        </row>
        <row r="925">
          <cell r="D925" t="str">
            <v>KARYA 03</v>
          </cell>
          <cell r="E925" t="str">
            <v>Cerucuk</v>
          </cell>
          <cell r="F925" t="str">
            <v>PONDASI</v>
          </cell>
          <cell r="G925">
            <v>81</v>
          </cell>
          <cell r="H925">
            <v>55</v>
          </cell>
        </row>
        <row r="926">
          <cell r="D926" t="str">
            <v>KARYA 03</v>
          </cell>
          <cell r="E926" t="str">
            <v>Papan Mal</v>
          </cell>
          <cell r="F926" t="str">
            <v>PONDASI</v>
          </cell>
          <cell r="G926">
            <v>180</v>
          </cell>
          <cell r="H926">
            <v>55</v>
          </cell>
        </row>
        <row r="927">
          <cell r="D927" t="str">
            <v>KARYA 03</v>
          </cell>
          <cell r="E927" t="str">
            <v xml:space="preserve">Pasir </v>
          </cell>
          <cell r="F927" t="str">
            <v>PONDASI</v>
          </cell>
          <cell r="G927">
            <v>7</v>
          </cell>
          <cell r="H927">
            <v>55</v>
          </cell>
        </row>
        <row r="928">
          <cell r="D928" t="str">
            <v>KARYA 03</v>
          </cell>
          <cell r="E928" t="str">
            <v>Batu</v>
          </cell>
          <cell r="F928" t="str">
            <v>PONDASI</v>
          </cell>
          <cell r="G928">
            <v>1</v>
          </cell>
          <cell r="H928">
            <v>55</v>
          </cell>
        </row>
        <row r="929">
          <cell r="D929" t="str">
            <v>KARYA 03</v>
          </cell>
          <cell r="E929" t="str">
            <v>Semen PCC 40 Kg Tiga Roda</v>
          </cell>
          <cell r="F929" t="str">
            <v>PONDASI</v>
          </cell>
          <cell r="G929">
            <v>33</v>
          </cell>
          <cell r="H929">
            <v>55</v>
          </cell>
        </row>
        <row r="930">
          <cell r="D930" t="str">
            <v>KARYA 03</v>
          </cell>
          <cell r="E930" t="str">
            <v>Semen PCC 40 Kg Tiga Roda</v>
          </cell>
          <cell r="F930" t="str">
            <v>CARPORT</v>
          </cell>
          <cell r="G930">
            <v>11</v>
          </cell>
          <cell r="H930">
            <v>55</v>
          </cell>
        </row>
        <row r="931">
          <cell r="D931" t="str">
            <v>KARYA 03</v>
          </cell>
          <cell r="E931" t="str">
            <v>Kayu 3/5</v>
          </cell>
          <cell r="F931" t="str">
            <v>CARPORT</v>
          </cell>
          <cell r="G931">
            <v>8</v>
          </cell>
          <cell r="H931">
            <v>55</v>
          </cell>
        </row>
        <row r="932">
          <cell r="D932" t="str">
            <v>KARYA 03</v>
          </cell>
          <cell r="E932" t="str">
            <v>Cerucuk</v>
          </cell>
          <cell r="F932" t="str">
            <v>CARPORT</v>
          </cell>
          <cell r="G932">
            <v>5</v>
          </cell>
          <cell r="H932">
            <v>55</v>
          </cell>
        </row>
        <row r="933">
          <cell r="D933" t="str">
            <v>KARYA 03</v>
          </cell>
          <cell r="E933" t="str">
            <v>Papan Mal</v>
          </cell>
          <cell r="F933" t="str">
            <v>CARPORT</v>
          </cell>
          <cell r="G933">
            <v>15</v>
          </cell>
          <cell r="H933">
            <v>55</v>
          </cell>
        </row>
        <row r="934">
          <cell r="D934" t="str">
            <v>KARYA 03</v>
          </cell>
          <cell r="E934" t="str">
            <v>Plastik cor</v>
          </cell>
          <cell r="F934" t="str">
            <v>CARPORT</v>
          </cell>
          <cell r="G934">
            <v>7</v>
          </cell>
          <cell r="H934">
            <v>55</v>
          </cell>
        </row>
        <row r="935">
          <cell r="D935" t="str">
            <v>KARYA 03</v>
          </cell>
          <cell r="E935" t="str">
            <v>Besi ø6</v>
          </cell>
          <cell r="F935" t="str">
            <v>CARPORT</v>
          </cell>
          <cell r="G935">
            <v>2</v>
          </cell>
          <cell r="H935">
            <v>55</v>
          </cell>
        </row>
        <row r="936">
          <cell r="D936" t="str">
            <v>KARYA 03</v>
          </cell>
          <cell r="E936" t="str">
            <v>Besi ø8</v>
          </cell>
          <cell r="F936" t="str">
            <v>CARPORT</v>
          </cell>
          <cell r="G936">
            <v>3</v>
          </cell>
          <cell r="H936">
            <v>55</v>
          </cell>
        </row>
        <row r="937">
          <cell r="D937" t="str">
            <v>KARYA 03</v>
          </cell>
          <cell r="E937" t="str">
            <v>Batu</v>
          </cell>
          <cell r="F937" t="str">
            <v>CARPORT</v>
          </cell>
          <cell r="G937">
            <v>0.5</v>
          </cell>
          <cell r="H937">
            <v>55</v>
          </cell>
        </row>
        <row r="938">
          <cell r="D938" t="str">
            <v>KARYA 03</v>
          </cell>
          <cell r="E938" t="str">
            <v>Pasir</v>
          </cell>
          <cell r="F938" t="str">
            <v>CARPORT</v>
          </cell>
          <cell r="G938">
            <v>5</v>
          </cell>
          <cell r="H938">
            <v>55</v>
          </cell>
        </row>
        <row r="939">
          <cell r="D939" t="str">
            <v>KARYA 03</v>
          </cell>
          <cell r="E939" t="str">
            <v>Keramik 60 x 60 Blackmatt</v>
          </cell>
          <cell r="F939" t="str">
            <v>CARPORT</v>
          </cell>
          <cell r="H939">
            <v>55</v>
          </cell>
        </row>
        <row r="940">
          <cell r="D940" t="str">
            <v>KARYA 04</v>
          </cell>
          <cell r="E940" t="str">
            <v>Kayu 3/5</v>
          </cell>
          <cell r="F940" t="str">
            <v>DEK</v>
          </cell>
          <cell r="G940">
            <v>95</v>
          </cell>
          <cell r="H940">
            <v>55</v>
          </cell>
        </row>
        <row r="941">
          <cell r="D941" t="str">
            <v>KARYA 04</v>
          </cell>
          <cell r="E941" t="str">
            <v>Gypsum</v>
          </cell>
          <cell r="F941" t="str">
            <v>DEK</v>
          </cell>
          <cell r="G941">
            <v>23</v>
          </cell>
          <cell r="H941">
            <v>55</v>
          </cell>
        </row>
        <row r="942">
          <cell r="D942" t="str">
            <v>KARYA 04</v>
          </cell>
          <cell r="E942" t="str">
            <v>Baut</v>
          </cell>
          <cell r="F942" t="str">
            <v>DEK</v>
          </cell>
          <cell r="G942">
            <v>4</v>
          </cell>
          <cell r="H942">
            <v>55</v>
          </cell>
        </row>
        <row r="943">
          <cell r="D943" t="str">
            <v>KARYA 04</v>
          </cell>
          <cell r="E943" t="str">
            <v>Paku Beton 4 inch</v>
          </cell>
          <cell r="F943" t="str">
            <v>DEK</v>
          </cell>
          <cell r="G943">
            <v>1</v>
          </cell>
          <cell r="H943">
            <v>55</v>
          </cell>
        </row>
        <row r="944">
          <cell r="D944" t="str">
            <v>KARYA 04</v>
          </cell>
          <cell r="E944" t="str">
            <v>Paku 3 imch</v>
          </cell>
          <cell r="F944" t="str">
            <v>DEK</v>
          </cell>
          <cell r="G944">
            <v>1</v>
          </cell>
          <cell r="H944">
            <v>55</v>
          </cell>
        </row>
        <row r="945">
          <cell r="D945" t="str">
            <v>KARYA 04</v>
          </cell>
          <cell r="E945" t="str">
            <v>paku 2 inch</v>
          </cell>
          <cell r="F945" t="str">
            <v>DEK</v>
          </cell>
          <cell r="G945">
            <v>1</v>
          </cell>
          <cell r="H945">
            <v>55</v>
          </cell>
        </row>
        <row r="946">
          <cell r="D946" t="str">
            <v>KARYA 04</v>
          </cell>
          <cell r="E946" t="str">
            <v>Keramik 60 x 60 Cream</v>
          </cell>
          <cell r="F946" t="str">
            <v>KERAMIK</v>
          </cell>
          <cell r="G946">
            <v>35</v>
          </cell>
          <cell r="H946">
            <v>55</v>
          </cell>
        </row>
        <row r="947">
          <cell r="D947" t="str">
            <v>KARYA 04</v>
          </cell>
          <cell r="E947" t="str">
            <v>Keramik 60 x 60 Blackmatt</v>
          </cell>
          <cell r="F947" t="str">
            <v>KERAMIK</v>
          </cell>
          <cell r="G947">
            <v>4</v>
          </cell>
          <cell r="H947">
            <v>55</v>
          </cell>
        </row>
        <row r="948">
          <cell r="D948" t="str">
            <v>KARYA 04</v>
          </cell>
          <cell r="E948" t="str">
            <v>Pasir</v>
          </cell>
          <cell r="F948" t="str">
            <v>KERAMIK</v>
          </cell>
          <cell r="G948">
            <v>3</v>
          </cell>
          <cell r="H948">
            <v>55</v>
          </cell>
        </row>
        <row r="949">
          <cell r="D949" t="str">
            <v>KARYA 04</v>
          </cell>
          <cell r="E949" t="str">
            <v>Semen PCC 40 Kg Tiga Roda</v>
          </cell>
          <cell r="F949" t="str">
            <v>KERAMIK</v>
          </cell>
          <cell r="G949">
            <v>24</v>
          </cell>
          <cell r="H949">
            <v>55</v>
          </cell>
        </row>
        <row r="950">
          <cell r="D950" t="str">
            <v>KARYA 04</v>
          </cell>
          <cell r="E950" t="str">
            <v>Oker</v>
          </cell>
          <cell r="F950" t="str">
            <v>KERAMIK</v>
          </cell>
          <cell r="G950">
            <v>5</v>
          </cell>
          <cell r="H950">
            <v>55</v>
          </cell>
        </row>
        <row r="951">
          <cell r="D951" t="str">
            <v>KARYA 04</v>
          </cell>
          <cell r="E951" t="str">
            <v xml:space="preserve">Keramik 30 x 30 </v>
          </cell>
          <cell r="F951" t="str">
            <v>WC</v>
          </cell>
          <cell r="G951">
            <v>6</v>
          </cell>
          <cell r="H951">
            <v>55</v>
          </cell>
        </row>
        <row r="952">
          <cell r="D952" t="str">
            <v>KARYA 04</v>
          </cell>
          <cell r="E952" t="str">
            <v>Keramik 25 x 40</v>
          </cell>
          <cell r="F952" t="str">
            <v>WC</v>
          </cell>
          <cell r="G952">
            <v>32</v>
          </cell>
          <cell r="H952">
            <v>55</v>
          </cell>
        </row>
        <row r="953">
          <cell r="D953" t="str">
            <v>KARYA 04</v>
          </cell>
          <cell r="E953" t="str">
            <v>Closed jongkok Ina</v>
          </cell>
          <cell r="F953" t="str">
            <v>WC</v>
          </cell>
          <cell r="G953">
            <v>1</v>
          </cell>
          <cell r="H953">
            <v>55</v>
          </cell>
        </row>
        <row r="954">
          <cell r="D954" t="str">
            <v>KARYA 04</v>
          </cell>
          <cell r="E954" t="str">
            <v>Closed Duduk Volk</v>
          </cell>
          <cell r="F954" t="str">
            <v>WC</v>
          </cell>
          <cell r="G954">
            <v>1</v>
          </cell>
          <cell r="H954">
            <v>55</v>
          </cell>
        </row>
        <row r="955">
          <cell r="D955" t="str">
            <v>KARYA 04</v>
          </cell>
          <cell r="E955" t="str">
            <v>Floor drain</v>
          </cell>
          <cell r="F955" t="str">
            <v>WC</v>
          </cell>
          <cell r="G955">
            <v>2</v>
          </cell>
          <cell r="H955">
            <v>55</v>
          </cell>
        </row>
        <row r="956">
          <cell r="D956" t="str">
            <v>KARYA 04</v>
          </cell>
          <cell r="E956" t="str">
            <v>Pasir</v>
          </cell>
          <cell r="F956" t="str">
            <v>WC</v>
          </cell>
          <cell r="G956">
            <v>2</v>
          </cell>
          <cell r="H956">
            <v>55</v>
          </cell>
        </row>
        <row r="957">
          <cell r="D957" t="str">
            <v>KARYA 04</v>
          </cell>
          <cell r="E957" t="str">
            <v>Semen PCC 40 Kg Tiga Roda</v>
          </cell>
          <cell r="F957" t="str">
            <v>WC</v>
          </cell>
          <cell r="G957">
            <v>6</v>
          </cell>
          <cell r="H957">
            <v>55</v>
          </cell>
        </row>
        <row r="958">
          <cell r="D958" t="str">
            <v>KARYA 04</v>
          </cell>
          <cell r="E958" t="str">
            <v>Bak Air</v>
          </cell>
          <cell r="F958" t="str">
            <v>WC</v>
          </cell>
          <cell r="H958">
            <v>55</v>
          </cell>
        </row>
        <row r="959">
          <cell r="D959" t="str">
            <v>KARYA 04</v>
          </cell>
          <cell r="E959" t="str">
            <v>Pipa 1/2"</v>
          </cell>
          <cell r="F959" t="str">
            <v>WC</v>
          </cell>
          <cell r="G959">
            <v>2</v>
          </cell>
          <cell r="H959">
            <v>55</v>
          </cell>
        </row>
        <row r="960">
          <cell r="D960" t="str">
            <v>KARYA 04</v>
          </cell>
          <cell r="E960" t="str">
            <v>Lbow 1/2"</v>
          </cell>
          <cell r="F960" t="str">
            <v>WC</v>
          </cell>
          <cell r="G960">
            <v>6</v>
          </cell>
          <cell r="H960">
            <v>55</v>
          </cell>
        </row>
        <row r="961">
          <cell r="D961" t="str">
            <v>KARYA 04</v>
          </cell>
          <cell r="E961" t="str">
            <v>Kran Air Plastik 1/2"</v>
          </cell>
          <cell r="F961" t="str">
            <v>WC</v>
          </cell>
          <cell r="G961">
            <v>3</v>
          </cell>
          <cell r="H961">
            <v>55</v>
          </cell>
        </row>
        <row r="962">
          <cell r="D962" t="str">
            <v>KARYA 04</v>
          </cell>
          <cell r="E962" t="str">
            <v>SDD 1/2"</v>
          </cell>
          <cell r="F962" t="str">
            <v>WC</v>
          </cell>
          <cell r="G962">
            <v>1</v>
          </cell>
          <cell r="H962">
            <v>55</v>
          </cell>
        </row>
        <row r="963">
          <cell r="D963" t="str">
            <v>KARYA 04</v>
          </cell>
          <cell r="E963" t="str">
            <v>Mowilex weathercoat</v>
          </cell>
          <cell r="F963" t="str">
            <v>CAT</v>
          </cell>
          <cell r="H963">
            <v>55</v>
          </cell>
        </row>
        <row r="964">
          <cell r="D964" t="str">
            <v>KARYA 04</v>
          </cell>
          <cell r="E964" t="str">
            <v>Nippon pain  Q--luc</v>
          </cell>
          <cell r="F964" t="str">
            <v>CAT</v>
          </cell>
          <cell r="G964">
            <v>3</v>
          </cell>
          <cell r="H964">
            <v>55</v>
          </cell>
        </row>
        <row r="965">
          <cell r="D965" t="str">
            <v>KARYA 04</v>
          </cell>
          <cell r="E965" t="str">
            <v>Semen TR-30 40 Kg Tiga Roda</v>
          </cell>
          <cell r="F965" t="str">
            <v>CAT</v>
          </cell>
          <cell r="G965">
            <v>9</v>
          </cell>
          <cell r="H965">
            <v>55</v>
          </cell>
        </row>
        <row r="966">
          <cell r="D966" t="str">
            <v>KARYA 04</v>
          </cell>
          <cell r="E966" t="str">
            <v>Semen Aci Putih 25 kg</v>
          </cell>
          <cell r="F966" t="str">
            <v>CAT</v>
          </cell>
          <cell r="G966">
            <v>2</v>
          </cell>
          <cell r="H966">
            <v>55</v>
          </cell>
        </row>
        <row r="967">
          <cell r="D967" t="str">
            <v>KARYA 05</v>
          </cell>
          <cell r="E967" t="str">
            <v>Semen PCC 40 Kg Tiga Roda</v>
          </cell>
          <cell r="F967" t="str">
            <v>CARPORT</v>
          </cell>
          <cell r="G967">
            <v>22</v>
          </cell>
          <cell r="H967">
            <v>55</v>
          </cell>
        </row>
        <row r="968">
          <cell r="D968" t="str">
            <v>KARYA 05</v>
          </cell>
          <cell r="E968" t="str">
            <v>Kayu 3/5</v>
          </cell>
          <cell r="F968" t="str">
            <v>CARPORT</v>
          </cell>
          <cell r="G968">
            <v>8</v>
          </cell>
          <cell r="H968">
            <v>55</v>
          </cell>
        </row>
        <row r="969">
          <cell r="D969" t="str">
            <v>KARYA 05</v>
          </cell>
          <cell r="E969" t="str">
            <v>Cerucuk</v>
          </cell>
          <cell r="F969" t="str">
            <v>CARPORT</v>
          </cell>
          <cell r="G969">
            <v>5</v>
          </cell>
          <cell r="H969">
            <v>55</v>
          </cell>
        </row>
        <row r="970">
          <cell r="D970" t="str">
            <v>KARYA 05</v>
          </cell>
          <cell r="E970" t="str">
            <v>Papan Mal</v>
          </cell>
          <cell r="F970" t="str">
            <v>CARPORT</v>
          </cell>
          <cell r="G970">
            <v>10</v>
          </cell>
          <cell r="H970">
            <v>55</v>
          </cell>
        </row>
        <row r="971">
          <cell r="D971" t="str">
            <v>KARYA 05</v>
          </cell>
          <cell r="E971" t="str">
            <v>Plastik cor</v>
          </cell>
          <cell r="F971" t="str">
            <v>CARPORT</v>
          </cell>
          <cell r="G971">
            <v>7</v>
          </cell>
          <cell r="H971">
            <v>55</v>
          </cell>
        </row>
        <row r="972">
          <cell r="D972" t="str">
            <v>KARYA 05</v>
          </cell>
          <cell r="E972" t="str">
            <v>Besi ø6</v>
          </cell>
          <cell r="F972" t="str">
            <v>CARPORT</v>
          </cell>
          <cell r="G972">
            <v>2</v>
          </cell>
          <cell r="H972">
            <v>55</v>
          </cell>
        </row>
        <row r="973">
          <cell r="D973" t="str">
            <v>KARYA 05</v>
          </cell>
          <cell r="E973" t="str">
            <v>Besi ø8</v>
          </cell>
          <cell r="F973" t="str">
            <v>CARPORT</v>
          </cell>
          <cell r="G973">
            <v>15</v>
          </cell>
          <cell r="H973">
            <v>55</v>
          </cell>
        </row>
        <row r="974">
          <cell r="D974" t="str">
            <v>KARYA 05</v>
          </cell>
          <cell r="E974" t="str">
            <v>Batu</v>
          </cell>
          <cell r="F974" t="str">
            <v>CARPORT</v>
          </cell>
          <cell r="G974">
            <v>1</v>
          </cell>
          <cell r="H974">
            <v>55</v>
          </cell>
        </row>
        <row r="975">
          <cell r="D975" t="str">
            <v>KARYA 05</v>
          </cell>
          <cell r="E975" t="str">
            <v>Pasir</v>
          </cell>
          <cell r="F975" t="str">
            <v>CARPORT</v>
          </cell>
          <cell r="G975">
            <v>6</v>
          </cell>
          <cell r="H975">
            <v>55</v>
          </cell>
        </row>
        <row r="976">
          <cell r="D976" t="str">
            <v>KARYA 05</v>
          </cell>
          <cell r="E976" t="str">
            <v>Keramik 60 x 60 Blackmatt</v>
          </cell>
          <cell r="F976" t="str">
            <v>CARPORT</v>
          </cell>
          <cell r="G976">
            <v>0</v>
          </cell>
          <cell r="H976">
            <v>55</v>
          </cell>
        </row>
        <row r="977">
          <cell r="D977" t="str">
            <v>KARYA 05</v>
          </cell>
          <cell r="E977" t="str">
            <v>Semen TR-30 40 Kg Tiga Roda</v>
          </cell>
          <cell r="F977" t="str">
            <v>ACI MINIMALIS</v>
          </cell>
          <cell r="G977">
            <v>3</v>
          </cell>
          <cell r="H977">
            <v>55</v>
          </cell>
        </row>
        <row r="978">
          <cell r="D978" t="str">
            <v>KARYA 06</v>
          </cell>
          <cell r="E978" t="str">
            <v>Pintu Kayu 120 x 220</v>
          </cell>
          <cell r="F978" t="str">
            <v>PINTU</v>
          </cell>
          <cell r="G978">
            <v>1</v>
          </cell>
          <cell r="H978">
            <v>55</v>
          </cell>
        </row>
        <row r="979">
          <cell r="D979" t="str">
            <v>KARYA 06</v>
          </cell>
          <cell r="E979" t="str">
            <v>Pintu Kayu 80 x 220</v>
          </cell>
          <cell r="F979" t="str">
            <v>PINTU</v>
          </cell>
          <cell r="G979">
            <v>3</v>
          </cell>
          <cell r="H979">
            <v>55</v>
          </cell>
        </row>
        <row r="980">
          <cell r="D980" t="str">
            <v>KARYA 06</v>
          </cell>
          <cell r="E980" t="str">
            <v>Pintu WC PVC Biru</v>
          </cell>
          <cell r="F980" t="str">
            <v>PINTU</v>
          </cell>
          <cell r="G980">
            <v>2</v>
          </cell>
          <cell r="H980">
            <v>55</v>
          </cell>
        </row>
        <row r="981">
          <cell r="D981" t="str">
            <v>KARYA 06</v>
          </cell>
          <cell r="E981" t="str">
            <v>Pintu WC Edenjoice Putih</v>
          </cell>
          <cell r="F981" t="str">
            <v>PINTU</v>
          </cell>
          <cell r="G981">
            <v>1</v>
          </cell>
          <cell r="H981">
            <v>55</v>
          </cell>
        </row>
        <row r="982">
          <cell r="D982" t="str">
            <v>KARYA 06</v>
          </cell>
          <cell r="E982" t="str">
            <v>Engsel Pintu 4"</v>
          </cell>
          <cell r="F982" t="str">
            <v>PINTU</v>
          </cell>
          <cell r="G982">
            <v>15</v>
          </cell>
          <cell r="H982">
            <v>55</v>
          </cell>
        </row>
        <row r="983">
          <cell r="D983" t="str">
            <v>KARYA 06</v>
          </cell>
          <cell r="E983" t="str">
            <v>Peganggan pintu 2 daun</v>
          </cell>
          <cell r="F983" t="str">
            <v>PINTU</v>
          </cell>
          <cell r="G983">
            <v>2</v>
          </cell>
          <cell r="H983">
            <v>55</v>
          </cell>
        </row>
        <row r="984">
          <cell r="D984" t="str">
            <v>KARYA 06</v>
          </cell>
          <cell r="E984" t="str">
            <v>Pengunci Pintu 2 daun</v>
          </cell>
          <cell r="F984" t="str">
            <v>PINTU</v>
          </cell>
          <cell r="G984">
            <v>1</v>
          </cell>
          <cell r="H984">
            <v>55</v>
          </cell>
        </row>
        <row r="985">
          <cell r="D985" t="str">
            <v>KARYA 06</v>
          </cell>
          <cell r="E985" t="str">
            <v>Pegangan kunci 1 daun</v>
          </cell>
          <cell r="F985" t="str">
            <v>PINTU</v>
          </cell>
          <cell r="G985">
            <v>3</v>
          </cell>
          <cell r="H985">
            <v>55</v>
          </cell>
        </row>
        <row r="986">
          <cell r="D986" t="str">
            <v>KARYA 06</v>
          </cell>
          <cell r="E986" t="str">
            <v xml:space="preserve">Avian </v>
          </cell>
          <cell r="F986" t="str">
            <v>PINTU</v>
          </cell>
          <cell r="G986">
            <v>4</v>
          </cell>
          <cell r="H986">
            <v>55</v>
          </cell>
        </row>
        <row r="987">
          <cell r="D987" t="str">
            <v>KARYA 06</v>
          </cell>
          <cell r="E987" t="str">
            <v>Tinner Nb Kaleng</v>
          </cell>
          <cell r="F987" t="str">
            <v>PINTU</v>
          </cell>
          <cell r="G987">
            <v>2</v>
          </cell>
          <cell r="H987">
            <v>55</v>
          </cell>
        </row>
        <row r="988">
          <cell r="D988" t="str">
            <v>KARYA 06</v>
          </cell>
          <cell r="E988" t="str">
            <v>Slot 6 "</v>
          </cell>
          <cell r="F988" t="str">
            <v>PINTU</v>
          </cell>
          <cell r="G988">
            <v>1</v>
          </cell>
          <cell r="H988">
            <v>55</v>
          </cell>
        </row>
        <row r="989">
          <cell r="D989" t="str">
            <v>KARYA 06</v>
          </cell>
          <cell r="E989" t="str">
            <v>Slot 4"</v>
          </cell>
          <cell r="F989" t="str">
            <v>PINTU</v>
          </cell>
          <cell r="G989">
            <v>1</v>
          </cell>
          <cell r="H989">
            <v>55</v>
          </cell>
        </row>
        <row r="990">
          <cell r="D990" t="str">
            <v>KARYA 07</v>
          </cell>
          <cell r="E990" t="str">
            <v>Semen PCC 40 Kg Tiga Roda</v>
          </cell>
          <cell r="F990" t="str">
            <v>MINIMALIS CARPORT</v>
          </cell>
          <cell r="G990">
            <v>22</v>
          </cell>
          <cell r="H990">
            <v>55</v>
          </cell>
        </row>
        <row r="991">
          <cell r="D991" t="str">
            <v>KARYA 07</v>
          </cell>
          <cell r="E991" t="str">
            <v>Pasir</v>
          </cell>
          <cell r="F991" t="str">
            <v>MINIMALIS CARPORT</v>
          </cell>
          <cell r="G991">
            <v>4</v>
          </cell>
          <cell r="H991">
            <v>55</v>
          </cell>
        </row>
        <row r="992">
          <cell r="D992" t="str">
            <v>KARYA 12</v>
          </cell>
          <cell r="E992" t="str">
            <v>Kayu 3/5</v>
          </cell>
          <cell r="F992" t="str">
            <v>DEK</v>
          </cell>
          <cell r="G992">
            <v>95</v>
          </cell>
          <cell r="H992">
            <v>55</v>
          </cell>
        </row>
        <row r="993">
          <cell r="D993" t="str">
            <v>KARYA 12</v>
          </cell>
          <cell r="E993" t="str">
            <v>Gypsum</v>
          </cell>
          <cell r="F993" t="str">
            <v>DEK</v>
          </cell>
          <cell r="G993">
            <v>23</v>
          </cell>
          <cell r="H993">
            <v>55</v>
          </cell>
        </row>
        <row r="994">
          <cell r="D994" t="str">
            <v>KARYA 12</v>
          </cell>
          <cell r="E994" t="str">
            <v>Baut</v>
          </cell>
          <cell r="F994" t="str">
            <v>DEK</v>
          </cell>
          <cell r="G994">
            <v>4</v>
          </cell>
          <cell r="H994">
            <v>55</v>
          </cell>
        </row>
        <row r="995">
          <cell r="D995" t="str">
            <v>KARYA 12</v>
          </cell>
          <cell r="E995" t="str">
            <v>Paku Beton 4 inch</v>
          </cell>
          <cell r="F995" t="str">
            <v>DEK</v>
          </cell>
          <cell r="G995">
            <v>1</v>
          </cell>
          <cell r="H995">
            <v>55</v>
          </cell>
        </row>
        <row r="996">
          <cell r="D996" t="str">
            <v>KARYA 12</v>
          </cell>
          <cell r="E996" t="str">
            <v>Paku 3 imch</v>
          </cell>
          <cell r="F996" t="str">
            <v>DEK</v>
          </cell>
          <cell r="G996">
            <v>1</v>
          </cell>
          <cell r="H996">
            <v>55</v>
          </cell>
        </row>
        <row r="997">
          <cell r="D997" t="str">
            <v>KARYA 12</v>
          </cell>
          <cell r="E997" t="str">
            <v>paku 2 inch</v>
          </cell>
          <cell r="F997" t="str">
            <v>DEK</v>
          </cell>
          <cell r="G997">
            <v>1</v>
          </cell>
          <cell r="H997">
            <v>55</v>
          </cell>
        </row>
        <row r="998">
          <cell r="D998" t="str">
            <v>KARYA 03</v>
          </cell>
          <cell r="E998" t="str">
            <v>Bata</v>
          </cell>
          <cell r="F998" t="str">
            <v>PAGAR</v>
          </cell>
          <cell r="G998">
            <v>200</v>
          </cell>
          <cell r="H998">
            <v>55</v>
          </cell>
        </row>
        <row r="999">
          <cell r="D999" t="str">
            <v>KARYA 03</v>
          </cell>
          <cell r="E999" t="str">
            <v>Pasir</v>
          </cell>
          <cell r="F999" t="str">
            <v>PAGAR</v>
          </cell>
          <cell r="G999">
            <v>3</v>
          </cell>
          <cell r="H999">
            <v>55</v>
          </cell>
        </row>
        <row r="1000">
          <cell r="D1000" t="str">
            <v>KARYA 03</v>
          </cell>
          <cell r="E1000" t="str">
            <v>Semen PCC 40 Kg Tiga Roda</v>
          </cell>
          <cell r="F1000" t="str">
            <v>PAGAR</v>
          </cell>
          <cell r="G1000">
            <v>10</v>
          </cell>
          <cell r="H1000">
            <v>55</v>
          </cell>
        </row>
        <row r="1001">
          <cell r="D1001" t="str">
            <v>KARYA 03</v>
          </cell>
          <cell r="E1001" t="str">
            <v xml:space="preserve">Besi ø6 </v>
          </cell>
          <cell r="F1001" t="str">
            <v>PAGAR</v>
          </cell>
          <cell r="G1001">
            <v>5</v>
          </cell>
          <cell r="H1001">
            <v>55</v>
          </cell>
        </row>
        <row r="1002">
          <cell r="D1002" t="str">
            <v>KARYA 03</v>
          </cell>
          <cell r="E1002" t="str">
            <v>Besi ø8</v>
          </cell>
          <cell r="F1002" t="str">
            <v>PAGAR</v>
          </cell>
          <cell r="G1002">
            <v>5</v>
          </cell>
          <cell r="H1002">
            <v>55</v>
          </cell>
        </row>
        <row r="1003">
          <cell r="D1003" t="str">
            <v>PELANGI 01</v>
          </cell>
          <cell r="E1003" t="str">
            <v>Besi ø6</v>
          </cell>
          <cell r="F1003" t="str">
            <v>PONDASI</v>
          </cell>
          <cell r="G1003">
            <v>6</v>
          </cell>
          <cell r="H1003">
            <v>70</v>
          </cell>
        </row>
        <row r="1004">
          <cell r="D1004" t="str">
            <v>PELANGI 01</v>
          </cell>
          <cell r="E1004" t="str">
            <v>Besi ø8 Ulir</v>
          </cell>
          <cell r="F1004" t="str">
            <v>PONDASI</v>
          </cell>
          <cell r="G1004">
            <v>58</v>
          </cell>
          <cell r="H1004">
            <v>70</v>
          </cell>
        </row>
        <row r="1005">
          <cell r="D1005" t="str">
            <v>PELANGI 01</v>
          </cell>
          <cell r="E1005" t="str">
            <v>Kayu 3/5</v>
          </cell>
          <cell r="F1005" t="str">
            <v>PONDASI</v>
          </cell>
          <cell r="G1005">
            <v>5</v>
          </cell>
          <cell r="H1005">
            <v>70</v>
          </cell>
        </row>
        <row r="1006">
          <cell r="D1006" t="str">
            <v>PELANGI 01</v>
          </cell>
          <cell r="E1006" t="str">
            <v>Cerucuk</v>
          </cell>
          <cell r="F1006" t="str">
            <v>PONDASI</v>
          </cell>
          <cell r="G1006">
            <v>100</v>
          </cell>
          <cell r="H1006">
            <v>70</v>
          </cell>
        </row>
        <row r="1007">
          <cell r="D1007" t="str">
            <v>PELANGI 01</v>
          </cell>
          <cell r="E1007" t="str">
            <v>Papan Mal</v>
          </cell>
          <cell r="F1007" t="str">
            <v>PONDASI</v>
          </cell>
          <cell r="G1007">
            <v>23</v>
          </cell>
          <cell r="H1007">
            <v>70</v>
          </cell>
        </row>
        <row r="1008">
          <cell r="D1008" t="str">
            <v>PELANGI 01</v>
          </cell>
          <cell r="E1008" t="str">
            <v xml:space="preserve">Pasir </v>
          </cell>
          <cell r="F1008" t="str">
            <v>PONDASI</v>
          </cell>
          <cell r="G1008">
            <v>16</v>
          </cell>
          <cell r="H1008">
            <v>70</v>
          </cell>
        </row>
        <row r="1009">
          <cell r="D1009" t="str">
            <v>PELANGI 01</v>
          </cell>
          <cell r="E1009" t="str">
            <v>Batu</v>
          </cell>
          <cell r="F1009" t="str">
            <v>PONDASI</v>
          </cell>
          <cell r="G1009">
            <v>1.5</v>
          </cell>
          <cell r="H1009">
            <v>70</v>
          </cell>
        </row>
        <row r="1010">
          <cell r="D1010" t="str">
            <v>PELANGI 01</v>
          </cell>
          <cell r="E1010" t="str">
            <v>Semen PCC 40 Kg Tiga Roda</v>
          </cell>
          <cell r="F1010" t="str">
            <v>PONDASI</v>
          </cell>
          <cell r="G1010">
            <v>56</v>
          </cell>
          <cell r="H1010">
            <v>70</v>
          </cell>
        </row>
        <row r="1011">
          <cell r="D1011" t="str">
            <v>ILALANG 01</v>
          </cell>
          <cell r="E1011" t="str">
            <v>Semen PCC 40 Kg Tiga Roda</v>
          </cell>
          <cell r="F1011" t="str">
            <v>PLASTER</v>
          </cell>
          <cell r="G1011">
            <v>32</v>
          </cell>
          <cell r="H1011">
            <v>45</v>
          </cell>
        </row>
        <row r="1012">
          <cell r="D1012" t="str">
            <v>ILALANG 01</v>
          </cell>
          <cell r="E1012" t="str">
            <v>Pasir</v>
          </cell>
          <cell r="F1012" t="str">
            <v>PLASTER</v>
          </cell>
          <cell r="G1012">
            <v>6</v>
          </cell>
          <cell r="H1012">
            <v>45</v>
          </cell>
        </row>
        <row r="1013">
          <cell r="D1013" t="str">
            <v>ILALANG 01</v>
          </cell>
          <cell r="E1013" t="str">
            <v>Pipa 5/8</v>
          </cell>
          <cell r="F1013" t="str">
            <v>PLASTER</v>
          </cell>
          <cell r="G1013">
            <v>6</v>
          </cell>
          <cell r="H1013">
            <v>45</v>
          </cell>
        </row>
        <row r="1014">
          <cell r="D1014" t="str">
            <v>KARYA 01</v>
          </cell>
          <cell r="E1014" t="str">
            <v>Besi ø6</v>
          </cell>
          <cell r="F1014" t="str">
            <v>COR LANTAI</v>
          </cell>
          <cell r="G1014">
            <v>15</v>
          </cell>
          <cell r="H1014">
            <v>55</v>
          </cell>
        </row>
        <row r="1015">
          <cell r="D1015" t="str">
            <v>KARYA 01</v>
          </cell>
          <cell r="E1015" t="str">
            <v>Pasir</v>
          </cell>
          <cell r="F1015" t="str">
            <v>COR LANTAI</v>
          </cell>
          <cell r="G1015">
            <v>3</v>
          </cell>
          <cell r="H1015">
            <v>55</v>
          </cell>
        </row>
        <row r="1016">
          <cell r="D1016" t="str">
            <v>KARYA 01</v>
          </cell>
          <cell r="E1016" t="str">
            <v>Semen PCC 40 Kg Tiga Roda</v>
          </cell>
          <cell r="F1016" t="str">
            <v>COR LANTAI</v>
          </cell>
          <cell r="G1016">
            <v>9</v>
          </cell>
          <cell r="H1016">
            <v>55</v>
          </cell>
        </row>
        <row r="1017">
          <cell r="D1017" t="str">
            <v>KARYA 01</v>
          </cell>
          <cell r="E1017" t="str">
            <v>Plastik cor</v>
          </cell>
          <cell r="F1017" t="str">
            <v>COR LANTAI</v>
          </cell>
          <cell r="G1017">
            <v>7</v>
          </cell>
          <cell r="H1017">
            <v>55</v>
          </cell>
        </row>
        <row r="1018">
          <cell r="D1018" t="str">
            <v>KARYA 02</v>
          </cell>
          <cell r="E1018" t="str">
            <v>Semen TR-30 40 Kg Tiga Roda</v>
          </cell>
          <cell r="F1018" t="str">
            <v>ACI MINIMALIS</v>
          </cell>
          <cell r="G1018">
            <v>4</v>
          </cell>
          <cell r="H1018">
            <v>60</v>
          </cell>
        </row>
        <row r="1019">
          <cell r="D1019" t="str">
            <v>KARYA 03</v>
          </cell>
          <cell r="E1019" t="str">
            <v xml:space="preserve">Pasir </v>
          </cell>
          <cell r="F1019" t="str">
            <v>URUG</v>
          </cell>
          <cell r="G1019">
            <v>22</v>
          </cell>
          <cell r="H1019">
            <v>55</v>
          </cell>
        </row>
        <row r="1020">
          <cell r="D1020" t="str">
            <v>KARYA 03</v>
          </cell>
          <cell r="E1020" t="str">
            <v>Pipa 4"</v>
          </cell>
          <cell r="F1020" t="str">
            <v>URUG</v>
          </cell>
          <cell r="G1020">
            <v>2</v>
          </cell>
          <cell r="H1020">
            <v>55</v>
          </cell>
        </row>
        <row r="1021">
          <cell r="D1021" t="str">
            <v>KARYA 03</v>
          </cell>
          <cell r="E1021" t="str">
            <v>Pipa 2"</v>
          </cell>
          <cell r="F1021" t="str">
            <v>URUG</v>
          </cell>
          <cell r="G1021">
            <v>2</v>
          </cell>
          <cell r="H1021">
            <v>55</v>
          </cell>
        </row>
        <row r="1022">
          <cell r="D1022" t="str">
            <v>SUKABASUKI</v>
          </cell>
          <cell r="E1022" t="str">
            <v>Kayu 3/5</v>
          </cell>
          <cell r="F1022" t="str">
            <v>DEK</v>
          </cell>
          <cell r="G1022">
            <v>210</v>
          </cell>
          <cell r="H1022">
            <v>100</v>
          </cell>
        </row>
        <row r="1023">
          <cell r="D1023" t="str">
            <v>SUKABASUKI</v>
          </cell>
          <cell r="E1023" t="str">
            <v>Gypsum</v>
          </cell>
          <cell r="F1023" t="str">
            <v>DEK</v>
          </cell>
          <cell r="G1023">
            <v>31</v>
          </cell>
          <cell r="H1023">
            <v>100</v>
          </cell>
        </row>
        <row r="1024">
          <cell r="D1024" t="str">
            <v>SUKABASUKI</v>
          </cell>
          <cell r="E1024" t="str">
            <v>Baut</v>
          </cell>
          <cell r="F1024" t="str">
            <v>DEK</v>
          </cell>
          <cell r="G1024">
            <v>4</v>
          </cell>
          <cell r="H1024">
            <v>100</v>
          </cell>
        </row>
        <row r="1025">
          <cell r="D1025" t="str">
            <v>SUKABASUKI</v>
          </cell>
          <cell r="E1025" t="str">
            <v>Paku Beton 4 inch</v>
          </cell>
          <cell r="F1025" t="str">
            <v>DEK</v>
          </cell>
          <cell r="G1025">
            <v>1</v>
          </cell>
          <cell r="H1025">
            <v>100</v>
          </cell>
        </row>
        <row r="1026">
          <cell r="D1026" t="str">
            <v>SUKABASUKI</v>
          </cell>
          <cell r="E1026" t="str">
            <v>Paku 3 imch</v>
          </cell>
          <cell r="F1026" t="str">
            <v>DEK</v>
          </cell>
          <cell r="G1026">
            <v>1</v>
          </cell>
          <cell r="H1026">
            <v>100</v>
          </cell>
        </row>
        <row r="1027">
          <cell r="D1027" t="str">
            <v>SUKABASUKI</v>
          </cell>
          <cell r="E1027" t="str">
            <v>paku 2 inch</v>
          </cell>
          <cell r="F1027" t="str">
            <v>DEK</v>
          </cell>
          <cell r="G1027">
            <v>1</v>
          </cell>
          <cell r="H1027">
            <v>100</v>
          </cell>
        </row>
        <row r="1028">
          <cell r="D1028" t="str">
            <v>SUKABASUKI</v>
          </cell>
          <cell r="E1028" t="str">
            <v>Bata</v>
          </cell>
          <cell r="F1028" t="str">
            <v>MINIMALIS</v>
          </cell>
          <cell r="G1028">
            <v>80</v>
          </cell>
          <cell r="H1028">
            <v>100</v>
          </cell>
        </row>
        <row r="1029">
          <cell r="D1029" t="str">
            <v>SUKABASUKI</v>
          </cell>
          <cell r="E1029" t="str">
            <v>Pasir</v>
          </cell>
          <cell r="F1029" t="str">
            <v>MINIMALIS</v>
          </cell>
          <cell r="G1029">
            <v>1</v>
          </cell>
          <cell r="H1029">
            <v>100</v>
          </cell>
        </row>
        <row r="1030">
          <cell r="D1030" t="str">
            <v>SUKABASUKI</v>
          </cell>
          <cell r="E1030" t="str">
            <v>Semen PCC 40 Kg Tiga Roda</v>
          </cell>
          <cell r="F1030" t="str">
            <v>MINIMALIS</v>
          </cell>
          <cell r="G1030">
            <v>7</v>
          </cell>
          <cell r="H1030">
            <v>100</v>
          </cell>
        </row>
        <row r="1031">
          <cell r="D1031" t="str">
            <v>SUKABASUKI</v>
          </cell>
          <cell r="E1031" t="str">
            <v>Keramik 60 x 60 Blackmatt</v>
          </cell>
          <cell r="F1031" t="str">
            <v>MINIMALIS</v>
          </cell>
          <cell r="H1031">
            <v>100</v>
          </cell>
        </row>
        <row r="1032">
          <cell r="D1032" t="str">
            <v>SUKABASUKI</v>
          </cell>
          <cell r="E1032" t="str">
            <v>Pipa 3"</v>
          </cell>
          <cell r="F1032" t="str">
            <v>TALANG AIR</v>
          </cell>
          <cell r="G1032">
            <v>5</v>
          </cell>
          <cell r="H1032">
            <v>100</v>
          </cell>
        </row>
        <row r="1033">
          <cell r="D1033" t="str">
            <v>SUKABASUKI</v>
          </cell>
          <cell r="E1033" t="str">
            <v>Pipa 2 "</v>
          </cell>
          <cell r="F1033" t="str">
            <v>TALANG AIR</v>
          </cell>
          <cell r="G1033">
            <v>2</v>
          </cell>
          <cell r="H1033">
            <v>100</v>
          </cell>
        </row>
        <row r="1034">
          <cell r="D1034" t="str">
            <v>SUKABASUKI</v>
          </cell>
          <cell r="E1034" t="str">
            <v>Cekakan pipa 2 "</v>
          </cell>
          <cell r="F1034" t="str">
            <v>TALANG AIR</v>
          </cell>
          <cell r="G1034">
            <v>2</v>
          </cell>
          <cell r="H1034">
            <v>100</v>
          </cell>
        </row>
        <row r="1035">
          <cell r="D1035" t="str">
            <v>SUKABASUKI</v>
          </cell>
          <cell r="E1035" t="str">
            <v>Lbow 3" ke 2"</v>
          </cell>
          <cell r="F1035" t="str">
            <v>TALANG AIR</v>
          </cell>
          <cell r="G1035">
            <v>2</v>
          </cell>
          <cell r="H1035">
            <v>100</v>
          </cell>
        </row>
        <row r="1036">
          <cell r="D1036" t="str">
            <v>SUKABASUKI</v>
          </cell>
          <cell r="E1036" t="str">
            <v>Sambungan 3" ke 2"</v>
          </cell>
          <cell r="F1036" t="str">
            <v>TALANG AIR</v>
          </cell>
          <cell r="G1036">
            <v>2</v>
          </cell>
          <cell r="H1036">
            <v>100</v>
          </cell>
        </row>
        <row r="1037">
          <cell r="D1037" t="str">
            <v>SUKABASUKI</v>
          </cell>
          <cell r="E1037" t="str">
            <v>Lbow 2"</v>
          </cell>
          <cell r="F1037" t="str">
            <v>TALANG AIR</v>
          </cell>
          <cell r="G1037">
            <v>4</v>
          </cell>
          <cell r="H1037">
            <v>100</v>
          </cell>
        </row>
        <row r="1038">
          <cell r="D1038" t="str">
            <v>SUKABASUKI</v>
          </cell>
          <cell r="E1038" t="str">
            <v>Penutup pipa 3"</v>
          </cell>
          <cell r="F1038" t="str">
            <v>TALANG AIR</v>
          </cell>
          <cell r="G1038">
            <v>2</v>
          </cell>
          <cell r="H1038">
            <v>100</v>
          </cell>
        </row>
        <row r="1039">
          <cell r="D1039" t="str">
            <v>SUKABASUKI</v>
          </cell>
          <cell r="E1039" t="str">
            <v xml:space="preserve">Lem pipa fox </v>
          </cell>
          <cell r="F1039" t="str">
            <v>TALANG AIR</v>
          </cell>
          <cell r="G1039">
            <v>4</v>
          </cell>
          <cell r="H1039">
            <v>100</v>
          </cell>
        </row>
        <row r="1040">
          <cell r="D1040" t="str">
            <v>KARYA 01</v>
          </cell>
          <cell r="E1040" t="str">
            <v>Semen PCC 40 Kg Tiga Roda</v>
          </cell>
          <cell r="F1040" t="str">
            <v>CARPORT</v>
          </cell>
          <cell r="G1040">
            <v>10</v>
          </cell>
          <cell r="H1040">
            <v>55</v>
          </cell>
        </row>
        <row r="1041">
          <cell r="D1041" t="str">
            <v>KARYA 01</v>
          </cell>
          <cell r="E1041" t="str">
            <v>Kayu 3/5</v>
          </cell>
          <cell r="F1041" t="str">
            <v>CARPORT</v>
          </cell>
          <cell r="G1041">
            <v>2</v>
          </cell>
          <cell r="H1041">
            <v>55</v>
          </cell>
        </row>
        <row r="1042">
          <cell r="D1042" t="str">
            <v>KARYA 01</v>
          </cell>
          <cell r="E1042" t="str">
            <v>Cerucuk</v>
          </cell>
          <cell r="F1042" t="str">
            <v>CARPORT</v>
          </cell>
          <cell r="G1042">
            <v>4</v>
          </cell>
          <cell r="H1042">
            <v>55</v>
          </cell>
        </row>
        <row r="1043">
          <cell r="D1043" t="str">
            <v>KARYA 01</v>
          </cell>
          <cell r="E1043" t="str">
            <v>Papan Mal</v>
          </cell>
          <cell r="F1043" t="str">
            <v>CARPORT</v>
          </cell>
          <cell r="G1043">
            <v>6</v>
          </cell>
          <cell r="H1043">
            <v>55</v>
          </cell>
        </row>
        <row r="1044">
          <cell r="D1044" t="str">
            <v>KARYA 01</v>
          </cell>
          <cell r="E1044" t="str">
            <v>Plastik cor</v>
          </cell>
          <cell r="F1044" t="str">
            <v>CARPORT</v>
          </cell>
          <cell r="G1044">
            <v>7</v>
          </cell>
          <cell r="H1044">
            <v>55</v>
          </cell>
        </row>
        <row r="1045">
          <cell r="D1045" t="str">
            <v>KARYA 01</v>
          </cell>
          <cell r="E1045" t="str">
            <v>Besi ø6</v>
          </cell>
          <cell r="F1045" t="str">
            <v>CARPORT</v>
          </cell>
          <cell r="G1045">
            <v>2</v>
          </cell>
          <cell r="H1045">
            <v>55</v>
          </cell>
        </row>
        <row r="1046">
          <cell r="D1046" t="str">
            <v>KARYA 01</v>
          </cell>
          <cell r="E1046" t="str">
            <v>Besi ø8</v>
          </cell>
          <cell r="F1046" t="str">
            <v>CARPORT</v>
          </cell>
          <cell r="G1046">
            <v>3</v>
          </cell>
          <cell r="H1046">
            <v>55</v>
          </cell>
        </row>
        <row r="1047">
          <cell r="D1047" t="str">
            <v>KARYA 01</v>
          </cell>
          <cell r="E1047" t="str">
            <v>Batu</v>
          </cell>
          <cell r="F1047" t="str">
            <v>CARPORT</v>
          </cell>
          <cell r="H1047">
            <v>55</v>
          </cell>
        </row>
        <row r="1048">
          <cell r="D1048" t="str">
            <v>KARYA 01</v>
          </cell>
          <cell r="E1048" t="str">
            <v>Pasir</v>
          </cell>
          <cell r="F1048" t="str">
            <v>CARPORT</v>
          </cell>
          <cell r="G1048">
            <v>3</v>
          </cell>
          <cell r="H1048">
            <v>55</v>
          </cell>
        </row>
        <row r="1049">
          <cell r="D1049" t="str">
            <v>KARYA 01</v>
          </cell>
          <cell r="E1049" t="str">
            <v>Keramik 60 x 60 Blackmatt</v>
          </cell>
          <cell r="F1049" t="str">
            <v>CARPORT</v>
          </cell>
          <cell r="H1049">
            <v>55</v>
          </cell>
        </row>
        <row r="1050">
          <cell r="D1050" t="str">
            <v>KARYA 01</v>
          </cell>
          <cell r="E1050" t="str">
            <v>Papan</v>
          </cell>
          <cell r="F1050" t="str">
            <v>BATA</v>
          </cell>
          <cell r="G1050">
            <v>15</v>
          </cell>
          <cell r="H1050">
            <v>55</v>
          </cell>
        </row>
        <row r="1051">
          <cell r="D1051" t="str">
            <v>KARYA 01</v>
          </cell>
          <cell r="E1051" t="str">
            <v>Kayu 3/5</v>
          </cell>
          <cell r="F1051" t="str">
            <v>BATA</v>
          </cell>
          <cell r="G1051">
            <v>10</v>
          </cell>
          <cell r="H1051">
            <v>55</v>
          </cell>
        </row>
        <row r="1052">
          <cell r="D1052" t="str">
            <v>KARYA 01</v>
          </cell>
          <cell r="E1052" t="str">
            <v>Besi ø6</v>
          </cell>
          <cell r="F1052" t="str">
            <v>BATA</v>
          </cell>
          <cell r="G1052">
            <v>7</v>
          </cell>
          <cell r="H1052">
            <v>55</v>
          </cell>
        </row>
        <row r="1053">
          <cell r="D1053" t="str">
            <v>KARYA 01</v>
          </cell>
          <cell r="E1053" t="str">
            <v xml:space="preserve">Besi ø8 </v>
          </cell>
          <cell r="F1053" t="str">
            <v>BATA</v>
          </cell>
          <cell r="G1053">
            <v>9</v>
          </cell>
          <cell r="H1053">
            <v>55</v>
          </cell>
        </row>
        <row r="1054">
          <cell r="D1054" t="str">
            <v>KARYA 01</v>
          </cell>
          <cell r="E1054" t="str">
            <v xml:space="preserve">Besi ø6 </v>
          </cell>
          <cell r="F1054" t="str">
            <v>BATA</v>
          </cell>
          <cell r="H1054">
            <v>55</v>
          </cell>
        </row>
        <row r="1055">
          <cell r="D1055" t="str">
            <v>KARYA 01</v>
          </cell>
          <cell r="E1055" t="str">
            <v>Kusen Pintu ( 2 Daun )</v>
          </cell>
          <cell r="F1055" t="str">
            <v>BATA</v>
          </cell>
          <cell r="G1055">
            <v>1</v>
          </cell>
          <cell r="H1055">
            <v>55</v>
          </cell>
        </row>
        <row r="1056">
          <cell r="D1056" t="str">
            <v>KARYA 01</v>
          </cell>
          <cell r="E1056" t="str">
            <v>Kusen Pintu ( 1 Daun )</v>
          </cell>
          <cell r="F1056" t="str">
            <v>BATA</v>
          </cell>
          <cell r="G1056">
            <v>3</v>
          </cell>
          <cell r="H1056">
            <v>55</v>
          </cell>
        </row>
        <row r="1057">
          <cell r="D1057" t="str">
            <v>KARYA 01</v>
          </cell>
          <cell r="E1057" t="str">
            <v>Bata</v>
          </cell>
          <cell r="F1057" t="str">
            <v>BATA</v>
          </cell>
          <cell r="G1057">
            <v>2562</v>
          </cell>
          <cell r="H1057">
            <v>55</v>
          </cell>
        </row>
        <row r="1058">
          <cell r="D1058" t="str">
            <v>KARYA 01</v>
          </cell>
          <cell r="E1058" t="str">
            <v>Semen PCC 40 Kg Tiga Roda</v>
          </cell>
          <cell r="F1058" t="str">
            <v>BATA</v>
          </cell>
          <cell r="G1058">
            <v>23</v>
          </cell>
          <cell r="H1058">
            <v>55</v>
          </cell>
        </row>
        <row r="1059">
          <cell r="D1059" t="str">
            <v>KARYA 01</v>
          </cell>
          <cell r="E1059" t="str">
            <v>Pasir</v>
          </cell>
          <cell r="F1059" t="str">
            <v>BATA</v>
          </cell>
          <cell r="G1059">
            <v>4</v>
          </cell>
          <cell r="H1059">
            <v>55</v>
          </cell>
        </row>
        <row r="1060">
          <cell r="D1060" t="str">
            <v>KARYA 01</v>
          </cell>
          <cell r="E1060" t="str">
            <v>Besi ø6</v>
          </cell>
          <cell r="F1060" t="str">
            <v>BATA</v>
          </cell>
          <cell r="H1060">
            <v>55</v>
          </cell>
        </row>
        <row r="1061">
          <cell r="D1061" t="str">
            <v>KARYA 01</v>
          </cell>
          <cell r="E1061" t="str">
            <v>Cor Tiang Depan</v>
          </cell>
          <cell r="F1061" t="str">
            <v>BATA</v>
          </cell>
          <cell r="H1061">
            <v>55</v>
          </cell>
        </row>
        <row r="1062">
          <cell r="D1062" t="str">
            <v>KARYA 01</v>
          </cell>
          <cell r="E1062" t="str">
            <v>Semen PCC 40 Kg Tiga Roda</v>
          </cell>
          <cell r="F1062" t="str">
            <v>BATA</v>
          </cell>
          <cell r="H1062">
            <v>55</v>
          </cell>
        </row>
        <row r="1063">
          <cell r="D1063" t="str">
            <v>KARYA 01</v>
          </cell>
          <cell r="E1063" t="str">
            <v>Pasir</v>
          </cell>
          <cell r="F1063" t="str">
            <v>BATA</v>
          </cell>
          <cell r="H1063">
            <v>55</v>
          </cell>
        </row>
        <row r="1064">
          <cell r="D1064" t="str">
            <v>KARYA 01</v>
          </cell>
          <cell r="E1064" t="str">
            <v>Batu</v>
          </cell>
          <cell r="F1064" t="str">
            <v>BATA</v>
          </cell>
          <cell r="H1064">
            <v>55</v>
          </cell>
        </row>
        <row r="1065">
          <cell r="D1065" t="str">
            <v>KARYA 01</v>
          </cell>
          <cell r="E1065" t="str">
            <v xml:space="preserve">Besi ø6 </v>
          </cell>
          <cell r="F1065" t="str">
            <v>BATA</v>
          </cell>
          <cell r="G1065">
            <v>3</v>
          </cell>
          <cell r="H1065">
            <v>55</v>
          </cell>
        </row>
        <row r="1066">
          <cell r="D1066" t="str">
            <v>KARYA 01</v>
          </cell>
          <cell r="E1066" t="str">
            <v>Besi ø8</v>
          </cell>
          <cell r="F1066" t="str">
            <v>BATA</v>
          </cell>
          <cell r="G1066">
            <v>4</v>
          </cell>
          <cell r="H1066">
            <v>55</v>
          </cell>
        </row>
        <row r="1067">
          <cell r="D1067" t="str">
            <v>KARYA 01</v>
          </cell>
          <cell r="E1067" t="str">
            <v>Multiplek</v>
          </cell>
          <cell r="F1067" t="str">
            <v>BATA</v>
          </cell>
          <cell r="G1067">
            <v>1</v>
          </cell>
          <cell r="H1067">
            <v>55</v>
          </cell>
        </row>
        <row r="1068">
          <cell r="D1068" t="str">
            <v>KARYA 01</v>
          </cell>
          <cell r="E1068" t="str">
            <v>Kayu 3/5</v>
          </cell>
          <cell r="F1068" t="str">
            <v>BATA</v>
          </cell>
          <cell r="H1068">
            <v>55</v>
          </cell>
        </row>
        <row r="1069">
          <cell r="D1069" t="str">
            <v>KARYA 01</v>
          </cell>
          <cell r="E1069" t="str">
            <v>Bata</v>
          </cell>
          <cell r="F1069" t="str">
            <v>BATA</v>
          </cell>
          <cell r="H1069">
            <v>55</v>
          </cell>
        </row>
        <row r="1070">
          <cell r="D1070" t="str">
            <v>KARYA 01</v>
          </cell>
          <cell r="E1070" t="str">
            <v>Cerucuk</v>
          </cell>
          <cell r="F1070" t="str">
            <v>BATA</v>
          </cell>
          <cell r="H1070">
            <v>55</v>
          </cell>
        </row>
        <row r="1071">
          <cell r="D1071" t="str">
            <v>KARYA 01</v>
          </cell>
          <cell r="E1071" t="str">
            <v>Papan Mal</v>
          </cell>
          <cell r="F1071" t="str">
            <v>BATA</v>
          </cell>
          <cell r="H1071">
            <v>55</v>
          </cell>
        </row>
        <row r="1072">
          <cell r="D1072" t="str">
            <v>KARYA 03</v>
          </cell>
          <cell r="E1072" t="str">
            <v>Besi ø6</v>
          </cell>
          <cell r="F1072" t="str">
            <v>COR LANTAI</v>
          </cell>
          <cell r="G1072">
            <v>16</v>
          </cell>
          <cell r="H1072">
            <v>55</v>
          </cell>
        </row>
        <row r="1073">
          <cell r="D1073" t="str">
            <v>KARYA 03</v>
          </cell>
          <cell r="E1073" t="str">
            <v>Pasir</v>
          </cell>
          <cell r="F1073" t="str">
            <v>COR LANTAI</v>
          </cell>
          <cell r="G1073">
            <v>4</v>
          </cell>
          <cell r="H1073">
            <v>55</v>
          </cell>
        </row>
        <row r="1074">
          <cell r="D1074" t="str">
            <v>KARYA 03</v>
          </cell>
          <cell r="E1074" t="str">
            <v>Semen PCC 40 Kg Tiga Roda</v>
          </cell>
          <cell r="F1074" t="str">
            <v>COR LANTAI</v>
          </cell>
          <cell r="G1074">
            <v>11</v>
          </cell>
          <cell r="H1074">
            <v>55</v>
          </cell>
        </row>
        <row r="1075">
          <cell r="D1075" t="str">
            <v>KARYA 03</v>
          </cell>
          <cell r="E1075" t="str">
            <v>Plastik cor</v>
          </cell>
          <cell r="F1075" t="str">
            <v>COR LANTAI</v>
          </cell>
          <cell r="G1075">
            <v>7</v>
          </cell>
          <cell r="H1075">
            <v>55</v>
          </cell>
        </row>
        <row r="1076">
          <cell r="D1076" t="str">
            <v>KARYA 03</v>
          </cell>
          <cell r="E1076" t="str">
            <v>Papan</v>
          </cell>
          <cell r="F1076" t="str">
            <v>BATA</v>
          </cell>
          <cell r="G1076">
            <v>15</v>
          </cell>
          <cell r="H1076">
            <v>55</v>
          </cell>
        </row>
        <row r="1077">
          <cell r="D1077" t="str">
            <v>KARYA 03</v>
          </cell>
          <cell r="E1077" t="str">
            <v>Kayu 3/5</v>
          </cell>
          <cell r="F1077" t="str">
            <v>BATA</v>
          </cell>
          <cell r="G1077">
            <v>10</v>
          </cell>
          <cell r="H1077">
            <v>55</v>
          </cell>
        </row>
        <row r="1078">
          <cell r="D1078" t="str">
            <v>KARYA 03</v>
          </cell>
          <cell r="E1078" t="str">
            <v>Besi ø6</v>
          </cell>
          <cell r="F1078" t="str">
            <v>BATA</v>
          </cell>
          <cell r="G1078">
            <v>7</v>
          </cell>
          <cell r="H1078">
            <v>55</v>
          </cell>
        </row>
        <row r="1079">
          <cell r="D1079" t="str">
            <v>KARYA 03</v>
          </cell>
          <cell r="E1079" t="str">
            <v xml:space="preserve">Besi ø8 </v>
          </cell>
          <cell r="F1079" t="str">
            <v>BATA</v>
          </cell>
          <cell r="G1079">
            <v>9</v>
          </cell>
          <cell r="H1079">
            <v>55</v>
          </cell>
        </row>
        <row r="1080">
          <cell r="D1080" t="str">
            <v>KARYA 03</v>
          </cell>
          <cell r="E1080" t="str">
            <v xml:space="preserve">Besi ø6 </v>
          </cell>
          <cell r="F1080" t="str">
            <v>BATA</v>
          </cell>
          <cell r="H1080">
            <v>55</v>
          </cell>
        </row>
        <row r="1081">
          <cell r="D1081" t="str">
            <v>KARYA 03</v>
          </cell>
          <cell r="E1081" t="str">
            <v>Kusen Pintu ( 2 Daun )</v>
          </cell>
          <cell r="F1081" t="str">
            <v>BATA</v>
          </cell>
          <cell r="G1081">
            <v>1</v>
          </cell>
          <cell r="H1081">
            <v>55</v>
          </cell>
        </row>
        <row r="1082">
          <cell r="D1082" t="str">
            <v>KARYA 03</v>
          </cell>
          <cell r="E1082" t="str">
            <v>Kusen Pintu ( 1 Daun )</v>
          </cell>
          <cell r="F1082" t="str">
            <v>BATA</v>
          </cell>
          <cell r="G1082">
            <v>3</v>
          </cell>
          <cell r="H1082">
            <v>55</v>
          </cell>
        </row>
        <row r="1083">
          <cell r="D1083" t="str">
            <v>KARYA 03</v>
          </cell>
          <cell r="E1083" t="str">
            <v>Bata</v>
          </cell>
          <cell r="F1083" t="str">
            <v>BATA</v>
          </cell>
          <cell r="G1083">
            <v>2100</v>
          </cell>
          <cell r="H1083">
            <v>55</v>
          </cell>
        </row>
        <row r="1084">
          <cell r="D1084" t="str">
            <v>KARYA 03</v>
          </cell>
          <cell r="E1084" t="str">
            <v>Semen PCC 40 Kg Tiga Roda</v>
          </cell>
          <cell r="F1084" t="str">
            <v>BATA</v>
          </cell>
          <cell r="G1084">
            <v>23</v>
          </cell>
          <cell r="H1084">
            <v>55</v>
          </cell>
        </row>
        <row r="1085">
          <cell r="D1085" t="str">
            <v>KARYA 03</v>
          </cell>
          <cell r="E1085" t="str">
            <v>Pasir</v>
          </cell>
          <cell r="F1085" t="str">
            <v>BATA</v>
          </cell>
          <cell r="G1085">
            <v>5</v>
          </cell>
          <cell r="H1085">
            <v>55</v>
          </cell>
        </row>
        <row r="1086">
          <cell r="D1086" t="str">
            <v>KARYA 03</v>
          </cell>
          <cell r="E1086" t="str">
            <v>Besi ø6</v>
          </cell>
          <cell r="F1086" t="str">
            <v>BATA</v>
          </cell>
          <cell r="H1086">
            <v>55</v>
          </cell>
        </row>
        <row r="1087">
          <cell r="D1087" t="str">
            <v>KARYA 03</v>
          </cell>
          <cell r="E1087" t="str">
            <v>Cor Tiang Depan</v>
          </cell>
          <cell r="F1087" t="str">
            <v>BATA</v>
          </cell>
          <cell r="H1087">
            <v>55</v>
          </cell>
        </row>
        <row r="1088">
          <cell r="D1088" t="str">
            <v>KARYA 03</v>
          </cell>
          <cell r="E1088" t="str">
            <v>Semen PCC 40 Kg Tiga Roda</v>
          </cell>
          <cell r="F1088" t="str">
            <v>BATA</v>
          </cell>
          <cell r="H1088">
            <v>55</v>
          </cell>
        </row>
        <row r="1089">
          <cell r="D1089" t="str">
            <v>KARYA 03</v>
          </cell>
          <cell r="E1089" t="str">
            <v>Pasir</v>
          </cell>
          <cell r="F1089" t="str">
            <v>BATA</v>
          </cell>
          <cell r="H1089">
            <v>55</v>
          </cell>
        </row>
        <row r="1090">
          <cell r="D1090" t="str">
            <v>KARYA 03</v>
          </cell>
          <cell r="E1090" t="str">
            <v>Batu</v>
          </cell>
          <cell r="F1090" t="str">
            <v>BATA</v>
          </cell>
          <cell r="H1090">
            <v>55</v>
          </cell>
        </row>
        <row r="1091">
          <cell r="D1091" t="str">
            <v>KARYA 03</v>
          </cell>
          <cell r="E1091" t="str">
            <v xml:space="preserve">Besi ø6 </v>
          </cell>
          <cell r="F1091" t="str">
            <v>BATA</v>
          </cell>
          <cell r="H1091">
            <v>55</v>
          </cell>
        </row>
        <row r="1092">
          <cell r="D1092" t="str">
            <v>KARYA 03</v>
          </cell>
          <cell r="E1092" t="str">
            <v>Besi ø8</v>
          </cell>
          <cell r="F1092" t="str">
            <v>BATA</v>
          </cell>
          <cell r="H1092">
            <v>55</v>
          </cell>
        </row>
        <row r="1093">
          <cell r="D1093" t="str">
            <v>KARYA 03</v>
          </cell>
          <cell r="E1093" t="str">
            <v>Multiplek</v>
          </cell>
          <cell r="F1093" t="str">
            <v>BATA</v>
          </cell>
          <cell r="H1093">
            <v>55</v>
          </cell>
        </row>
        <row r="1094">
          <cell r="D1094" t="str">
            <v>KARYA 03</v>
          </cell>
          <cell r="E1094" t="str">
            <v>Kayu 3/5</v>
          </cell>
          <cell r="F1094" t="str">
            <v>BATA</v>
          </cell>
          <cell r="H1094">
            <v>55</v>
          </cell>
        </row>
        <row r="1095">
          <cell r="D1095" t="str">
            <v>KARYA 03</v>
          </cell>
          <cell r="E1095" t="str">
            <v>Bata</v>
          </cell>
          <cell r="F1095" t="str">
            <v>BATA</v>
          </cell>
          <cell r="H1095">
            <v>55</v>
          </cell>
        </row>
        <row r="1096">
          <cell r="D1096" t="str">
            <v>KARYA 03</v>
          </cell>
          <cell r="E1096" t="str">
            <v>Cerucuk</v>
          </cell>
          <cell r="F1096" t="str">
            <v>BATA</v>
          </cell>
          <cell r="H1096">
            <v>55</v>
          </cell>
        </row>
        <row r="1097">
          <cell r="D1097" t="str">
            <v>KARYA 03</v>
          </cell>
          <cell r="E1097" t="str">
            <v>Papan Mal</v>
          </cell>
          <cell r="F1097" t="str">
            <v>BATA</v>
          </cell>
          <cell r="H1097">
            <v>55</v>
          </cell>
        </row>
        <row r="1098">
          <cell r="D1098" t="str">
            <v>KARYA 04</v>
          </cell>
          <cell r="E1098" t="str">
            <v>Semen TR-30 40 Kg Tiga Roda</v>
          </cell>
          <cell r="F1098" t="str">
            <v>ACI MINIMALIS</v>
          </cell>
          <cell r="G1098">
            <v>3</v>
          </cell>
          <cell r="H1098">
            <v>55</v>
          </cell>
        </row>
        <row r="1099">
          <cell r="D1099" t="str">
            <v>KARYA 06</v>
          </cell>
          <cell r="E1099" t="str">
            <v>Semen PCC 40 Kg Tiga Roda</v>
          </cell>
          <cell r="F1099" t="str">
            <v>MINIMALIS CARPORT</v>
          </cell>
          <cell r="G1099">
            <v>21</v>
          </cell>
          <cell r="H1099">
            <v>55</v>
          </cell>
        </row>
        <row r="1100">
          <cell r="D1100" t="str">
            <v>KARYA 06</v>
          </cell>
          <cell r="E1100" t="str">
            <v>Pasir</v>
          </cell>
          <cell r="F1100" t="str">
            <v>MINIMALIS CARPORT</v>
          </cell>
          <cell r="G1100">
            <v>3</v>
          </cell>
          <cell r="H1100">
            <v>55</v>
          </cell>
        </row>
        <row r="1101">
          <cell r="D1101" t="str">
            <v>KARYA 12</v>
          </cell>
          <cell r="E1101" t="str">
            <v>Keramik 60 x 60 Cream</v>
          </cell>
          <cell r="F1101" t="str">
            <v>KERAMIK</v>
          </cell>
          <cell r="G1101">
            <v>36</v>
          </cell>
          <cell r="H1101">
            <v>55</v>
          </cell>
        </row>
        <row r="1102">
          <cell r="D1102" t="str">
            <v>KARYA 12</v>
          </cell>
          <cell r="E1102" t="str">
            <v>Keramik 60 x 60 Blackmatt</v>
          </cell>
          <cell r="F1102" t="str">
            <v>KERAMIK</v>
          </cell>
          <cell r="H1102">
            <v>55</v>
          </cell>
        </row>
        <row r="1103">
          <cell r="D1103" t="str">
            <v>KARYA 12</v>
          </cell>
          <cell r="E1103" t="str">
            <v>Pasir</v>
          </cell>
          <cell r="F1103" t="str">
            <v>KERAMIK</v>
          </cell>
          <cell r="G1103">
            <v>5</v>
          </cell>
          <cell r="H1103">
            <v>55</v>
          </cell>
        </row>
        <row r="1104">
          <cell r="D1104" t="str">
            <v>KARYA 12</v>
          </cell>
          <cell r="E1104" t="str">
            <v>Semen PCC 40 Kg Tiga Roda</v>
          </cell>
          <cell r="F1104" t="str">
            <v>KERAMIK</v>
          </cell>
          <cell r="G1104">
            <v>24</v>
          </cell>
          <cell r="H1104">
            <v>55</v>
          </cell>
        </row>
        <row r="1105">
          <cell r="D1105" t="str">
            <v>KARYA 12</v>
          </cell>
          <cell r="E1105" t="str">
            <v>Oker</v>
          </cell>
          <cell r="F1105" t="str">
            <v>KERAMIK</v>
          </cell>
          <cell r="G1105">
            <v>1</v>
          </cell>
          <cell r="H1105">
            <v>55</v>
          </cell>
        </row>
        <row r="1106">
          <cell r="D1106" t="str">
            <v>ILALANG 02</v>
          </cell>
          <cell r="E1106" t="str">
            <v>Semen PCC 40 Kg Tiga Roda</v>
          </cell>
          <cell r="F1106" t="str">
            <v>PLASTER</v>
          </cell>
          <cell r="G1106">
            <v>47</v>
          </cell>
          <cell r="H1106">
            <v>60</v>
          </cell>
        </row>
        <row r="1107">
          <cell r="D1107" t="str">
            <v>ILALANG 02</v>
          </cell>
          <cell r="E1107" t="str">
            <v>Pasir</v>
          </cell>
          <cell r="F1107" t="str">
            <v>PLASTER</v>
          </cell>
          <cell r="G1107">
            <v>8</v>
          </cell>
          <cell r="H1107">
            <v>60</v>
          </cell>
        </row>
        <row r="1108">
          <cell r="D1108" t="str">
            <v>ILALANG 02</v>
          </cell>
          <cell r="E1108" t="str">
            <v>Pipa 5/8</v>
          </cell>
          <cell r="F1108" t="str">
            <v>PLASTER</v>
          </cell>
          <cell r="G1108">
            <v>8</v>
          </cell>
          <cell r="H1108">
            <v>60</v>
          </cell>
        </row>
        <row r="1109">
          <cell r="D1109" t="str">
            <v>PELANGI 02</v>
          </cell>
          <cell r="E1109" t="str">
            <v>Besi ø6</v>
          </cell>
          <cell r="F1109" t="str">
            <v>PONDASI</v>
          </cell>
          <cell r="G1109">
            <v>12</v>
          </cell>
          <cell r="H1109">
            <v>50</v>
          </cell>
        </row>
        <row r="1110">
          <cell r="D1110" t="str">
            <v>PELANGI 02</v>
          </cell>
          <cell r="E1110" t="str">
            <v>Besi ø8 Ulir</v>
          </cell>
          <cell r="F1110" t="str">
            <v>PONDASI</v>
          </cell>
          <cell r="G1110">
            <v>41</v>
          </cell>
          <cell r="H1110">
            <v>50</v>
          </cell>
        </row>
        <row r="1111">
          <cell r="D1111" t="str">
            <v>PELANGI 02</v>
          </cell>
          <cell r="E1111" t="str">
            <v>Kayu 3/5</v>
          </cell>
          <cell r="F1111" t="str">
            <v>PONDASI</v>
          </cell>
          <cell r="G1111">
            <v>35</v>
          </cell>
          <cell r="H1111">
            <v>50</v>
          </cell>
        </row>
        <row r="1112">
          <cell r="D1112" t="str">
            <v>PELANGI 02</v>
          </cell>
          <cell r="E1112" t="str">
            <v>Cerucuk</v>
          </cell>
          <cell r="F1112" t="str">
            <v>PONDASI</v>
          </cell>
          <cell r="G1112">
            <v>75</v>
          </cell>
          <cell r="H1112">
            <v>50</v>
          </cell>
        </row>
        <row r="1113">
          <cell r="D1113" t="str">
            <v>PELANGI 02</v>
          </cell>
          <cell r="E1113" t="str">
            <v>Papan Mal</v>
          </cell>
          <cell r="F1113" t="str">
            <v>PONDASI</v>
          </cell>
          <cell r="G1113">
            <v>23</v>
          </cell>
          <cell r="H1113">
            <v>50</v>
          </cell>
        </row>
        <row r="1114">
          <cell r="D1114" t="str">
            <v>PELANGI 02</v>
          </cell>
          <cell r="E1114" t="str">
            <v xml:space="preserve">Pasir </v>
          </cell>
          <cell r="F1114" t="str">
            <v>PONDASI</v>
          </cell>
          <cell r="H1114">
            <v>50</v>
          </cell>
        </row>
        <row r="1115">
          <cell r="D1115" t="str">
            <v>PELANGI 02</v>
          </cell>
          <cell r="E1115" t="str">
            <v>Batu</v>
          </cell>
          <cell r="F1115" t="str">
            <v>PONDASI</v>
          </cell>
          <cell r="G1115">
            <v>2</v>
          </cell>
          <cell r="H1115">
            <v>50</v>
          </cell>
        </row>
        <row r="1116">
          <cell r="D1116" t="str">
            <v>PELANGI 02</v>
          </cell>
          <cell r="E1116" t="str">
            <v>Semen PCC 40 Kg Tiga Roda</v>
          </cell>
          <cell r="F1116" t="str">
            <v>PONDASI</v>
          </cell>
          <cell r="G1116">
            <v>42</v>
          </cell>
          <cell r="H1116">
            <v>50</v>
          </cell>
        </row>
        <row r="1117">
          <cell r="D1117" t="str">
            <v>PELANGI 01</v>
          </cell>
          <cell r="E1117" t="str">
            <v xml:space="preserve">Pasir </v>
          </cell>
          <cell r="F1117" t="str">
            <v>URUG</v>
          </cell>
          <cell r="H1117">
            <v>70</v>
          </cell>
        </row>
        <row r="1118">
          <cell r="D1118" t="str">
            <v>PELANGI 01</v>
          </cell>
          <cell r="E1118" t="str">
            <v>Pipa 4"</v>
          </cell>
          <cell r="F1118" t="str">
            <v>URUG</v>
          </cell>
          <cell r="G1118">
            <v>4</v>
          </cell>
          <cell r="H1118">
            <v>70</v>
          </cell>
        </row>
        <row r="1119">
          <cell r="D1119" t="str">
            <v>PELANGI 01</v>
          </cell>
          <cell r="E1119" t="str">
            <v>Pipa 2"</v>
          </cell>
          <cell r="F1119" t="str">
            <v>URUG</v>
          </cell>
          <cell r="G1119">
            <v>4</v>
          </cell>
          <cell r="H1119">
            <v>70</v>
          </cell>
        </row>
        <row r="1120">
          <cell r="D1120" t="str">
            <v>PELANGI 01</v>
          </cell>
          <cell r="E1120" t="str">
            <v>Besi ø6</v>
          </cell>
          <cell r="F1120" t="str">
            <v>COR LANTAI</v>
          </cell>
          <cell r="H1120">
            <v>70</v>
          </cell>
        </row>
        <row r="1121">
          <cell r="D1121" t="str">
            <v>PELANGI 01</v>
          </cell>
          <cell r="E1121" t="str">
            <v>Pasir</v>
          </cell>
          <cell r="F1121" t="str">
            <v>COR LANTAI</v>
          </cell>
          <cell r="H1121">
            <v>70</v>
          </cell>
        </row>
        <row r="1122">
          <cell r="D1122" t="str">
            <v>PELANGI 01</v>
          </cell>
          <cell r="E1122" t="str">
            <v>Semen PCC 40 Kg Tiga Roda</v>
          </cell>
          <cell r="F1122" t="str">
            <v>COR LANTAI</v>
          </cell>
          <cell r="G1122">
            <v>16</v>
          </cell>
          <cell r="H1122">
            <v>70</v>
          </cell>
        </row>
        <row r="1123">
          <cell r="D1123" t="str">
            <v>PELANGI 01</v>
          </cell>
          <cell r="E1123" t="str">
            <v>Plastik cor</v>
          </cell>
          <cell r="F1123" t="str">
            <v>COR LANTAI</v>
          </cell>
          <cell r="G1123">
            <v>13</v>
          </cell>
          <cell r="H1123">
            <v>70</v>
          </cell>
        </row>
        <row r="1124">
          <cell r="D1124" t="str">
            <v>PELANGI 01</v>
          </cell>
          <cell r="E1124" t="str">
            <v>Semen PCC 40 Kg Tiga Roda</v>
          </cell>
          <cell r="F1124" t="str">
            <v>CARPORT</v>
          </cell>
          <cell r="G1124">
            <v>14</v>
          </cell>
          <cell r="H1124">
            <v>70</v>
          </cell>
        </row>
        <row r="1125">
          <cell r="D1125" t="str">
            <v>PELANGI 01</v>
          </cell>
          <cell r="E1125" t="str">
            <v>Kayu 3/5</v>
          </cell>
          <cell r="F1125" t="str">
            <v>CARPORT</v>
          </cell>
          <cell r="G1125">
            <v>5</v>
          </cell>
          <cell r="H1125">
            <v>70</v>
          </cell>
        </row>
        <row r="1126">
          <cell r="D1126" t="str">
            <v>PELANGI 01</v>
          </cell>
          <cell r="E1126" t="str">
            <v>Cerucuk</v>
          </cell>
          <cell r="F1126" t="str">
            <v>CARPORT</v>
          </cell>
          <cell r="G1126">
            <v>5</v>
          </cell>
          <cell r="H1126">
            <v>70</v>
          </cell>
        </row>
        <row r="1127">
          <cell r="D1127" t="str">
            <v>PELANGI 01</v>
          </cell>
          <cell r="E1127" t="str">
            <v>Papan Mal</v>
          </cell>
          <cell r="F1127" t="str">
            <v>CARPORT</v>
          </cell>
          <cell r="G1127">
            <v>10</v>
          </cell>
          <cell r="H1127">
            <v>70</v>
          </cell>
        </row>
        <row r="1128">
          <cell r="D1128" t="str">
            <v>PELANGI 01</v>
          </cell>
          <cell r="E1128" t="str">
            <v>Plastik cor</v>
          </cell>
          <cell r="F1128" t="str">
            <v>CARPORT</v>
          </cell>
          <cell r="G1128">
            <v>7</v>
          </cell>
          <cell r="H1128">
            <v>70</v>
          </cell>
        </row>
        <row r="1129">
          <cell r="D1129" t="str">
            <v>PELANGI 01</v>
          </cell>
          <cell r="E1129" t="str">
            <v>Besi ø6</v>
          </cell>
          <cell r="F1129" t="str">
            <v>CARPORT</v>
          </cell>
          <cell r="G1129">
            <v>2</v>
          </cell>
          <cell r="H1129">
            <v>70</v>
          </cell>
        </row>
        <row r="1130">
          <cell r="D1130" t="str">
            <v>PELANGI 01</v>
          </cell>
          <cell r="E1130" t="str">
            <v>Besi ø8</v>
          </cell>
          <cell r="F1130" t="str">
            <v>CARPORT</v>
          </cell>
          <cell r="G1130">
            <v>4</v>
          </cell>
          <cell r="H1130">
            <v>70</v>
          </cell>
        </row>
        <row r="1131">
          <cell r="D1131" t="str">
            <v>PELANGI 01</v>
          </cell>
          <cell r="E1131" t="str">
            <v>Batu</v>
          </cell>
          <cell r="F1131" t="str">
            <v>CARPORT</v>
          </cell>
          <cell r="G1131">
            <v>0.5</v>
          </cell>
          <cell r="H1131">
            <v>70</v>
          </cell>
        </row>
        <row r="1132">
          <cell r="D1132" t="str">
            <v>PELANGI 01</v>
          </cell>
          <cell r="E1132" t="str">
            <v>Pasir</v>
          </cell>
          <cell r="F1132" t="str">
            <v>CARPORT</v>
          </cell>
          <cell r="G1132">
            <v>6</v>
          </cell>
          <cell r="H1132">
            <v>70</v>
          </cell>
        </row>
        <row r="1133">
          <cell r="D1133" t="str">
            <v>PELANGI 01</v>
          </cell>
          <cell r="E1133" t="str">
            <v>Keramik 60 x 60 Blackmatt</v>
          </cell>
          <cell r="F1133" t="str">
            <v>CARPORT</v>
          </cell>
          <cell r="H1133">
            <v>70</v>
          </cell>
        </row>
        <row r="1134">
          <cell r="D1134" t="str">
            <v>PELANGI 02</v>
          </cell>
          <cell r="E1134" t="str">
            <v xml:space="preserve">Pasir </v>
          </cell>
          <cell r="F1134" t="str">
            <v>URUG</v>
          </cell>
          <cell r="G1134">
            <v>14</v>
          </cell>
          <cell r="H1134">
            <v>50</v>
          </cell>
        </row>
        <row r="1135">
          <cell r="D1135" t="str">
            <v>PELANGI 02</v>
          </cell>
          <cell r="E1135" t="str">
            <v>Pipa 4"</v>
          </cell>
          <cell r="F1135" t="str">
            <v>URUG</v>
          </cell>
          <cell r="G1135">
            <v>2</v>
          </cell>
          <cell r="H1135">
            <v>50</v>
          </cell>
        </row>
        <row r="1136">
          <cell r="D1136" t="str">
            <v>PELANGI 02</v>
          </cell>
          <cell r="E1136" t="str">
            <v>Pipa 2"</v>
          </cell>
          <cell r="F1136" t="str">
            <v>URUG</v>
          </cell>
          <cell r="G1136">
            <v>2</v>
          </cell>
          <cell r="H1136">
            <v>50</v>
          </cell>
        </row>
        <row r="1137">
          <cell r="D1137" t="str">
            <v>PELANGI 03</v>
          </cell>
          <cell r="E1137" t="str">
            <v>Besi ø6</v>
          </cell>
          <cell r="F1137" t="str">
            <v>PONDASI</v>
          </cell>
          <cell r="G1137">
            <v>10</v>
          </cell>
          <cell r="H1137">
            <v>55</v>
          </cell>
        </row>
        <row r="1138">
          <cell r="D1138" t="str">
            <v>PELANGI 03</v>
          </cell>
          <cell r="E1138" t="str">
            <v>Besi ø8 Ulir</v>
          </cell>
          <cell r="F1138" t="str">
            <v>PONDASI</v>
          </cell>
          <cell r="G1138">
            <v>35</v>
          </cell>
          <cell r="H1138">
            <v>55</v>
          </cell>
        </row>
        <row r="1139">
          <cell r="D1139" t="str">
            <v>PELANGI 03</v>
          </cell>
          <cell r="E1139" t="str">
            <v>Kayu 3/5</v>
          </cell>
          <cell r="F1139" t="str">
            <v>PONDASI</v>
          </cell>
          <cell r="G1139">
            <v>12</v>
          </cell>
          <cell r="H1139">
            <v>55</v>
          </cell>
        </row>
        <row r="1140">
          <cell r="D1140" t="str">
            <v>PELANGI 03</v>
          </cell>
          <cell r="E1140" t="str">
            <v>Cerucuk</v>
          </cell>
          <cell r="F1140" t="str">
            <v>PONDASI</v>
          </cell>
          <cell r="G1140">
            <v>71</v>
          </cell>
          <cell r="H1140">
            <v>55</v>
          </cell>
        </row>
        <row r="1141">
          <cell r="D1141" t="str">
            <v>PELANGI 03</v>
          </cell>
          <cell r="E1141" t="str">
            <v>Papan Mal</v>
          </cell>
          <cell r="F1141" t="str">
            <v>PONDASI</v>
          </cell>
          <cell r="H1141">
            <v>55</v>
          </cell>
        </row>
        <row r="1142">
          <cell r="D1142" t="str">
            <v>PELANGI 03</v>
          </cell>
          <cell r="E1142" t="str">
            <v xml:space="preserve">Pasir </v>
          </cell>
          <cell r="F1142" t="str">
            <v>PONDASI</v>
          </cell>
          <cell r="G1142">
            <v>12</v>
          </cell>
          <cell r="H1142">
            <v>55</v>
          </cell>
        </row>
        <row r="1143">
          <cell r="D1143" t="str">
            <v>PELANGI 03</v>
          </cell>
          <cell r="E1143" t="str">
            <v>Batu</v>
          </cell>
          <cell r="F1143" t="str">
            <v>PONDASI</v>
          </cell>
          <cell r="G1143">
            <v>1</v>
          </cell>
          <cell r="H1143">
            <v>55</v>
          </cell>
        </row>
        <row r="1144">
          <cell r="D1144" t="str">
            <v>PELANGI 03</v>
          </cell>
          <cell r="E1144" t="str">
            <v>Semen PCC 40 Kg Tiga Roda</v>
          </cell>
          <cell r="F1144" t="str">
            <v>PONDASI</v>
          </cell>
          <cell r="G1144">
            <v>45</v>
          </cell>
          <cell r="H1144">
            <v>55</v>
          </cell>
        </row>
        <row r="1145">
          <cell r="D1145" t="str">
            <v>ILALANG 01</v>
          </cell>
          <cell r="E1145" t="str">
            <v>Kayu 3/5</v>
          </cell>
          <cell r="F1145" t="str">
            <v>ATAP</v>
          </cell>
          <cell r="G1145">
            <v>74</v>
          </cell>
          <cell r="H1145">
            <v>45</v>
          </cell>
        </row>
        <row r="1146">
          <cell r="D1146" t="str">
            <v>ILALANG 01</v>
          </cell>
          <cell r="E1146" t="str">
            <v>Kayu 4/6</v>
          </cell>
          <cell r="F1146" t="str">
            <v>ATAP</v>
          </cell>
          <cell r="G1146">
            <v>45</v>
          </cell>
          <cell r="H1146">
            <v>45</v>
          </cell>
        </row>
        <row r="1147">
          <cell r="D1147" t="str">
            <v>ILALANG 01</v>
          </cell>
          <cell r="E1147" t="str">
            <v>Kayu 5/7</v>
          </cell>
          <cell r="F1147" t="str">
            <v>ATAP</v>
          </cell>
          <cell r="G1147">
            <v>30</v>
          </cell>
          <cell r="H1147">
            <v>45</v>
          </cell>
        </row>
        <row r="1148">
          <cell r="D1148" t="str">
            <v>ILALANG 01</v>
          </cell>
          <cell r="E1148" t="str">
            <v>Lisplank</v>
          </cell>
          <cell r="F1148" t="str">
            <v>ATAP</v>
          </cell>
          <cell r="G1148">
            <v>9</v>
          </cell>
          <cell r="H1148">
            <v>45</v>
          </cell>
        </row>
        <row r="1149">
          <cell r="D1149" t="str">
            <v>ILALANG 01</v>
          </cell>
          <cell r="E1149" t="str">
            <v>Seng  Metal 4 Susun (merah)</v>
          </cell>
          <cell r="F1149" t="str">
            <v>ATAP</v>
          </cell>
          <cell r="G1149">
            <v>65</v>
          </cell>
          <cell r="H1149">
            <v>45</v>
          </cell>
        </row>
        <row r="1150">
          <cell r="D1150" t="str">
            <v>ILALANG 01</v>
          </cell>
          <cell r="E1150" t="str">
            <v>Seng  Metal 2 Susun (hitam)</v>
          </cell>
          <cell r="F1150" t="str">
            <v>ATAP</v>
          </cell>
          <cell r="H1150">
            <v>45</v>
          </cell>
        </row>
        <row r="1151">
          <cell r="D1151" t="str">
            <v>ILALANG 01</v>
          </cell>
          <cell r="E1151" t="str">
            <v>Perabung Hitam</v>
          </cell>
          <cell r="F1151" t="str">
            <v>ATAP</v>
          </cell>
          <cell r="H1151">
            <v>45</v>
          </cell>
        </row>
        <row r="1152">
          <cell r="D1152" t="str">
            <v>ILALANG 01</v>
          </cell>
          <cell r="E1152" t="str">
            <v>Perabung Merah</v>
          </cell>
          <cell r="F1152" t="str">
            <v>ATAP</v>
          </cell>
          <cell r="G1152">
            <v>1</v>
          </cell>
          <cell r="H1152">
            <v>45</v>
          </cell>
        </row>
        <row r="1153">
          <cell r="D1153" t="str">
            <v>ILALANG 01</v>
          </cell>
          <cell r="E1153" t="str">
            <v>Paku 2 inch</v>
          </cell>
          <cell r="F1153" t="str">
            <v>ATAP</v>
          </cell>
          <cell r="G1153">
            <v>1</v>
          </cell>
          <cell r="H1153">
            <v>45</v>
          </cell>
        </row>
        <row r="1154">
          <cell r="D1154" t="str">
            <v>ILALANG 01</v>
          </cell>
          <cell r="E1154" t="str">
            <v>Paku 3 inch</v>
          </cell>
          <cell r="F1154" t="str">
            <v>ATAP</v>
          </cell>
          <cell r="G1154">
            <v>1</v>
          </cell>
          <cell r="H1154">
            <v>45</v>
          </cell>
        </row>
        <row r="1155">
          <cell r="D1155" t="str">
            <v>ILALANG 02</v>
          </cell>
          <cell r="E1155" t="str">
            <v>Kayu 3/5</v>
          </cell>
          <cell r="F1155" t="str">
            <v>ATAP</v>
          </cell>
          <cell r="G1155">
            <v>92</v>
          </cell>
          <cell r="H1155">
            <v>60</v>
          </cell>
        </row>
        <row r="1156">
          <cell r="D1156" t="str">
            <v>ILALANG 02</v>
          </cell>
          <cell r="E1156" t="str">
            <v>Kayu 4/6</v>
          </cell>
          <cell r="F1156" t="str">
            <v>ATAP</v>
          </cell>
          <cell r="G1156">
            <v>57</v>
          </cell>
          <cell r="H1156">
            <v>60</v>
          </cell>
        </row>
        <row r="1157">
          <cell r="D1157" t="str">
            <v>ILALANG 02</v>
          </cell>
          <cell r="E1157" t="str">
            <v>Kayu 5/7</v>
          </cell>
          <cell r="F1157" t="str">
            <v>ATAP</v>
          </cell>
          <cell r="G1157">
            <v>39</v>
          </cell>
          <cell r="H1157">
            <v>60</v>
          </cell>
        </row>
        <row r="1158">
          <cell r="D1158" t="str">
            <v>ILALANG 02</v>
          </cell>
          <cell r="E1158" t="str">
            <v>Lisplank</v>
          </cell>
          <cell r="F1158" t="str">
            <v>ATAP</v>
          </cell>
          <cell r="G1158">
            <v>10</v>
          </cell>
          <cell r="H1158">
            <v>60</v>
          </cell>
        </row>
        <row r="1159">
          <cell r="D1159" t="str">
            <v>ILALANG 02</v>
          </cell>
          <cell r="E1159" t="str">
            <v>Seng  Metal 4 Susun (merah)</v>
          </cell>
          <cell r="F1159" t="str">
            <v>ATAP</v>
          </cell>
          <cell r="G1159">
            <v>86</v>
          </cell>
          <cell r="H1159">
            <v>60</v>
          </cell>
        </row>
        <row r="1160">
          <cell r="D1160" t="str">
            <v>ILALANG 02</v>
          </cell>
          <cell r="E1160" t="str">
            <v>Seng  Metal 2 Susun (hitam)</v>
          </cell>
          <cell r="F1160" t="str">
            <v>ATAP</v>
          </cell>
          <cell r="H1160">
            <v>60</v>
          </cell>
        </row>
        <row r="1161">
          <cell r="D1161" t="str">
            <v>ILALANG 02</v>
          </cell>
          <cell r="E1161" t="str">
            <v>Perabung Hitam</v>
          </cell>
          <cell r="F1161" t="str">
            <v>ATAP</v>
          </cell>
          <cell r="H1161">
            <v>60</v>
          </cell>
        </row>
        <row r="1162">
          <cell r="D1162" t="str">
            <v>ILALANG 02</v>
          </cell>
          <cell r="E1162" t="str">
            <v>Perabung Merah</v>
          </cell>
          <cell r="F1162" t="str">
            <v>ATAP</v>
          </cell>
          <cell r="G1162">
            <v>1</v>
          </cell>
          <cell r="H1162">
            <v>60</v>
          </cell>
        </row>
        <row r="1163">
          <cell r="D1163" t="str">
            <v>ILALANG 02</v>
          </cell>
          <cell r="E1163" t="str">
            <v>Paku 2 inch</v>
          </cell>
          <cell r="F1163" t="str">
            <v>ATAP</v>
          </cell>
          <cell r="G1163">
            <v>1</v>
          </cell>
          <cell r="H1163">
            <v>60</v>
          </cell>
        </row>
        <row r="1164">
          <cell r="D1164" t="str">
            <v>ILALANG 02</v>
          </cell>
          <cell r="E1164" t="str">
            <v>Paku 3 inch</v>
          </cell>
          <cell r="F1164" t="str">
            <v>ATAP</v>
          </cell>
          <cell r="G1164">
            <v>1</v>
          </cell>
          <cell r="H1164">
            <v>60</v>
          </cell>
        </row>
        <row r="1165">
          <cell r="D1165" t="str">
            <v>KARYA 01</v>
          </cell>
          <cell r="E1165" t="str">
            <v>Semen PCC 40 Kg Tiga Roda</v>
          </cell>
          <cell r="F1165" t="str">
            <v>PLASTER</v>
          </cell>
          <cell r="G1165">
            <v>31</v>
          </cell>
          <cell r="H1165">
            <v>55</v>
          </cell>
        </row>
        <row r="1166">
          <cell r="D1166" t="str">
            <v>KARYA 01</v>
          </cell>
          <cell r="E1166" t="str">
            <v>Pasir</v>
          </cell>
          <cell r="F1166" t="str">
            <v>PLASTER</v>
          </cell>
          <cell r="G1166">
            <v>5</v>
          </cell>
          <cell r="H1166">
            <v>55</v>
          </cell>
        </row>
        <row r="1167">
          <cell r="D1167" t="str">
            <v>KARYA 01</v>
          </cell>
          <cell r="E1167" t="str">
            <v>Pipa 5/8</v>
          </cell>
          <cell r="F1167" t="str">
            <v>PLASTER</v>
          </cell>
          <cell r="G1167">
            <v>7</v>
          </cell>
          <cell r="H1167">
            <v>55</v>
          </cell>
        </row>
        <row r="1168">
          <cell r="D1168" t="str">
            <v>KARYA 01</v>
          </cell>
          <cell r="E1168" t="str">
            <v>Kayu 3/5</v>
          </cell>
          <cell r="F1168" t="str">
            <v>ATAP</v>
          </cell>
          <cell r="H1168">
            <v>55</v>
          </cell>
        </row>
        <row r="1169">
          <cell r="D1169" t="str">
            <v>KARYA 01</v>
          </cell>
          <cell r="E1169" t="str">
            <v>Kayu 4/6</v>
          </cell>
          <cell r="F1169" t="str">
            <v>ATAP</v>
          </cell>
          <cell r="H1169">
            <v>55</v>
          </cell>
        </row>
        <row r="1170">
          <cell r="D1170" t="str">
            <v>KARYA 01</v>
          </cell>
          <cell r="E1170" t="str">
            <v>Kayu 5/7</v>
          </cell>
          <cell r="F1170" t="str">
            <v>ATAP</v>
          </cell>
          <cell r="G1170">
            <v>30</v>
          </cell>
          <cell r="H1170">
            <v>55</v>
          </cell>
        </row>
        <row r="1171">
          <cell r="D1171" t="str">
            <v>KARYA 01</v>
          </cell>
          <cell r="E1171" t="str">
            <v>Lisplank</v>
          </cell>
          <cell r="F1171" t="str">
            <v>ATAP</v>
          </cell>
          <cell r="H1171">
            <v>55</v>
          </cell>
        </row>
        <row r="1172">
          <cell r="D1172" t="str">
            <v>KARYA 01</v>
          </cell>
          <cell r="E1172" t="str">
            <v>Seng  Metal 4 Susun (merah)</v>
          </cell>
          <cell r="F1172" t="str">
            <v>ATAP</v>
          </cell>
          <cell r="H1172">
            <v>55</v>
          </cell>
        </row>
        <row r="1173">
          <cell r="D1173" t="str">
            <v>KARYA 01</v>
          </cell>
          <cell r="E1173" t="str">
            <v>Seng  Metal 2 Susun (hitam)</v>
          </cell>
          <cell r="F1173" t="str">
            <v>ATAP</v>
          </cell>
          <cell r="H1173">
            <v>55</v>
          </cell>
        </row>
        <row r="1174">
          <cell r="D1174" t="str">
            <v>KARYA 01</v>
          </cell>
          <cell r="E1174" t="str">
            <v>Perabung Hitam</v>
          </cell>
          <cell r="F1174" t="str">
            <v>ATAP</v>
          </cell>
          <cell r="H1174">
            <v>55</v>
          </cell>
        </row>
        <row r="1175">
          <cell r="D1175" t="str">
            <v>KARYA 01</v>
          </cell>
          <cell r="E1175" t="str">
            <v>Perabung Merah</v>
          </cell>
          <cell r="F1175" t="str">
            <v>ATAP</v>
          </cell>
          <cell r="H1175">
            <v>55</v>
          </cell>
        </row>
        <row r="1176">
          <cell r="D1176" t="str">
            <v>KARYA 01</v>
          </cell>
          <cell r="E1176" t="str">
            <v>Paku 2 inch</v>
          </cell>
          <cell r="F1176" t="str">
            <v>ATAP</v>
          </cell>
          <cell r="G1176">
            <v>1</v>
          </cell>
          <cell r="H1176">
            <v>55</v>
          </cell>
        </row>
        <row r="1177">
          <cell r="D1177" t="str">
            <v>KARYA 01</v>
          </cell>
          <cell r="E1177" t="str">
            <v>Paku 3 inch</v>
          </cell>
          <cell r="F1177" t="str">
            <v>ATAP</v>
          </cell>
          <cell r="G1177">
            <v>1</v>
          </cell>
          <cell r="H1177">
            <v>55</v>
          </cell>
        </row>
        <row r="1178">
          <cell r="D1178" t="str">
            <v>KARYA 02</v>
          </cell>
          <cell r="E1178" t="str">
            <v>Bata</v>
          </cell>
          <cell r="F1178" t="str">
            <v>PAGAR</v>
          </cell>
          <cell r="G1178">
            <v>635</v>
          </cell>
          <cell r="H1178">
            <v>60</v>
          </cell>
        </row>
        <row r="1179">
          <cell r="D1179" t="str">
            <v>KARYA 02</v>
          </cell>
          <cell r="E1179" t="str">
            <v>Pasir</v>
          </cell>
          <cell r="F1179" t="str">
            <v>PAGAR</v>
          </cell>
          <cell r="G1179">
            <v>4</v>
          </cell>
          <cell r="H1179">
            <v>60</v>
          </cell>
        </row>
        <row r="1180">
          <cell r="D1180" t="str">
            <v>KARYA 02</v>
          </cell>
          <cell r="E1180" t="str">
            <v>Semen PCC 40 Kg Tiga Roda</v>
          </cell>
          <cell r="F1180" t="str">
            <v>PAGAR</v>
          </cell>
          <cell r="G1180">
            <v>22</v>
          </cell>
          <cell r="H1180">
            <v>60</v>
          </cell>
        </row>
        <row r="1181">
          <cell r="D1181" t="str">
            <v>KARYA 02</v>
          </cell>
          <cell r="E1181" t="str">
            <v xml:space="preserve">Besi ø6 </v>
          </cell>
          <cell r="F1181" t="str">
            <v>PAGAR</v>
          </cell>
          <cell r="G1181">
            <v>3</v>
          </cell>
          <cell r="H1181">
            <v>60</v>
          </cell>
        </row>
        <row r="1182">
          <cell r="D1182" t="str">
            <v>KARYA 02</v>
          </cell>
          <cell r="E1182" t="str">
            <v>Besi ø8</v>
          </cell>
          <cell r="F1182" t="str">
            <v>PAGAR</v>
          </cell>
          <cell r="G1182">
            <v>5</v>
          </cell>
          <cell r="H1182">
            <v>60</v>
          </cell>
        </row>
        <row r="1183">
          <cell r="D1183" t="str">
            <v>KARYA 04</v>
          </cell>
          <cell r="E1183" t="str">
            <v>Semen PCC 40 Kg Tiga Roda</v>
          </cell>
          <cell r="F1183" t="str">
            <v>MINIMALIS CARPORT</v>
          </cell>
          <cell r="G1183">
            <v>16</v>
          </cell>
          <cell r="H1183">
            <v>55</v>
          </cell>
        </row>
        <row r="1184">
          <cell r="D1184" t="str">
            <v>KARYA 04</v>
          </cell>
          <cell r="E1184" t="str">
            <v>Pasir</v>
          </cell>
          <cell r="F1184" t="str">
            <v>MINIMALIS CARPORT</v>
          </cell>
          <cell r="G1184">
            <v>4</v>
          </cell>
          <cell r="H1184">
            <v>55</v>
          </cell>
        </row>
        <row r="1185">
          <cell r="D1185" t="str">
            <v>KARYA 07</v>
          </cell>
          <cell r="E1185" t="str">
            <v>Semen TR-30 40 Kg Tiga Roda</v>
          </cell>
          <cell r="F1185" t="str">
            <v>ACI MINIMALIS</v>
          </cell>
          <cell r="G1185">
            <v>5</v>
          </cell>
          <cell r="H1185">
            <v>55</v>
          </cell>
        </row>
        <row r="1186">
          <cell r="D1186" t="str">
            <v>KARYA 09</v>
          </cell>
          <cell r="E1186" t="str">
            <v>Mowilex weathercoat</v>
          </cell>
          <cell r="F1186" t="str">
            <v>CAT</v>
          </cell>
          <cell r="H1186">
            <v>70</v>
          </cell>
        </row>
        <row r="1187">
          <cell r="D1187" t="str">
            <v>KARYA 09</v>
          </cell>
          <cell r="E1187" t="str">
            <v>Nippon pain  Q--luc</v>
          </cell>
          <cell r="F1187" t="str">
            <v>CAT</v>
          </cell>
          <cell r="G1187">
            <v>1</v>
          </cell>
          <cell r="H1187">
            <v>70</v>
          </cell>
        </row>
        <row r="1188">
          <cell r="D1188" t="str">
            <v>KARYA 09</v>
          </cell>
          <cell r="E1188" t="str">
            <v>Semen TR-30 40 Kg Tiga Roda</v>
          </cell>
          <cell r="F1188" t="str">
            <v>CAT</v>
          </cell>
          <cell r="G1188">
            <v>8</v>
          </cell>
          <cell r="H1188">
            <v>70</v>
          </cell>
        </row>
        <row r="1189">
          <cell r="D1189" t="str">
            <v>KARYA 09</v>
          </cell>
          <cell r="E1189" t="str">
            <v>Semen Aci Putih 25 kg</v>
          </cell>
          <cell r="F1189" t="str">
            <v>CAT</v>
          </cell>
          <cell r="G1189">
            <v>1</v>
          </cell>
          <cell r="H1189">
            <v>70</v>
          </cell>
        </row>
        <row r="1190">
          <cell r="D1190" t="str">
            <v>KARYA 09</v>
          </cell>
          <cell r="E1190" t="str">
            <v>Semen TR-30 40 Kg Tiga Roda</v>
          </cell>
          <cell r="F1190" t="str">
            <v>ACI MINIMALIS</v>
          </cell>
          <cell r="G1190">
            <v>1</v>
          </cell>
          <cell r="H1190">
            <v>70</v>
          </cell>
        </row>
        <row r="1191">
          <cell r="D1191" t="str">
            <v>KARYA 09</v>
          </cell>
          <cell r="E1191" t="str">
            <v xml:space="preserve">Keramik 30 x 30 </v>
          </cell>
          <cell r="F1191" t="str">
            <v>WC</v>
          </cell>
          <cell r="G1191">
            <v>3</v>
          </cell>
          <cell r="H1191">
            <v>70</v>
          </cell>
        </row>
        <row r="1192">
          <cell r="D1192" t="str">
            <v>KARYA 09</v>
          </cell>
          <cell r="E1192" t="str">
            <v>Keramik 25 x 40</v>
          </cell>
          <cell r="F1192" t="str">
            <v>WC</v>
          </cell>
          <cell r="G1192">
            <v>11</v>
          </cell>
          <cell r="H1192">
            <v>70</v>
          </cell>
        </row>
        <row r="1193">
          <cell r="D1193" t="str">
            <v>KARYA 09</v>
          </cell>
          <cell r="E1193" t="str">
            <v>Closed jongkok Ina</v>
          </cell>
          <cell r="F1193" t="str">
            <v>WC</v>
          </cell>
          <cell r="H1193">
            <v>70</v>
          </cell>
        </row>
        <row r="1194">
          <cell r="D1194" t="str">
            <v>KARYA 09</v>
          </cell>
          <cell r="E1194" t="str">
            <v>Closed Duduk Volk</v>
          </cell>
          <cell r="F1194" t="str">
            <v>WC</v>
          </cell>
          <cell r="H1194">
            <v>70</v>
          </cell>
        </row>
        <row r="1195">
          <cell r="D1195" t="str">
            <v>KARYA 09</v>
          </cell>
          <cell r="E1195" t="str">
            <v>Floor drain</v>
          </cell>
          <cell r="F1195" t="str">
            <v>WC</v>
          </cell>
          <cell r="G1195">
            <v>1</v>
          </cell>
          <cell r="H1195">
            <v>70</v>
          </cell>
        </row>
        <row r="1196">
          <cell r="D1196" t="str">
            <v>KARYA 09</v>
          </cell>
          <cell r="E1196" t="str">
            <v>Pasir</v>
          </cell>
          <cell r="F1196" t="str">
            <v>WC</v>
          </cell>
          <cell r="G1196">
            <v>1</v>
          </cell>
          <cell r="H1196">
            <v>70</v>
          </cell>
        </row>
        <row r="1197">
          <cell r="D1197" t="str">
            <v>KARYA 09</v>
          </cell>
          <cell r="E1197" t="str">
            <v>Semen PCC 40 Kg Tiga Roda</v>
          </cell>
          <cell r="F1197" t="str">
            <v>WC</v>
          </cell>
          <cell r="G1197">
            <v>2</v>
          </cell>
          <cell r="H1197">
            <v>70</v>
          </cell>
        </row>
        <row r="1198">
          <cell r="D1198" t="str">
            <v>KARYA 09</v>
          </cell>
          <cell r="E1198" t="str">
            <v>Bak Air</v>
          </cell>
          <cell r="F1198" t="str">
            <v>WC</v>
          </cell>
          <cell r="H1198">
            <v>70</v>
          </cell>
        </row>
        <row r="1199">
          <cell r="D1199" t="str">
            <v>KARYA 09</v>
          </cell>
          <cell r="E1199" t="str">
            <v>Pipa 1/2"</v>
          </cell>
          <cell r="F1199" t="str">
            <v>WC</v>
          </cell>
          <cell r="H1199">
            <v>70</v>
          </cell>
        </row>
        <row r="1200">
          <cell r="D1200" t="str">
            <v>KARYA 09</v>
          </cell>
          <cell r="E1200" t="str">
            <v>Lbow 1/2"</v>
          </cell>
          <cell r="F1200" t="str">
            <v>WC</v>
          </cell>
          <cell r="H1200">
            <v>70</v>
          </cell>
        </row>
        <row r="1201">
          <cell r="D1201" t="str">
            <v>KARYA 09</v>
          </cell>
          <cell r="E1201" t="str">
            <v>Kran Air Plastik 1/2"</v>
          </cell>
          <cell r="F1201" t="str">
            <v>WC</v>
          </cell>
          <cell r="H1201">
            <v>70</v>
          </cell>
        </row>
        <row r="1202">
          <cell r="D1202" t="str">
            <v>KARYA 09</v>
          </cell>
          <cell r="E1202" t="str">
            <v>SDD 1/2"</v>
          </cell>
          <cell r="F1202" t="str">
            <v>WC</v>
          </cell>
          <cell r="H1202">
            <v>70</v>
          </cell>
        </row>
        <row r="1203">
          <cell r="D1203" t="str">
            <v>DINA CITRA</v>
          </cell>
          <cell r="E1203" t="str">
            <v>Mowilex weathercoat</v>
          </cell>
          <cell r="F1203" t="str">
            <v>CAT</v>
          </cell>
          <cell r="H1203">
            <v>40</v>
          </cell>
        </row>
        <row r="1204">
          <cell r="D1204" t="str">
            <v>DINA CITRA</v>
          </cell>
          <cell r="E1204" t="str">
            <v>Nippon pain  Q--luc</v>
          </cell>
          <cell r="F1204" t="str">
            <v>CAT</v>
          </cell>
          <cell r="G1204">
            <v>2</v>
          </cell>
          <cell r="H1204">
            <v>40</v>
          </cell>
        </row>
        <row r="1205">
          <cell r="D1205" t="str">
            <v>DINA CITRA</v>
          </cell>
          <cell r="E1205" t="str">
            <v>Semen TR-30 40 Kg Tiga Roda</v>
          </cell>
          <cell r="F1205" t="str">
            <v>CAT</v>
          </cell>
          <cell r="G1205">
            <v>6</v>
          </cell>
          <cell r="H1205">
            <v>40</v>
          </cell>
        </row>
        <row r="1206">
          <cell r="D1206" t="str">
            <v>DINA CITRA</v>
          </cell>
          <cell r="E1206" t="str">
            <v>Semen Aci Putih 25 kg</v>
          </cell>
          <cell r="F1206" t="str">
            <v>CAT</v>
          </cell>
          <cell r="G1206">
            <v>1</v>
          </cell>
          <cell r="H1206">
            <v>40</v>
          </cell>
        </row>
        <row r="1207">
          <cell r="D1207" t="str">
            <v>DINA CITRA</v>
          </cell>
          <cell r="E1207" t="str">
            <v>Kayu 3/5</v>
          </cell>
          <cell r="F1207" t="str">
            <v>DEK</v>
          </cell>
          <cell r="G1207">
            <v>107</v>
          </cell>
          <cell r="H1207">
            <v>40</v>
          </cell>
        </row>
        <row r="1208">
          <cell r="D1208" t="str">
            <v>DINA CITRA</v>
          </cell>
          <cell r="E1208" t="str">
            <v>Gypsum</v>
          </cell>
          <cell r="F1208" t="str">
            <v>DEK</v>
          </cell>
          <cell r="G1208">
            <v>20</v>
          </cell>
          <cell r="H1208">
            <v>40</v>
          </cell>
        </row>
        <row r="1209">
          <cell r="D1209" t="str">
            <v>DINA CITRA</v>
          </cell>
          <cell r="E1209" t="str">
            <v>Baut</v>
          </cell>
          <cell r="F1209" t="str">
            <v>DEK</v>
          </cell>
          <cell r="G1209">
            <v>2</v>
          </cell>
          <cell r="H1209">
            <v>40</v>
          </cell>
        </row>
        <row r="1210">
          <cell r="D1210" t="str">
            <v>DINA CITRA</v>
          </cell>
          <cell r="E1210" t="str">
            <v>Paku Beton 4 inch</v>
          </cell>
          <cell r="F1210" t="str">
            <v>DEK</v>
          </cell>
          <cell r="G1210">
            <v>1</v>
          </cell>
          <cell r="H1210">
            <v>40</v>
          </cell>
        </row>
        <row r="1211">
          <cell r="D1211" t="str">
            <v>DINA CITRA</v>
          </cell>
          <cell r="E1211" t="str">
            <v>Paku 3 imch</v>
          </cell>
          <cell r="F1211" t="str">
            <v>DEK</v>
          </cell>
          <cell r="G1211">
            <v>1</v>
          </cell>
          <cell r="H1211">
            <v>40</v>
          </cell>
        </row>
        <row r="1212">
          <cell r="D1212" t="str">
            <v>DINA CITRA</v>
          </cell>
          <cell r="E1212" t="str">
            <v>paku 2 inch</v>
          </cell>
          <cell r="F1212" t="str">
            <v>DEK</v>
          </cell>
          <cell r="G1212">
            <v>1</v>
          </cell>
          <cell r="H1212">
            <v>40</v>
          </cell>
        </row>
        <row r="1213">
          <cell r="D1213" t="str">
            <v>KARYA 04</v>
          </cell>
          <cell r="E1213" t="str">
            <v>Pintu Kayu 120 x 220</v>
          </cell>
          <cell r="F1213" t="str">
            <v>PINTU</v>
          </cell>
          <cell r="G1213">
            <v>1</v>
          </cell>
          <cell r="H1213">
            <v>55</v>
          </cell>
        </row>
        <row r="1214">
          <cell r="D1214" t="str">
            <v>KARYA 04</v>
          </cell>
          <cell r="E1214" t="str">
            <v>Pintu Kayu 80 x 220</v>
          </cell>
          <cell r="F1214" t="str">
            <v>PINTU</v>
          </cell>
          <cell r="G1214">
            <v>1</v>
          </cell>
          <cell r="H1214">
            <v>55</v>
          </cell>
        </row>
        <row r="1215">
          <cell r="D1215" t="str">
            <v>KARYA 04</v>
          </cell>
          <cell r="E1215" t="str">
            <v>Pintu WC PVC Biru</v>
          </cell>
          <cell r="F1215" t="str">
            <v>PINTU</v>
          </cell>
          <cell r="H1215">
            <v>55</v>
          </cell>
        </row>
        <row r="1216">
          <cell r="D1216" t="str">
            <v>KARYA 04</v>
          </cell>
          <cell r="E1216" t="str">
            <v>Pintu WC Edenjoice Putih</v>
          </cell>
          <cell r="F1216" t="str">
            <v>PINTU</v>
          </cell>
          <cell r="H1216">
            <v>55</v>
          </cell>
        </row>
        <row r="1217">
          <cell r="D1217" t="str">
            <v>KARYA 04</v>
          </cell>
          <cell r="E1217" t="str">
            <v>Engsel Pintu 4"</v>
          </cell>
          <cell r="F1217" t="str">
            <v>PINTU</v>
          </cell>
          <cell r="G1217">
            <v>3</v>
          </cell>
          <cell r="H1217">
            <v>55</v>
          </cell>
        </row>
        <row r="1218">
          <cell r="D1218" t="str">
            <v>KARYA 04</v>
          </cell>
          <cell r="E1218" t="str">
            <v>Peganggan pintu 2 daun</v>
          </cell>
          <cell r="F1218" t="str">
            <v>PINTU</v>
          </cell>
          <cell r="G1218">
            <v>2</v>
          </cell>
          <cell r="H1218">
            <v>55</v>
          </cell>
        </row>
        <row r="1219">
          <cell r="D1219" t="str">
            <v>KARYA 04</v>
          </cell>
          <cell r="E1219" t="str">
            <v>Pengunci Pintu 2 daun</v>
          </cell>
          <cell r="F1219" t="str">
            <v>PINTU</v>
          </cell>
          <cell r="G1219">
            <v>1</v>
          </cell>
          <cell r="H1219">
            <v>55</v>
          </cell>
        </row>
        <row r="1220">
          <cell r="D1220" t="str">
            <v>KARYA 04</v>
          </cell>
          <cell r="E1220" t="str">
            <v>Pegangan kunci 1 daun</v>
          </cell>
          <cell r="F1220" t="str">
            <v>PINTU</v>
          </cell>
          <cell r="G1220">
            <v>1</v>
          </cell>
          <cell r="H1220">
            <v>55</v>
          </cell>
        </row>
        <row r="1221">
          <cell r="D1221" t="str">
            <v>KARYA 04</v>
          </cell>
          <cell r="E1221" t="str">
            <v xml:space="preserve">Avian </v>
          </cell>
          <cell r="F1221" t="str">
            <v>PINTU</v>
          </cell>
          <cell r="H1221">
            <v>55</v>
          </cell>
        </row>
        <row r="1222">
          <cell r="D1222" t="str">
            <v>KARYA 04</v>
          </cell>
          <cell r="E1222" t="str">
            <v>Tinner Nb Kaleng</v>
          </cell>
          <cell r="F1222" t="str">
            <v>PINTU</v>
          </cell>
          <cell r="H1222">
            <v>55</v>
          </cell>
        </row>
        <row r="1223">
          <cell r="D1223" t="str">
            <v>KARYA 04</v>
          </cell>
          <cell r="E1223" t="str">
            <v>Slot 6 "</v>
          </cell>
          <cell r="F1223" t="str">
            <v>PINTU</v>
          </cell>
          <cell r="G1223">
            <v>1</v>
          </cell>
          <cell r="H1223">
            <v>55</v>
          </cell>
        </row>
        <row r="1224">
          <cell r="D1224" t="str">
            <v>KARYA 04</v>
          </cell>
          <cell r="E1224" t="str">
            <v>Slot 4"</v>
          </cell>
          <cell r="F1224" t="str">
            <v>PINTU</v>
          </cell>
          <cell r="G1224">
            <v>1</v>
          </cell>
          <cell r="H1224">
            <v>55</v>
          </cell>
        </row>
        <row r="1225">
          <cell r="D1225" t="str">
            <v>SUKABASUKI</v>
          </cell>
          <cell r="E1225" t="str">
            <v>Keramik 60 x 60 Cream</v>
          </cell>
          <cell r="F1225" t="str">
            <v>KERAMIK</v>
          </cell>
          <cell r="G1225">
            <v>75</v>
          </cell>
          <cell r="H1225">
            <v>100</v>
          </cell>
        </row>
        <row r="1226">
          <cell r="D1226" t="str">
            <v>SUKABASUKI</v>
          </cell>
          <cell r="E1226" t="str">
            <v>Keramik 60 x 60 Blackmatt</v>
          </cell>
          <cell r="F1226" t="str">
            <v>KERAMIK</v>
          </cell>
          <cell r="H1226">
            <v>100</v>
          </cell>
        </row>
        <row r="1227">
          <cell r="D1227" t="str">
            <v>SUKABASUKI</v>
          </cell>
          <cell r="E1227" t="str">
            <v>Pasir</v>
          </cell>
          <cell r="F1227" t="str">
            <v>KERAMIK</v>
          </cell>
          <cell r="G1227">
            <v>10</v>
          </cell>
          <cell r="H1227">
            <v>100</v>
          </cell>
        </row>
        <row r="1228">
          <cell r="D1228" t="str">
            <v>SUKABASUKI</v>
          </cell>
          <cell r="E1228" t="str">
            <v>Semen PCC 40 Kg Tiga Roda</v>
          </cell>
          <cell r="F1228" t="str">
            <v>KERAMIK</v>
          </cell>
          <cell r="G1228">
            <v>33</v>
          </cell>
          <cell r="H1228">
            <v>100</v>
          </cell>
        </row>
        <row r="1229">
          <cell r="D1229" t="str">
            <v>SUKABASUKI</v>
          </cell>
          <cell r="E1229" t="str">
            <v>Oker</v>
          </cell>
          <cell r="F1229" t="str">
            <v>KERAMIK</v>
          </cell>
          <cell r="G1229">
            <v>2</v>
          </cell>
          <cell r="H1229">
            <v>100</v>
          </cell>
        </row>
        <row r="1230">
          <cell r="D1230" t="str">
            <v>SUKABASUKI</v>
          </cell>
          <cell r="E1230" t="str">
            <v xml:space="preserve">Keramik 30 x 30 </v>
          </cell>
          <cell r="F1230" t="str">
            <v>WC</v>
          </cell>
          <cell r="G1230">
            <v>6</v>
          </cell>
          <cell r="H1230">
            <v>100</v>
          </cell>
        </row>
        <row r="1231">
          <cell r="D1231" t="str">
            <v>SUKABASUKI</v>
          </cell>
          <cell r="E1231" t="str">
            <v>Keramik 25 x 40</v>
          </cell>
          <cell r="F1231" t="str">
            <v>WC</v>
          </cell>
          <cell r="G1231">
            <v>32</v>
          </cell>
          <cell r="H1231">
            <v>100</v>
          </cell>
        </row>
        <row r="1232">
          <cell r="D1232" t="str">
            <v>SUKABASUKI</v>
          </cell>
          <cell r="E1232" t="str">
            <v>Closed jongkok Ina</v>
          </cell>
          <cell r="F1232" t="str">
            <v>WC</v>
          </cell>
          <cell r="H1232">
            <v>100</v>
          </cell>
        </row>
        <row r="1233">
          <cell r="D1233" t="str">
            <v>SUKABASUKI</v>
          </cell>
          <cell r="E1233" t="str">
            <v>Closed Duduk Volk</v>
          </cell>
          <cell r="F1233" t="str">
            <v>WC</v>
          </cell>
          <cell r="H1233">
            <v>100</v>
          </cell>
        </row>
        <row r="1234">
          <cell r="D1234" t="str">
            <v>SUKABASUKI</v>
          </cell>
          <cell r="E1234" t="str">
            <v>Floor drain</v>
          </cell>
          <cell r="F1234" t="str">
            <v>WC</v>
          </cell>
          <cell r="G1234">
            <v>1</v>
          </cell>
          <cell r="H1234">
            <v>100</v>
          </cell>
        </row>
        <row r="1235">
          <cell r="D1235" t="str">
            <v>SUKABASUKI</v>
          </cell>
          <cell r="E1235" t="str">
            <v>Pasir</v>
          </cell>
          <cell r="F1235" t="str">
            <v>WC</v>
          </cell>
          <cell r="G1235">
            <v>3</v>
          </cell>
          <cell r="H1235">
            <v>100</v>
          </cell>
        </row>
        <row r="1236">
          <cell r="D1236" t="str">
            <v>SUKABASUKI</v>
          </cell>
          <cell r="E1236" t="str">
            <v>Semen PCC 40 Kg Tiga Roda</v>
          </cell>
          <cell r="F1236" t="str">
            <v>WC</v>
          </cell>
          <cell r="G1236">
            <v>3</v>
          </cell>
          <cell r="H1236">
            <v>100</v>
          </cell>
        </row>
        <row r="1237">
          <cell r="D1237" t="str">
            <v>SUKABASUKI</v>
          </cell>
          <cell r="E1237" t="str">
            <v>Bak Air</v>
          </cell>
          <cell r="F1237" t="str">
            <v>WC</v>
          </cell>
          <cell r="H1237">
            <v>100</v>
          </cell>
        </row>
        <row r="1238">
          <cell r="D1238" t="str">
            <v>SUKABASUKI</v>
          </cell>
          <cell r="E1238" t="str">
            <v>Pipa 1/2"</v>
          </cell>
          <cell r="F1238" t="str">
            <v>WC</v>
          </cell>
          <cell r="G1238">
            <v>2</v>
          </cell>
          <cell r="H1238">
            <v>100</v>
          </cell>
        </row>
        <row r="1239">
          <cell r="D1239" t="str">
            <v>SUKABASUKI</v>
          </cell>
          <cell r="E1239" t="str">
            <v>Lbow 1/2"</v>
          </cell>
          <cell r="F1239" t="str">
            <v>WC</v>
          </cell>
          <cell r="G1239">
            <v>6</v>
          </cell>
          <cell r="H1239">
            <v>100</v>
          </cell>
        </row>
        <row r="1240">
          <cell r="D1240" t="str">
            <v>SUKABASUKI</v>
          </cell>
          <cell r="E1240" t="str">
            <v>Kran Air Plastik 1/2"</v>
          </cell>
          <cell r="F1240" t="str">
            <v>WC</v>
          </cell>
          <cell r="G1240">
            <v>2</v>
          </cell>
          <cell r="H1240">
            <v>100</v>
          </cell>
        </row>
        <row r="1241">
          <cell r="D1241" t="str">
            <v>SUKABASUKI</v>
          </cell>
          <cell r="E1241" t="str">
            <v>SDD 1/2"</v>
          </cell>
          <cell r="F1241" t="str">
            <v>WC</v>
          </cell>
          <cell r="G1241">
            <v>2</v>
          </cell>
          <cell r="H1241">
            <v>100</v>
          </cell>
        </row>
        <row r="1242">
          <cell r="D1242" t="str">
            <v>ILALANG 01</v>
          </cell>
          <cell r="E1242" t="str">
            <v>Kayu 3/5</v>
          </cell>
          <cell r="F1242" t="str">
            <v>DEK</v>
          </cell>
          <cell r="G1242">
            <v>80</v>
          </cell>
          <cell r="H1242">
            <v>45</v>
          </cell>
        </row>
        <row r="1243">
          <cell r="D1243" t="str">
            <v>ILALANG 01</v>
          </cell>
          <cell r="E1243" t="str">
            <v>Gypsum</v>
          </cell>
          <cell r="F1243" t="str">
            <v>DEK</v>
          </cell>
          <cell r="G1243">
            <v>20</v>
          </cell>
          <cell r="H1243">
            <v>45</v>
          </cell>
        </row>
        <row r="1244">
          <cell r="D1244" t="str">
            <v>ILALANG 01</v>
          </cell>
          <cell r="E1244" t="str">
            <v>Baut</v>
          </cell>
          <cell r="F1244" t="str">
            <v>DEK</v>
          </cell>
          <cell r="G1244">
            <v>3</v>
          </cell>
          <cell r="H1244">
            <v>45</v>
          </cell>
        </row>
        <row r="1245">
          <cell r="D1245" t="str">
            <v>ILALANG 01</v>
          </cell>
          <cell r="E1245" t="str">
            <v>Paku Beton 4 inch</v>
          </cell>
          <cell r="F1245" t="str">
            <v>DEK</v>
          </cell>
          <cell r="G1245">
            <v>1</v>
          </cell>
          <cell r="H1245">
            <v>45</v>
          </cell>
        </row>
        <row r="1246">
          <cell r="D1246" t="str">
            <v>ILALANG 01</v>
          </cell>
          <cell r="E1246" t="str">
            <v>Paku 3 imch</v>
          </cell>
          <cell r="F1246" t="str">
            <v>DEK</v>
          </cell>
          <cell r="G1246">
            <v>1</v>
          </cell>
          <cell r="H1246">
            <v>45</v>
          </cell>
        </row>
        <row r="1247">
          <cell r="D1247" t="str">
            <v>ILALANG 01</v>
          </cell>
          <cell r="E1247" t="str">
            <v>paku 2 inch</v>
          </cell>
          <cell r="F1247" t="str">
            <v>DEK</v>
          </cell>
          <cell r="G1247">
            <v>1</v>
          </cell>
          <cell r="H1247">
            <v>45</v>
          </cell>
        </row>
        <row r="1248">
          <cell r="D1248" t="str">
            <v>ILALANG 01</v>
          </cell>
          <cell r="E1248" t="str">
            <v>Bata</v>
          </cell>
          <cell r="F1248" t="str">
            <v>MINIMALIS</v>
          </cell>
          <cell r="G1248">
            <v>70</v>
          </cell>
          <cell r="H1248">
            <v>45</v>
          </cell>
        </row>
        <row r="1249">
          <cell r="D1249" t="str">
            <v>ILALANG 01</v>
          </cell>
          <cell r="E1249" t="str">
            <v>Pasir</v>
          </cell>
          <cell r="F1249" t="str">
            <v>MINIMALIS</v>
          </cell>
          <cell r="G1249">
            <v>1</v>
          </cell>
          <cell r="H1249">
            <v>45</v>
          </cell>
        </row>
        <row r="1250">
          <cell r="D1250" t="str">
            <v>ILALANG 01</v>
          </cell>
          <cell r="E1250" t="str">
            <v>Semen PCC 40 Kg Tiga Roda</v>
          </cell>
          <cell r="F1250" t="str">
            <v>MINIMALIS</v>
          </cell>
          <cell r="G1250">
            <v>4</v>
          </cell>
          <cell r="H1250">
            <v>45</v>
          </cell>
        </row>
        <row r="1251">
          <cell r="D1251" t="str">
            <v>ILALANG 01</v>
          </cell>
          <cell r="E1251" t="str">
            <v>Keramik 60 x 60 Blackmatt</v>
          </cell>
          <cell r="F1251" t="str">
            <v>MINIMALIS</v>
          </cell>
          <cell r="H1251">
            <v>45</v>
          </cell>
        </row>
        <row r="1252">
          <cell r="D1252" t="str">
            <v>ILALANG 01</v>
          </cell>
          <cell r="E1252" t="str">
            <v>Keramik 60 x 60 Cream</v>
          </cell>
          <cell r="F1252" t="str">
            <v>KERAMIK</v>
          </cell>
          <cell r="G1252">
            <v>16</v>
          </cell>
          <cell r="H1252">
            <v>45</v>
          </cell>
        </row>
        <row r="1253">
          <cell r="D1253" t="str">
            <v>ILALANG 01</v>
          </cell>
          <cell r="E1253" t="str">
            <v>Keramik 60 x 60 Blackmatt</v>
          </cell>
          <cell r="F1253" t="str">
            <v>KERAMIK</v>
          </cell>
          <cell r="H1253">
            <v>45</v>
          </cell>
        </row>
        <row r="1254">
          <cell r="D1254" t="str">
            <v>ILALANG 01</v>
          </cell>
          <cell r="E1254" t="str">
            <v>Pasir</v>
          </cell>
          <cell r="F1254" t="str">
            <v>KERAMIK</v>
          </cell>
          <cell r="G1254">
            <v>3</v>
          </cell>
          <cell r="H1254">
            <v>45</v>
          </cell>
        </row>
        <row r="1255">
          <cell r="D1255" t="str">
            <v>ILALANG 01</v>
          </cell>
          <cell r="E1255" t="str">
            <v>Semen PCC 40 Kg Tiga Roda</v>
          </cell>
          <cell r="F1255" t="str">
            <v>KERAMIK</v>
          </cell>
          <cell r="G1255">
            <v>7</v>
          </cell>
          <cell r="H1255">
            <v>45</v>
          </cell>
        </row>
        <row r="1256">
          <cell r="D1256" t="str">
            <v>ILALANG 01</v>
          </cell>
          <cell r="E1256" t="str">
            <v>Oker</v>
          </cell>
          <cell r="F1256" t="str">
            <v>KERAMIK</v>
          </cell>
          <cell r="H1256">
            <v>45</v>
          </cell>
        </row>
        <row r="1257">
          <cell r="D1257" t="str">
            <v>ILALANG 02</v>
          </cell>
          <cell r="E1257" t="str">
            <v>Kayu 3/5</v>
          </cell>
          <cell r="F1257" t="str">
            <v>DEK</v>
          </cell>
          <cell r="G1257">
            <v>120</v>
          </cell>
          <cell r="H1257">
            <v>60</v>
          </cell>
        </row>
        <row r="1258">
          <cell r="D1258" t="str">
            <v>ILALANG 02</v>
          </cell>
          <cell r="E1258" t="str">
            <v>Gypsum</v>
          </cell>
          <cell r="F1258" t="str">
            <v>DEK</v>
          </cell>
          <cell r="G1258">
            <v>20</v>
          </cell>
          <cell r="H1258">
            <v>60</v>
          </cell>
        </row>
        <row r="1259">
          <cell r="D1259" t="str">
            <v>ILALANG 02</v>
          </cell>
          <cell r="E1259" t="str">
            <v>Baut</v>
          </cell>
          <cell r="F1259" t="str">
            <v>DEK</v>
          </cell>
          <cell r="G1259">
            <v>4</v>
          </cell>
          <cell r="H1259">
            <v>60</v>
          </cell>
        </row>
        <row r="1260">
          <cell r="D1260" t="str">
            <v>ILALANG 02</v>
          </cell>
          <cell r="E1260" t="str">
            <v>Paku Beton 4 inch</v>
          </cell>
          <cell r="F1260" t="str">
            <v>DEK</v>
          </cell>
          <cell r="G1260">
            <v>1</v>
          </cell>
          <cell r="H1260">
            <v>60</v>
          </cell>
        </row>
        <row r="1261">
          <cell r="D1261" t="str">
            <v>ILALANG 02</v>
          </cell>
          <cell r="E1261" t="str">
            <v>Paku 3 imch</v>
          </cell>
          <cell r="F1261" t="str">
            <v>DEK</v>
          </cell>
          <cell r="G1261">
            <v>1</v>
          </cell>
          <cell r="H1261">
            <v>60</v>
          </cell>
        </row>
        <row r="1262">
          <cell r="D1262" t="str">
            <v>ILALANG 02</v>
          </cell>
          <cell r="E1262" t="str">
            <v>paku 2 inch</v>
          </cell>
          <cell r="F1262" t="str">
            <v>DEK</v>
          </cell>
          <cell r="G1262">
            <v>1</v>
          </cell>
          <cell r="H1262">
            <v>60</v>
          </cell>
        </row>
        <row r="1263">
          <cell r="D1263" t="str">
            <v>PELANGI 01</v>
          </cell>
          <cell r="E1263" t="str">
            <v>Papan</v>
          </cell>
          <cell r="F1263" t="str">
            <v>BATA</v>
          </cell>
          <cell r="G1263">
            <v>34</v>
          </cell>
          <cell r="H1263">
            <v>70</v>
          </cell>
        </row>
        <row r="1264">
          <cell r="D1264" t="str">
            <v>PELANGI 01</v>
          </cell>
          <cell r="E1264" t="str">
            <v>Kayu 3/5</v>
          </cell>
          <cell r="F1264" t="str">
            <v>BATA</v>
          </cell>
          <cell r="G1264">
            <v>36</v>
          </cell>
          <cell r="H1264">
            <v>70</v>
          </cell>
        </row>
        <row r="1265">
          <cell r="D1265" t="str">
            <v>PELANGI 01</v>
          </cell>
          <cell r="E1265" t="str">
            <v>Besi ø6</v>
          </cell>
          <cell r="F1265" t="str">
            <v>BATA</v>
          </cell>
          <cell r="G1265">
            <v>7</v>
          </cell>
          <cell r="H1265">
            <v>70</v>
          </cell>
        </row>
        <row r="1266">
          <cell r="D1266" t="str">
            <v>PELANGI 01</v>
          </cell>
          <cell r="E1266" t="str">
            <v xml:space="preserve">Besi ø8 </v>
          </cell>
          <cell r="F1266" t="str">
            <v>BATA</v>
          </cell>
          <cell r="G1266">
            <v>12</v>
          </cell>
          <cell r="H1266">
            <v>70</v>
          </cell>
        </row>
        <row r="1267">
          <cell r="D1267" t="str">
            <v>PELANGI 01</v>
          </cell>
          <cell r="E1267" t="str">
            <v xml:space="preserve">Besi ø6 </v>
          </cell>
          <cell r="F1267" t="str">
            <v>BATA</v>
          </cell>
          <cell r="G1267">
            <v>3</v>
          </cell>
          <cell r="H1267">
            <v>70</v>
          </cell>
        </row>
        <row r="1268">
          <cell r="D1268" t="str">
            <v>PELANGI 01</v>
          </cell>
          <cell r="E1268" t="str">
            <v>Kusen Pintu ( 2 Daun )</v>
          </cell>
          <cell r="F1268" t="str">
            <v>BATA</v>
          </cell>
          <cell r="G1268">
            <v>1</v>
          </cell>
          <cell r="H1268">
            <v>70</v>
          </cell>
        </row>
        <row r="1269">
          <cell r="D1269" t="str">
            <v>PELANGI 01</v>
          </cell>
          <cell r="E1269" t="str">
            <v>Kusen Pintu ( 1 Daun )</v>
          </cell>
          <cell r="F1269" t="str">
            <v>BATA</v>
          </cell>
          <cell r="G1269">
            <v>4</v>
          </cell>
          <cell r="H1269">
            <v>70</v>
          </cell>
        </row>
        <row r="1270">
          <cell r="D1270" t="str">
            <v>PELANGI 01</v>
          </cell>
          <cell r="E1270" t="str">
            <v>Bata</v>
          </cell>
          <cell r="F1270" t="str">
            <v>BATA</v>
          </cell>
          <cell r="H1270">
            <v>70</v>
          </cell>
        </row>
        <row r="1271">
          <cell r="D1271" t="str">
            <v>PELANGI 01</v>
          </cell>
          <cell r="E1271" t="str">
            <v>Semen PCC 40 Kg Tiga Roda</v>
          </cell>
          <cell r="F1271" t="str">
            <v>BATA</v>
          </cell>
          <cell r="G1271">
            <v>11</v>
          </cell>
          <cell r="H1271">
            <v>70</v>
          </cell>
        </row>
        <row r="1272">
          <cell r="D1272" t="str">
            <v>PELANGI 01</v>
          </cell>
          <cell r="E1272" t="str">
            <v>Pasir</v>
          </cell>
          <cell r="F1272" t="str">
            <v>BATA</v>
          </cell>
          <cell r="G1272">
            <v>2</v>
          </cell>
          <cell r="H1272">
            <v>70</v>
          </cell>
        </row>
        <row r="1273">
          <cell r="D1273" t="str">
            <v>PELANGI 01</v>
          </cell>
          <cell r="E1273" t="str">
            <v>Besi ø6</v>
          </cell>
          <cell r="F1273" t="str">
            <v>BATA</v>
          </cell>
          <cell r="H1273">
            <v>70</v>
          </cell>
        </row>
        <row r="1274">
          <cell r="D1274" t="str">
            <v>PELANGI 01</v>
          </cell>
          <cell r="E1274" t="str">
            <v>Cor Tiang Depan</v>
          </cell>
          <cell r="F1274" t="str">
            <v>BATA</v>
          </cell>
          <cell r="H1274">
            <v>70</v>
          </cell>
        </row>
        <row r="1275">
          <cell r="D1275" t="str">
            <v>PELANGI 01</v>
          </cell>
          <cell r="E1275" t="str">
            <v>Semen PCC 40 Kg Tiga Roda</v>
          </cell>
          <cell r="F1275" t="str">
            <v>BATA</v>
          </cell>
          <cell r="H1275">
            <v>70</v>
          </cell>
        </row>
        <row r="1276">
          <cell r="D1276" t="str">
            <v>PELANGI 01</v>
          </cell>
          <cell r="E1276" t="str">
            <v>Pasir</v>
          </cell>
          <cell r="F1276" t="str">
            <v>BATA</v>
          </cell>
          <cell r="H1276">
            <v>70</v>
          </cell>
        </row>
        <row r="1277">
          <cell r="D1277" t="str">
            <v>PELANGI 01</v>
          </cell>
          <cell r="E1277" t="str">
            <v>Batu</v>
          </cell>
          <cell r="F1277" t="str">
            <v>BATA</v>
          </cell>
          <cell r="H1277">
            <v>70</v>
          </cell>
        </row>
        <row r="1278">
          <cell r="D1278" t="str">
            <v>PELANGI 01</v>
          </cell>
          <cell r="E1278" t="str">
            <v xml:space="preserve">Besi ø6 </v>
          </cell>
          <cell r="F1278" t="str">
            <v>BATA</v>
          </cell>
          <cell r="H1278">
            <v>70</v>
          </cell>
        </row>
        <row r="1279">
          <cell r="D1279" t="str">
            <v>PELANGI 01</v>
          </cell>
          <cell r="E1279" t="str">
            <v>Besi ø8</v>
          </cell>
          <cell r="F1279" t="str">
            <v>BATA</v>
          </cell>
          <cell r="H1279">
            <v>70</v>
          </cell>
        </row>
        <row r="1280">
          <cell r="D1280" t="str">
            <v>PELANGI 01</v>
          </cell>
          <cell r="E1280" t="str">
            <v>Multiplek</v>
          </cell>
          <cell r="F1280" t="str">
            <v>BATA</v>
          </cell>
          <cell r="H1280">
            <v>70</v>
          </cell>
        </row>
        <row r="1281">
          <cell r="D1281" t="str">
            <v>PELANGI 01</v>
          </cell>
          <cell r="E1281" t="str">
            <v>Kayu 3/5</v>
          </cell>
          <cell r="F1281" t="str">
            <v>BATA</v>
          </cell>
          <cell r="H1281">
            <v>70</v>
          </cell>
        </row>
        <row r="1282">
          <cell r="D1282" t="str">
            <v>PELANGI 01</v>
          </cell>
          <cell r="E1282" t="str">
            <v>Bata</v>
          </cell>
          <cell r="F1282" t="str">
            <v>BATA</v>
          </cell>
          <cell r="H1282">
            <v>70</v>
          </cell>
        </row>
        <row r="1283">
          <cell r="D1283" t="str">
            <v>PELANGI 01</v>
          </cell>
          <cell r="E1283" t="str">
            <v>Cerucuk</v>
          </cell>
          <cell r="F1283" t="str">
            <v>BATA</v>
          </cell>
          <cell r="H1283">
            <v>70</v>
          </cell>
        </row>
        <row r="1284">
          <cell r="D1284" t="str">
            <v>PELANGI 01</v>
          </cell>
          <cell r="E1284" t="str">
            <v>Papan Mal</v>
          </cell>
          <cell r="F1284" t="str">
            <v>BATA</v>
          </cell>
          <cell r="H1284">
            <v>70</v>
          </cell>
        </row>
        <row r="1285">
          <cell r="D1285" t="str">
            <v>PELANGI 02</v>
          </cell>
          <cell r="E1285" t="str">
            <v>Besi ø6</v>
          </cell>
          <cell r="F1285" t="str">
            <v>COR LANTAI</v>
          </cell>
          <cell r="G1285">
            <v>15</v>
          </cell>
          <cell r="H1285">
            <v>50</v>
          </cell>
        </row>
        <row r="1286">
          <cell r="D1286" t="str">
            <v>PELANGI 02</v>
          </cell>
          <cell r="E1286" t="str">
            <v>Pasir</v>
          </cell>
          <cell r="F1286" t="str">
            <v>COR LANTAI</v>
          </cell>
          <cell r="G1286">
            <v>2</v>
          </cell>
          <cell r="H1286">
            <v>50</v>
          </cell>
        </row>
        <row r="1287">
          <cell r="D1287" t="str">
            <v>PELANGI 02</v>
          </cell>
          <cell r="E1287" t="str">
            <v>Semen PCC 40 Kg Tiga Roda</v>
          </cell>
          <cell r="F1287" t="str">
            <v>COR LANTAI</v>
          </cell>
          <cell r="G1287">
            <v>9</v>
          </cell>
          <cell r="H1287">
            <v>50</v>
          </cell>
        </row>
        <row r="1288">
          <cell r="D1288" t="str">
            <v>PELANGI 02</v>
          </cell>
          <cell r="E1288" t="str">
            <v>Plastik cor</v>
          </cell>
          <cell r="F1288" t="str">
            <v>COR LANTAI</v>
          </cell>
          <cell r="G1288">
            <v>6</v>
          </cell>
          <cell r="H1288">
            <v>50</v>
          </cell>
        </row>
        <row r="1289">
          <cell r="D1289" t="str">
            <v>PELANGI 02</v>
          </cell>
          <cell r="E1289" t="str">
            <v>Semen PCC 40 Kg Tiga Roda</v>
          </cell>
          <cell r="F1289" t="str">
            <v>CARPORT</v>
          </cell>
          <cell r="G1289">
            <v>14</v>
          </cell>
          <cell r="H1289">
            <v>50</v>
          </cell>
        </row>
        <row r="1290">
          <cell r="D1290" t="str">
            <v>PELANGI 02</v>
          </cell>
          <cell r="E1290" t="str">
            <v>Kayu 3/5</v>
          </cell>
          <cell r="F1290" t="str">
            <v>CARPORT</v>
          </cell>
          <cell r="G1290">
            <v>5</v>
          </cell>
          <cell r="H1290">
            <v>50</v>
          </cell>
        </row>
        <row r="1291">
          <cell r="D1291" t="str">
            <v>PELANGI 02</v>
          </cell>
          <cell r="E1291" t="str">
            <v>Cerucuk</v>
          </cell>
          <cell r="F1291" t="str">
            <v>CARPORT</v>
          </cell>
          <cell r="G1291">
            <v>5</v>
          </cell>
          <cell r="H1291">
            <v>50</v>
          </cell>
        </row>
        <row r="1292">
          <cell r="D1292" t="str">
            <v>PELANGI 02</v>
          </cell>
          <cell r="E1292" t="str">
            <v>Papan Mal</v>
          </cell>
          <cell r="F1292" t="str">
            <v>CARPORT</v>
          </cell>
          <cell r="G1292">
            <v>10</v>
          </cell>
          <cell r="H1292">
            <v>50</v>
          </cell>
        </row>
        <row r="1293">
          <cell r="D1293" t="str">
            <v>PELANGI 02</v>
          </cell>
          <cell r="E1293" t="str">
            <v>Plastik cor</v>
          </cell>
          <cell r="F1293" t="str">
            <v>CARPORT</v>
          </cell>
          <cell r="G1293">
            <v>7</v>
          </cell>
          <cell r="H1293">
            <v>50</v>
          </cell>
        </row>
        <row r="1294">
          <cell r="D1294" t="str">
            <v>PELANGI 02</v>
          </cell>
          <cell r="E1294" t="str">
            <v>Besi ø6</v>
          </cell>
          <cell r="F1294" t="str">
            <v>CARPORT</v>
          </cell>
          <cell r="G1294">
            <v>2</v>
          </cell>
          <cell r="H1294">
            <v>50</v>
          </cell>
        </row>
        <row r="1295">
          <cell r="D1295" t="str">
            <v>PELANGI 02</v>
          </cell>
          <cell r="E1295" t="str">
            <v>Besi ø8</v>
          </cell>
          <cell r="F1295" t="str">
            <v>CARPORT</v>
          </cell>
          <cell r="G1295">
            <v>4</v>
          </cell>
          <cell r="H1295">
            <v>50</v>
          </cell>
        </row>
        <row r="1296">
          <cell r="D1296" t="str">
            <v>PELANGI 02</v>
          </cell>
          <cell r="E1296" t="str">
            <v>Batu</v>
          </cell>
          <cell r="F1296" t="str">
            <v>CARPORT</v>
          </cell>
          <cell r="G1296">
            <v>0.5</v>
          </cell>
          <cell r="H1296">
            <v>50</v>
          </cell>
        </row>
        <row r="1297">
          <cell r="D1297" t="str">
            <v>PELANGI 02</v>
          </cell>
          <cell r="E1297" t="str">
            <v>Pasir</v>
          </cell>
          <cell r="F1297" t="str">
            <v>CARPORT</v>
          </cell>
          <cell r="G1297">
            <v>6</v>
          </cell>
          <cell r="H1297">
            <v>50</v>
          </cell>
        </row>
        <row r="1298">
          <cell r="D1298" t="str">
            <v>PELANGI 02</v>
          </cell>
          <cell r="E1298" t="str">
            <v>Keramik 60 x 60 Blackmatt</v>
          </cell>
          <cell r="F1298" t="str">
            <v>CARPORT</v>
          </cell>
          <cell r="H1298">
            <v>50</v>
          </cell>
        </row>
        <row r="1299">
          <cell r="D1299" t="str">
            <v>PELANGI 03</v>
          </cell>
          <cell r="E1299" t="str">
            <v xml:space="preserve">Pasir </v>
          </cell>
          <cell r="F1299" t="str">
            <v>URUG</v>
          </cell>
          <cell r="H1299">
            <v>55</v>
          </cell>
        </row>
        <row r="1300">
          <cell r="D1300" t="str">
            <v>PELANGI 03</v>
          </cell>
          <cell r="E1300" t="str">
            <v>Pipa 4"</v>
          </cell>
          <cell r="F1300" t="str">
            <v>URUG</v>
          </cell>
          <cell r="H1300">
            <v>55</v>
          </cell>
        </row>
        <row r="1301">
          <cell r="D1301" t="str">
            <v>PELANGI 03</v>
          </cell>
          <cell r="E1301" t="str">
            <v>Pipa 2"</v>
          </cell>
          <cell r="F1301" t="str">
            <v>URUG</v>
          </cell>
          <cell r="H1301">
            <v>55</v>
          </cell>
        </row>
        <row r="1302">
          <cell r="D1302" t="str">
            <v>PELANGI 03</v>
          </cell>
          <cell r="E1302" t="str">
            <v>Semen PCC 40 Kg Tiga Roda</v>
          </cell>
          <cell r="F1302" t="str">
            <v>CARPORT</v>
          </cell>
          <cell r="G1302">
            <v>14</v>
          </cell>
          <cell r="H1302">
            <v>55</v>
          </cell>
        </row>
        <row r="1303">
          <cell r="D1303" t="str">
            <v>PELANGI 03</v>
          </cell>
          <cell r="E1303" t="str">
            <v>Kayu 3/5</v>
          </cell>
          <cell r="F1303" t="str">
            <v>CARPORT</v>
          </cell>
          <cell r="G1303">
            <v>5</v>
          </cell>
          <cell r="H1303">
            <v>55</v>
          </cell>
        </row>
        <row r="1304">
          <cell r="D1304" t="str">
            <v>PELANGI 03</v>
          </cell>
          <cell r="E1304" t="str">
            <v>Cerucuk</v>
          </cell>
          <cell r="F1304" t="str">
            <v>CARPORT</v>
          </cell>
          <cell r="G1304">
            <v>5</v>
          </cell>
          <cell r="H1304">
            <v>55</v>
          </cell>
        </row>
        <row r="1305">
          <cell r="D1305" t="str">
            <v>PELANGI 03</v>
          </cell>
          <cell r="E1305" t="str">
            <v>Papan Mal</v>
          </cell>
          <cell r="F1305" t="str">
            <v>CARPORT</v>
          </cell>
          <cell r="G1305">
            <v>10</v>
          </cell>
          <cell r="H1305">
            <v>55</v>
          </cell>
        </row>
        <row r="1306">
          <cell r="D1306" t="str">
            <v>PELANGI 03</v>
          </cell>
          <cell r="E1306" t="str">
            <v>Plastik cor</v>
          </cell>
          <cell r="F1306" t="str">
            <v>CARPORT</v>
          </cell>
          <cell r="G1306">
            <v>7</v>
          </cell>
          <cell r="H1306">
            <v>55</v>
          </cell>
        </row>
        <row r="1307">
          <cell r="D1307" t="str">
            <v>PELANGI 03</v>
          </cell>
          <cell r="E1307" t="str">
            <v>Besi ø6</v>
          </cell>
          <cell r="F1307" t="str">
            <v>CARPORT</v>
          </cell>
          <cell r="G1307">
            <v>2</v>
          </cell>
          <cell r="H1307">
            <v>55</v>
          </cell>
        </row>
        <row r="1308">
          <cell r="D1308" t="str">
            <v>PELANGI 03</v>
          </cell>
          <cell r="E1308" t="str">
            <v>Besi ø8</v>
          </cell>
          <cell r="F1308" t="str">
            <v>CARPORT</v>
          </cell>
          <cell r="G1308">
            <v>4</v>
          </cell>
          <cell r="H1308">
            <v>55</v>
          </cell>
        </row>
        <row r="1309">
          <cell r="D1309" t="str">
            <v>PELANGI 03</v>
          </cell>
          <cell r="E1309" t="str">
            <v>Batu</v>
          </cell>
          <cell r="F1309" t="str">
            <v>CARPORT</v>
          </cell>
          <cell r="G1309">
            <v>0.5</v>
          </cell>
          <cell r="H1309">
            <v>55</v>
          </cell>
        </row>
        <row r="1310">
          <cell r="D1310" t="str">
            <v>PELANGI 03</v>
          </cell>
          <cell r="E1310" t="str">
            <v>Pasir</v>
          </cell>
          <cell r="F1310" t="str">
            <v>CARPORT</v>
          </cell>
          <cell r="G1310">
            <v>6</v>
          </cell>
          <cell r="H1310">
            <v>55</v>
          </cell>
        </row>
        <row r="1311">
          <cell r="D1311" t="str">
            <v>PELANGI 03</v>
          </cell>
          <cell r="E1311" t="str">
            <v>Keramik 60 x 60 Blackmatt</v>
          </cell>
          <cell r="F1311" t="str">
            <v>CARPORT</v>
          </cell>
          <cell r="H1311">
            <v>55</v>
          </cell>
        </row>
        <row r="1312">
          <cell r="D1312" t="str">
            <v>PELANGI 04</v>
          </cell>
          <cell r="E1312" t="str">
            <v>Besi ø6</v>
          </cell>
          <cell r="F1312" t="str">
            <v>PONDASI</v>
          </cell>
          <cell r="G1312">
            <v>10</v>
          </cell>
          <cell r="H1312">
            <v>55</v>
          </cell>
        </row>
        <row r="1313">
          <cell r="D1313" t="str">
            <v>PELANGI 04</v>
          </cell>
          <cell r="E1313" t="str">
            <v>Besi ø8 Ulir</v>
          </cell>
          <cell r="F1313" t="str">
            <v>PONDASI</v>
          </cell>
          <cell r="G1313">
            <v>35</v>
          </cell>
          <cell r="H1313">
            <v>55</v>
          </cell>
        </row>
        <row r="1314">
          <cell r="D1314" t="str">
            <v>PELANGI 04</v>
          </cell>
          <cell r="E1314" t="str">
            <v>Kayu 3/5</v>
          </cell>
          <cell r="F1314" t="str">
            <v>PONDASI</v>
          </cell>
          <cell r="G1314">
            <v>12</v>
          </cell>
          <cell r="H1314">
            <v>55</v>
          </cell>
        </row>
        <row r="1315">
          <cell r="D1315" t="str">
            <v>PELANGI 04</v>
          </cell>
          <cell r="E1315" t="str">
            <v>Cerucuk</v>
          </cell>
          <cell r="F1315" t="str">
            <v>PONDASI</v>
          </cell>
          <cell r="G1315">
            <v>71</v>
          </cell>
          <cell r="H1315">
            <v>55</v>
          </cell>
        </row>
        <row r="1316">
          <cell r="D1316" t="str">
            <v>PELANGI 04</v>
          </cell>
          <cell r="E1316" t="str">
            <v>Papan Mal</v>
          </cell>
          <cell r="F1316" t="str">
            <v>PONDASI</v>
          </cell>
          <cell r="H1316">
            <v>55</v>
          </cell>
        </row>
        <row r="1317">
          <cell r="D1317" t="str">
            <v>PELANGI 04</v>
          </cell>
          <cell r="E1317" t="str">
            <v xml:space="preserve">Pasir </v>
          </cell>
          <cell r="F1317" t="str">
            <v>PONDASI</v>
          </cell>
          <cell r="G1317">
            <v>12</v>
          </cell>
          <cell r="H1317">
            <v>55</v>
          </cell>
        </row>
        <row r="1318">
          <cell r="D1318" t="str">
            <v>PELANGI 04</v>
          </cell>
          <cell r="E1318" t="str">
            <v>Batu</v>
          </cell>
          <cell r="F1318" t="str">
            <v>PONDASI</v>
          </cell>
          <cell r="G1318">
            <v>1</v>
          </cell>
          <cell r="H1318">
            <v>55</v>
          </cell>
        </row>
        <row r="1319">
          <cell r="D1319" t="str">
            <v>PELANGI 04</v>
          </cell>
          <cell r="E1319" t="str">
            <v>Semen PCC 40 Kg Tiga Roda</v>
          </cell>
          <cell r="F1319" t="str">
            <v>PONDASI</v>
          </cell>
          <cell r="G1319">
            <v>45</v>
          </cell>
          <cell r="H1319">
            <v>55</v>
          </cell>
        </row>
        <row r="1320">
          <cell r="D1320" t="str">
            <v>PELANGI 04</v>
          </cell>
          <cell r="E1320" t="str">
            <v>Semen PCC 40 Kg Tiga Roda</v>
          </cell>
          <cell r="F1320" t="str">
            <v>CARPORT</v>
          </cell>
          <cell r="G1320">
            <v>14</v>
          </cell>
          <cell r="H1320">
            <v>55</v>
          </cell>
        </row>
        <row r="1321">
          <cell r="D1321" t="str">
            <v>PELANGI 04</v>
          </cell>
          <cell r="E1321" t="str">
            <v>Kayu 3/5</v>
          </cell>
          <cell r="F1321" t="str">
            <v>CARPORT</v>
          </cell>
          <cell r="G1321">
            <v>5</v>
          </cell>
          <cell r="H1321">
            <v>55</v>
          </cell>
        </row>
        <row r="1322">
          <cell r="D1322" t="str">
            <v>PELANGI 04</v>
          </cell>
          <cell r="E1322" t="str">
            <v>Cerucuk</v>
          </cell>
          <cell r="F1322" t="str">
            <v>CARPORT</v>
          </cell>
          <cell r="G1322">
            <v>5</v>
          </cell>
          <cell r="H1322">
            <v>55</v>
          </cell>
        </row>
        <row r="1323">
          <cell r="D1323" t="str">
            <v>PELANGI 04</v>
          </cell>
          <cell r="E1323" t="str">
            <v>Papan Mal</v>
          </cell>
          <cell r="F1323" t="str">
            <v>CARPORT</v>
          </cell>
          <cell r="G1323">
            <v>10</v>
          </cell>
          <cell r="H1323">
            <v>55</v>
          </cell>
        </row>
        <row r="1324">
          <cell r="D1324" t="str">
            <v>PELANGI 04</v>
          </cell>
          <cell r="E1324" t="str">
            <v>Plastik cor</v>
          </cell>
          <cell r="F1324" t="str">
            <v>CARPORT</v>
          </cell>
          <cell r="G1324">
            <v>7</v>
          </cell>
          <cell r="H1324">
            <v>55</v>
          </cell>
        </row>
        <row r="1325">
          <cell r="D1325" t="str">
            <v>PELANGI 04</v>
          </cell>
          <cell r="E1325" t="str">
            <v>Besi ø6</v>
          </cell>
          <cell r="F1325" t="str">
            <v>CARPORT</v>
          </cell>
          <cell r="G1325">
            <v>2</v>
          </cell>
          <cell r="H1325">
            <v>55</v>
          </cell>
        </row>
        <row r="1326">
          <cell r="D1326" t="str">
            <v>PELANGI 04</v>
          </cell>
          <cell r="E1326" t="str">
            <v>Besi ø8</v>
          </cell>
          <cell r="F1326" t="str">
            <v>CARPORT</v>
          </cell>
          <cell r="G1326">
            <v>4</v>
          </cell>
          <cell r="H1326">
            <v>55</v>
          </cell>
        </row>
        <row r="1327">
          <cell r="D1327" t="str">
            <v>PELANGI 04</v>
          </cell>
          <cell r="E1327" t="str">
            <v>Batu</v>
          </cell>
          <cell r="F1327" t="str">
            <v>CARPORT</v>
          </cell>
          <cell r="G1327">
            <v>0.5</v>
          </cell>
          <cell r="H1327">
            <v>55</v>
          </cell>
        </row>
        <row r="1328">
          <cell r="D1328" t="str">
            <v>PELANGI 04</v>
          </cell>
          <cell r="E1328" t="str">
            <v>Pasir</v>
          </cell>
          <cell r="F1328" t="str">
            <v>CARPORT</v>
          </cell>
          <cell r="G1328">
            <v>6</v>
          </cell>
          <cell r="H1328">
            <v>55</v>
          </cell>
        </row>
        <row r="1329">
          <cell r="D1329" t="str">
            <v>PELANGI 04</v>
          </cell>
          <cell r="E1329" t="str">
            <v>Keramik 60 x 60 Blackmatt</v>
          </cell>
          <cell r="F1329" t="str">
            <v>CARPORT</v>
          </cell>
          <cell r="H1329">
            <v>55</v>
          </cell>
        </row>
        <row r="1330">
          <cell r="D1330" t="str">
            <v>KARYA HILS 01</v>
          </cell>
          <cell r="E1330" t="str">
            <v>Besi ø6</v>
          </cell>
          <cell r="F1330" t="str">
            <v>PONDASI</v>
          </cell>
          <cell r="G1330">
            <v>9</v>
          </cell>
          <cell r="H1330">
            <v>40</v>
          </cell>
        </row>
        <row r="1331">
          <cell r="D1331" t="str">
            <v>KARYA HILS 01</v>
          </cell>
          <cell r="E1331" t="str">
            <v>Besi ø8 Ulir</v>
          </cell>
          <cell r="F1331" t="str">
            <v>PONDASI</v>
          </cell>
          <cell r="G1331">
            <v>13</v>
          </cell>
          <cell r="H1331">
            <v>40</v>
          </cell>
        </row>
        <row r="1332">
          <cell r="D1332" t="str">
            <v>KARYA HILS 01</v>
          </cell>
          <cell r="E1332" t="str">
            <v>Kayu 3/5</v>
          </cell>
          <cell r="F1332" t="str">
            <v>PONDASI</v>
          </cell>
          <cell r="G1332">
            <v>28</v>
          </cell>
          <cell r="H1332">
            <v>40</v>
          </cell>
        </row>
        <row r="1333">
          <cell r="D1333" t="str">
            <v>KARYA HILS 01</v>
          </cell>
          <cell r="E1333" t="str">
            <v>Cerucuk</v>
          </cell>
          <cell r="F1333" t="str">
            <v>PONDASI</v>
          </cell>
          <cell r="G1333">
            <v>71</v>
          </cell>
          <cell r="H1333">
            <v>40</v>
          </cell>
        </row>
        <row r="1334">
          <cell r="D1334" t="str">
            <v>KARYA HILS 01</v>
          </cell>
          <cell r="E1334" t="str">
            <v>Papan Mal</v>
          </cell>
          <cell r="F1334" t="str">
            <v>PONDASI</v>
          </cell>
          <cell r="G1334">
            <v>131</v>
          </cell>
          <cell r="H1334">
            <v>40</v>
          </cell>
        </row>
        <row r="1335">
          <cell r="D1335" t="str">
            <v>KARYA HILS 01</v>
          </cell>
          <cell r="E1335" t="str">
            <v xml:space="preserve">Pasir </v>
          </cell>
          <cell r="F1335" t="str">
            <v>PONDASI</v>
          </cell>
          <cell r="G1335">
            <v>10</v>
          </cell>
          <cell r="H1335">
            <v>40</v>
          </cell>
        </row>
        <row r="1336">
          <cell r="D1336" t="str">
            <v>KARYA HILS 01</v>
          </cell>
          <cell r="E1336" t="str">
            <v>Batu</v>
          </cell>
          <cell r="F1336" t="str">
            <v>PONDASI</v>
          </cell>
          <cell r="G1336">
            <v>1</v>
          </cell>
          <cell r="H1336">
            <v>40</v>
          </cell>
        </row>
        <row r="1337">
          <cell r="D1337" t="str">
            <v>KARYA HILS 01</v>
          </cell>
          <cell r="E1337" t="str">
            <v>Semen PCC 40 Kg Tiga Roda</v>
          </cell>
          <cell r="F1337" t="str">
            <v>PONDASI</v>
          </cell>
          <cell r="G1337">
            <v>33</v>
          </cell>
          <cell r="H1337">
            <v>40</v>
          </cell>
        </row>
        <row r="1338">
          <cell r="D1338" t="str">
            <v>KARYA HILS 02</v>
          </cell>
          <cell r="E1338" t="str">
            <v>Papan</v>
          </cell>
          <cell r="F1338" t="str">
            <v>BATA</v>
          </cell>
          <cell r="H1338">
            <v>40</v>
          </cell>
        </row>
        <row r="1339">
          <cell r="D1339" t="str">
            <v>KARYA HILS 02</v>
          </cell>
          <cell r="E1339" t="str">
            <v>Kayu 3/5</v>
          </cell>
          <cell r="F1339" t="str">
            <v>BATA</v>
          </cell>
          <cell r="H1339">
            <v>40</v>
          </cell>
        </row>
        <row r="1340">
          <cell r="D1340" t="str">
            <v>KARYA HILS 02</v>
          </cell>
          <cell r="E1340" t="str">
            <v>Besi ø6</v>
          </cell>
          <cell r="F1340" t="str">
            <v>BATA</v>
          </cell>
          <cell r="H1340">
            <v>40</v>
          </cell>
        </row>
        <row r="1341">
          <cell r="D1341" t="str">
            <v>KARYA HILS 02</v>
          </cell>
          <cell r="E1341" t="str">
            <v xml:space="preserve">Besi ø8 </v>
          </cell>
          <cell r="F1341" t="str">
            <v>BATA</v>
          </cell>
          <cell r="H1341">
            <v>40</v>
          </cell>
        </row>
        <row r="1342">
          <cell r="D1342" t="str">
            <v>KARYA HILS 02</v>
          </cell>
          <cell r="E1342" t="str">
            <v xml:space="preserve">Besi ø6 </v>
          </cell>
          <cell r="F1342" t="str">
            <v>BATA</v>
          </cell>
          <cell r="H1342">
            <v>40</v>
          </cell>
        </row>
        <row r="1343">
          <cell r="D1343" t="str">
            <v>KARYA HILS 02</v>
          </cell>
          <cell r="E1343" t="str">
            <v>Kusen Pintu ( 2 Daun )</v>
          </cell>
          <cell r="F1343" t="str">
            <v>BATA</v>
          </cell>
          <cell r="G1343">
            <v>1</v>
          </cell>
          <cell r="H1343">
            <v>40</v>
          </cell>
        </row>
        <row r="1344">
          <cell r="D1344" t="str">
            <v>KARYA HILS 02</v>
          </cell>
          <cell r="E1344" t="str">
            <v>Kusen Pintu ( 1 Daun )</v>
          </cell>
          <cell r="F1344" t="str">
            <v>BATA</v>
          </cell>
          <cell r="G1344">
            <v>3</v>
          </cell>
          <cell r="H1344">
            <v>40</v>
          </cell>
        </row>
        <row r="1345">
          <cell r="D1345" t="str">
            <v>KARYA HILS 02</v>
          </cell>
          <cell r="E1345" t="str">
            <v>Bata</v>
          </cell>
          <cell r="F1345" t="str">
            <v>BATA</v>
          </cell>
          <cell r="H1345">
            <v>40</v>
          </cell>
        </row>
        <row r="1346">
          <cell r="D1346" t="str">
            <v>KARYA HILS 02</v>
          </cell>
          <cell r="E1346" t="str">
            <v>Semen PCC 40 Kg Tiga Roda</v>
          </cell>
          <cell r="F1346" t="str">
            <v>BATA</v>
          </cell>
          <cell r="G1346">
            <v>12</v>
          </cell>
          <cell r="H1346">
            <v>40</v>
          </cell>
        </row>
        <row r="1347">
          <cell r="D1347" t="str">
            <v>KARYA HILS 02</v>
          </cell>
          <cell r="E1347" t="str">
            <v>Pasir</v>
          </cell>
          <cell r="F1347" t="str">
            <v>BATA</v>
          </cell>
          <cell r="H1347">
            <v>40</v>
          </cell>
        </row>
        <row r="1348">
          <cell r="D1348" t="str">
            <v>KARYA HILS 02</v>
          </cell>
          <cell r="E1348" t="str">
            <v>Besi ø6</v>
          </cell>
          <cell r="F1348" t="str">
            <v>BATA</v>
          </cell>
          <cell r="H1348">
            <v>40</v>
          </cell>
        </row>
        <row r="1349">
          <cell r="D1349" t="str">
            <v>KARYA HILS 02</v>
          </cell>
          <cell r="E1349" t="str">
            <v>Cor Tiang Depan</v>
          </cell>
          <cell r="F1349" t="str">
            <v>BATA</v>
          </cell>
          <cell r="H1349">
            <v>40</v>
          </cell>
        </row>
        <row r="1350">
          <cell r="D1350" t="str">
            <v>KARYA HILS 02</v>
          </cell>
          <cell r="E1350" t="str">
            <v>Semen PCC 40 Kg Tiga Roda</v>
          </cell>
          <cell r="F1350" t="str">
            <v>BATA</v>
          </cell>
          <cell r="H1350">
            <v>40</v>
          </cell>
        </row>
        <row r="1351">
          <cell r="D1351" t="str">
            <v>KARYA HILS 02</v>
          </cell>
          <cell r="E1351" t="str">
            <v>Pasir</v>
          </cell>
          <cell r="F1351" t="str">
            <v>BATA</v>
          </cell>
          <cell r="H1351">
            <v>40</v>
          </cell>
        </row>
        <row r="1352">
          <cell r="D1352" t="str">
            <v>KARYA HILS 02</v>
          </cell>
          <cell r="E1352" t="str">
            <v>Batu</v>
          </cell>
          <cell r="F1352" t="str">
            <v>BATA</v>
          </cell>
          <cell r="H1352">
            <v>40</v>
          </cell>
        </row>
        <row r="1353">
          <cell r="D1353" t="str">
            <v>KARYA HILS 02</v>
          </cell>
          <cell r="E1353" t="str">
            <v xml:space="preserve">Besi ø6 </v>
          </cell>
          <cell r="F1353" t="str">
            <v>BATA</v>
          </cell>
          <cell r="H1353">
            <v>40</v>
          </cell>
        </row>
        <row r="1354">
          <cell r="D1354" t="str">
            <v>KARYA HILS 02</v>
          </cell>
          <cell r="E1354" t="str">
            <v>Besi ø8</v>
          </cell>
          <cell r="F1354" t="str">
            <v>BATA</v>
          </cell>
          <cell r="H1354">
            <v>40</v>
          </cell>
        </row>
        <row r="1355">
          <cell r="D1355" t="str">
            <v>KARYA HILS 02</v>
          </cell>
          <cell r="E1355" t="str">
            <v>Multiplek</v>
          </cell>
          <cell r="F1355" t="str">
            <v>BATA</v>
          </cell>
          <cell r="H1355">
            <v>40</v>
          </cell>
        </row>
        <row r="1356">
          <cell r="D1356" t="str">
            <v>KARYA HILS 02</v>
          </cell>
          <cell r="E1356" t="str">
            <v>Kayu 3/5</v>
          </cell>
          <cell r="F1356" t="str">
            <v>BATA</v>
          </cell>
          <cell r="H1356">
            <v>40</v>
          </cell>
        </row>
        <row r="1357">
          <cell r="D1357" t="str">
            <v>KARYA HILS 02</v>
          </cell>
          <cell r="E1357" t="str">
            <v>Bata</v>
          </cell>
          <cell r="F1357" t="str">
            <v>BATA</v>
          </cell>
          <cell r="H1357">
            <v>40</v>
          </cell>
        </row>
        <row r="1358">
          <cell r="D1358" t="str">
            <v>KARYA HILS 02</v>
          </cell>
          <cell r="E1358" t="str">
            <v>Cerucuk</v>
          </cell>
          <cell r="F1358" t="str">
            <v>BATA</v>
          </cell>
          <cell r="H1358">
            <v>40</v>
          </cell>
        </row>
        <row r="1359">
          <cell r="D1359" t="str">
            <v>KARYA HILS 02</v>
          </cell>
          <cell r="E1359" t="str">
            <v>Papan Mal</v>
          </cell>
          <cell r="F1359" t="str">
            <v>BATA</v>
          </cell>
          <cell r="H1359">
            <v>40</v>
          </cell>
        </row>
        <row r="1360">
          <cell r="D1360" t="str">
            <v>KARYA HILS 01</v>
          </cell>
          <cell r="E1360" t="str">
            <v xml:space="preserve">Pasir </v>
          </cell>
          <cell r="F1360" t="str">
            <v>URUG</v>
          </cell>
          <cell r="H1360">
            <v>40</v>
          </cell>
        </row>
        <row r="1361">
          <cell r="D1361" t="str">
            <v>KARYA HILS 01</v>
          </cell>
          <cell r="E1361" t="str">
            <v>Pipa 4"</v>
          </cell>
          <cell r="F1361" t="str">
            <v>URUG</v>
          </cell>
          <cell r="G1361">
            <v>1</v>
          </cell>
          <cell r="H1361">
            <v>40</v>
          </cell>
        </row>
        <row r="1362">
          <cell r="D1362" t="str">
            <v>KARYA HILS 01</v>
          </cell>
          <cell r="E1362" t="str">
            <v>Pipa 2"</v>
          </cell>
          <cell r="F1362" t="str">
            <v>URUG</v>
          </cell>
          <cell r="G1362">
            <v>1</v>
          </cell>
          <cell r="H1362">
            <v>40</v>
          </cell>
        </row>
        <row r="1363">
          <cell r="D1363" t="str">
            <v>PELANGI 02</v>
          </cell>
          <cell r="E1363" t="str">
            <v>Papan</v>
          </cell>
          <cell r="F1363" t="str">
            <v>BATA</v>
          </cell>
          <cell r="G1363">
            <v>34</v>
          </cell>
          <cell r="H1363">
            <v>50</v>
          </cell>
        </row>
        <row r="1364">
          <cell r="D1364" t="str">
            <v>PELANGI 02</v>
          </cell>
          <cell r="E1364" t="str">
            <v>Kayu 3/5</v>
          </cell>
          <cell r="F1364" t="str">
            <v>BATA</v>
          </cell>
          <cell r="G1364">
            <v>36</v>
          </cell>
          <cell r="H1364">
            <v>50</v>
          </cell>
        </row>
        <row r="1365">
          <cell r="D1365" t="str">
            <v>PELANGI 02</v>
          </cell>
          <cell r="E1365" t="str">
            <v>Besi ø6</v>
          </cell>
          <cell r="F1365" t="str">
            <v>BATA</v>
          </cell>
          <cell r="G1365">
            <v>5</v>
          </cell>
          <cell r="H1365">
            <v>50</v>
          </cell>
        </row>
        <row r="1366">
          <cell r="D1366" t="str">
            <v>PELANGI 02</v>
          </cell>
          <cell r="E1366" t="str">
            <v xml:space="preserve">Besi ø8 </v>
          </cell>
          <cell r="F1366" t="str">
            <v>BATA</v>
          </cell>
          <cell r="G1366">
            <v>8</v>
          </cell>
          <cell r="H1366">
            <v>50</v>
          </cell>
        </row>
        <row r="1367">
          <cell r="D1367" t="str">
            <v>PELANGI 02</v>
          </cell>
          <cell r="E1367" t="str">
            <v xml:space="preserve">Besi ø6 </v>
          </cell>
          <cell r="F1367" t="str">
            <v>BATA</v>
          </cell>
          <cell r="G1367">
            <v>2</v>
          </cell>
          <cell r="H1367">
            <v>50</v>
          </cell>
        </row>
        <row r="1368">
          <cell r="D1368" t="str">
            <v>PELANGI 02</v>
          </cell>
          <cell r="E1368" t="str">
            <v>Kusen Pintu ( 2 Daun )</v>
          </cell>
          <cell r="F1368" t="str">
            <v>BATA</v>
          </cell>
          <cell r="G1368">
            <v>1</v>
          </cell>
          <cell r="H1368">
            <v>50</v>
          </cell>
        </row>
        <row r="1369">
          <cell r="D1369" t="str">
            <v>PELANGI 02</v>
          </cell>
          <cell r="E1369" t="str">
            <v>Kusen Pintu ( 1 Daun )</v>
          </cell>
          <cell r="F1369" t="str">
            <v>BATA</v>
          </cell>
          <cell r="G1369">
            <v>3</v>
          </cell>
          <cell r="H1369">
            <v>50</v>
          </cell>
        </row>
        <row r="1370">
          <cell r="D1370" t="str">
            <v>PELANGI 02</v>
          </cell>
          <cell r="E1370" t="str">
            <v>Bata</v>
          </cell>
          <cell r="F1370" t="str">
            <v>BATA</v>
          </cell>
          <cell r="H1370">
            <v>50</v>
          </cell>
        </row>
        <row r="1371">
          <cell r="D1371" t="str">
            <v>PELANGI 02</v>
          </cell>
          <cell r="E1371" t="str">
            <v>Semen PCC 40 Kg Tiga Roda</v>
          </cell>
          <cell r="F1371" t="str">
            <v>BATA</v>
          </cell>
          <cell r="G1371">
            <v>2</v>
          </cell>
          <cell r="H1371">
            <v>50</v>
          </cell>
        </row>
        <row r="1372">
          <cell r="D1372" t="str">
            <v>PELANGI 02</v>
          </cell>
          <cell r="E1372" t="str">
            <v>Pasir</v>
          </cell>
          <cell r="F1372" t="str">
            <v>BATA</v>
          </cell>
          <cell r="G1372">
            <v>1</v>
          </cell>
          <cell r="H1372">
            <v>50</v>
          </cell>
        </row>
        <row r="1373">
          <cell r="D1373" t="str">
            <v>PELANGI 02</v>
          </cell>
          <cell r="E1373" t="str">
            <v>Besi ø6</v>
          </cell>
          <cell r="F1373" t="str">
            <v>BATA</v>
          </cell>
          <cell r="H1373">
            <v>50</v>
          </cell>
        </row>
        <row r="1374">
          <cell r="D1374" t="str">
            <v>PELANGI 02</v>
          </cell>
          <cell r="E1374" t="str">
            <v>Cor Tiang Depan</v>
          </cell>
          <cell r="F1374" t="str">
            <v>BATA</v>
          </cell>
          <cell r="H1374">
            <v>50</v>
          </cell>
        </row>
        <row r="1375">
          <cell r="D1375" t="str">
            <v>PELANGI 02</v>
          </cell>
          <cell r="E1375" t="str">
            <v>Semen PCC 40 Kg Tiga Roda</v>
          </cell>
          <cell r="F1375" t="str">
            <v>BATA</v>
          </cell>
          <cell r="H1375">
            <v>50</v>
          </cell>
        </row>
        <row r="1376">
          <cell r="D1376" t="str">
            <v>PELANGI 02</v>
          </cell>
          <cell r="E1376" t="str">
            <v>Pasir</v>
          </cell>
          <cell r="F1376" t="str">
            <v>BATA</v>
          </cell>
          <cell r="H1376">
            <v>50</v>
          </cell>
        </row>
        <row r="1377">
          <cell r="D1377" t="str">
            <v>PELANGI 02</v>
          </cell>
          <cell r="E1377" t="str">
            <v>Batu</v>
          </cell>
          <cell r="F1377" t="str">
            <v>BATA</v>
          </cell>
          <cell r="H1377">
            <v>50</v>
          </cell>
        </row>
        <row r="1378">
          <cell r="D1378" t="str">
            <v>PELANGI 02</v>
          </cell>
          <cell r="E1378" t="str">
            <v xml:space="preserve">Besi ø6 </v>
          </cell>
          <cell r="F1378" t="str">
            <v>BATA</v>
          </cell>
          <cell r="H1378">
            <v>50</v>
          </cell>
        </row>
        <row r="1379">
          <cell r="D1379" t="str">
            <v>PELANGI 02</v>
          </cell>
          <cell r="E1379" t="str">
            <v>Besi ø8</v>
          </cell>
          <cell r="F1379" t="str">
            <v>BATA</v>
          </cell>
          <cell r="H1379">
            <v>50</v>
          </cell>
        </row>
        <row r="1380">
          <cell r="D1380" t="str">
            <v>PELANGI 02</v>
          </cell>
          <cell r="E1380" t="str">
            <v>Multiplek</v>
          </cell>
          <cell r="F1380" t="str">
            <v>BATA</v>
          </cell>
          <cell r="H1380">
            <v>50</v>
          </cell>
        </row>
        <row r="1381">
          <cell r="D1381" t="str">
            <v>PELANGI 02</v>
          </cell>
          <cell r="E1381" t="str">
            <v>Kayu 3/5</v>
          </cell>
          <cell r="F1381" t="str">
            <v>BATA</v>
          </cell>
          <cell r="H1381">
            <v>50</v>
          </cell>
        </row>
        <row r="1382">
          <cell r="D1382" t="str">
            <v>PELANGI 02</v>
          </cell>
          <cell r="E1382" t="str">
            <v>Bata</v>
          </cell>
          <cell r="F1382" t="str">
            <v>BATA</v>
          </cell>
          <cell r="H1382">
            <v>50</v>
          </cell>
        </row>
        <row r="1383">
          <cell r="D1383" t="str">
            <v>PELANGI 02</v>
          </cell>
          <cell r="E1383" t="str">
            <v>Cerucuk</v>
          </cell>
          <cell r="F1383" t="str">
            <v>BATA</v>
          </cell>
          <cell r="H1383">
            <v>50</v>
          </cell>
        </row>
        <row r="1384">
          <cell r="D1384" t="str">
            <v>PELANGI 02</v>
          </cell>
          <cell r="E1384" t="str">
            <v>Papan Mal</v>
          </cell>
          <cell r="F1384" t="str">
            <v>BATA</v>
          </cell>
          <cell r="H1384">
            <v>50</v>
          </cell>
        </row>
        <row r="1385">
          <cell r="D1385" t="str">
            <v>KARYA 03</v>
          </cell>
          <cell r="E1385" t="str">
            <v>Semen PCC 40 Kg Tiga Roda</v>
          </cell>
          <cell r="F1385" t="str">
            <v>PLASTER</v>
          </cell>
          <cell r="G1385">
            <v>10</v>
          </cell>
          <cell r="H1385">
            <v>55</v>
          </cell>
        </row>
        <row r="1386">
          <cell r="D1386" t="str">
            <v>KARYA 03</v>
          </cell>
          <cell r="E1386" t="str">
            <v>Pasir</v>
          </cell>
          <cell r="F1386" t="str">
            <v>PLASTER</v>
          </cell>
          <cell r="G1386">
            <v>2</v>
          </cell>
          <cell r="H1386">
            <v>55</v>
          </cell>
        </row>
        <row r="1387">
          <cell r="D1387" t="str">
            <v>KARYA 03</v>
          </cell>
          <cell r="E1387" t="str">
            <v>Pipa 5/8</v>
          </cell>
          <cell r="F1387" t="str">
            <v>PLASTER</v>
          </cell>
          <cell r="G1387">
            <v>7</v>
          </cell>
          <cell r="H1387">
            <v>55</v>
          </cell>
        </row>
        <row r="1388">
          <cell r="D1388" t="str">
            <v>KARYA 03</v>
          </cell>
          <cell r="E1388" t="str">
            <v>Kayu 3/5</v>
          </cell>
          <cell r="F1388" t="str">
            <v>ATAP</v>
          </cell>
          <cell r="G1388">
            <v>70</v>
          </cell>
          <cell r="H1388">
            <v>55</v>
          </cell>
        </row>
        <row r="1389">
          <cell r="D1389" t="str">
            <v>KARYA 03</v>
          </cell>
          <cell r="E1389" t="str">
            <v>Kayu 4/6</v>
          </cell>
          <cell r="F1389" t="str">
            <v>ATAP</v>
          </cell>
          <cell r="G1389">
            <v>45</v>
          </cell>
          <cell r="H1389">
            <v>55</v>
          </cell>
        </row>
        <row r="1390">
          <cell r="D1390" t="str">
            <v>KARYA 03</v>
          </cell>
          <cell r="E1390" t="str">
            <v>Kayu 5/7</v>
          </cell>
          <cell r="F1390" t="str">
            <v>ATAP</v>
          </cell>
          <cell r="G1390">
            <v>30</v>
          </cell>
          <cell r="H1390">
            <v>55</v>
          </cell>
        </row>
        <row r="1391">
          <cell r="D1391" t="str">
            <v>KARYA 03</v>
          </cell>
          <cell r="E1391" t="str">
            <v>Lisplank</v>
          </cell>
          <cell r="F1391" t="str">
            <v>ATAP</v>
          </cell>
          <cell r="H1391">
            <v>55</v>
          </cell>
        </row>
        <row r="1392">
          <cell r="D1392" t="str">
            <v>KARYA 03</v>
          </cell>
          <cell r="E1392" t="str">
            <v>Seng  Metal 4 Susun (merah)</v>
          </cell>
          <cell r="F1392" t="str">
            <v>ATAP</v>
          </cell>
          <cell r="H1392">
            <v>55</v>
          </cell>
        </row>
        <row r="1393">
          <cell r="D1393" t="str">
            <v>KARYA 03</v>
          </cell>
          <cell r="E1393" t="str">
            <v>Seng  Metal 2 Susun (hitam)</v>
          </cell>
          <cell r="F1393" t="str">
            <v>ATAP</v>
          </cell>
          <cell r="H1393">
            <v>55</v>
          </cell>
        </row>
        <row r="1394">
          <cell r="D1394" t="str">
            <v>KARYA 03</v>
          </cell>
          <cell r="E1394" t="str">
            <v>Perabung Hitam</v>
          </cell>
          <cell r="F1394" t="str">
            <v>ATAP</v>
          </cell>
          <cell r="H1394">
            <v>55</v>
          </cell>
        </row>
        <row r="1395">
          <cell r="D1395" t="str">
            <v>KARYA 03</v>
          </cell>
          <cell r="E1395" t="str">
            <v>Perabung Merah</v>
          </cell>
          <cell r="F1395" t="str">
            <v>ATAP</v>
          </cell>
          <cell r="H1395">
            <v>55</v>
          </cell>
        </row>
        <row r="1396">
          <cell r="D1396" t="str">
            <v>KARYA 03</v>
          </cell>
          <cell r="E1396" t="str">
            <v>Paku 2 inch</v>
          </cell>
          <cell r="F1396" t="str">
            <v>ATAP</v>
          </cell>
          <cell r="H1396">
            <v>55</v>
          </cell>
        </row>
        <row r="1397">
          <cell r="D1397" t="str">
            <v>KARYA 03</v>
          </cell>
          <cell r="E1397" t="str">
            <v>Paku 3 inch</v>
          </cell>
          <cell r="F1397" t="str">
            <v>ATAP</v>
          </cell>
          <cell r="H1397">
            <v>55</v>
          </cell>
        </row>
        <row r="1398">
          <cell r="D1398" t="str">
            <v>KARYA 05</v>
          </cell>
          <cell r="E1398" t="str">
            <v>Semen PCC 40 Kg Tiga Roda</v>
          </cell>
          <cell r="F1398" t="str">
            <v>MINIMALIS CARPORT</v>
          </cell>
          <cell r="G1398">
            <v>20</v>
          </cell>
          <cell r="H1398">
            <v>55</v>
          </cell>
        </row>
        <row r="1399">
          <cell r="D1399" t="str">
            <v>KARYA 05</v>
          </cell>
          <cell r="E1399" t="str">
            <v>Pasir</v>
          </cell>
          <cell r="F1399" t="str">
            <v>MINIMALIS CARPORT</v>
          </cell>
          <cell r="G1399">
            <v>5</v>
          </cell>
          <cell r="H1399">
            <v>55</v>
          </cell>
        </row>
        <row r="1400">
          <cell r="D1400" t="str">
            <v>KARYA 11</v>
          </cell>
          <cell r="E1400" t="str">
            <v xml:space="preserve">Keramik 30 x 30 </v>
          </cell>
          <cell r="F1400" t="str">
            <v>WC</v>
          </cell>
          <cell r="G1400">
            <v>6</v>
          </cell>
          <cell r="H1400">
            <v>55</v>
          </cell>
        </row>
        <row r="1401">
          <cell r="D1401" t="str">
            <v>KARYA 11</v>
          </cell>
          <cell r="E1401" t="str">
            <v>Keramik 25 x 40</v>
          </cell>
          <cell r="F1401" t="str">
            <v>WC</v>
          </cell>
          <cell r="G1401">
            <v>12</v>
          </cell>
          <cell r="H1401">
            <v>55</v>
          </cell>
        </row>
        <row r="1402">
          <cell r="D1402" t="str">
            <v>KARYA 11</v>
          </cell>
          <cell r="E1402" t="str">
            <v>Closed jongkok Ina</v>
          </cell>
          <cell r="F1402" t="str">
            <v>WC</v>
          </cell>
          <cell r="G1402">
            <v>1</v>
          </cell>
          <cell r="H1402">
            <v>55</v>
          </cell>
        </row>
        <row r="1403">
          <cell r="D1403" t="str">
            <v>KARYA 11</v>
          </cell>
          <cell r="E1403" t="str">
            <v>Closed Duduk Volk</v>
          </cell>
          <cell r="F1403" t="str">
            <v>WC</v>
          </cell>
          <cell r="G1403">
            <v>1</v>
          </cell>
          <cell r="H1403">
            <v>55</v>
          </cell>
        </row>
        <row r="1404">
          <cell r="D1404" t="str">
            <v>KARYA 11</v>
          </cell>
          <cell r="E1404" t="str">
            <v>Floor drain</v>
          </cell>
          <cell r="F1404" t="str">
            <v>WC</v>
          </cell>
          <cell r="G1404">
            <v>2</v>
          </cell>
          <cell r="H1404">
            <v>55</v>
          </cell>
        </row>
        <row r="1405">
          <cell r="D1405" t="str">
            <v>KARYA 11</v>
          </cell>
          <cell r="E1405" t="str">
            <v>Pasir</v>
          </cell>
          <cell r="F1405" t="str">
            <v>WC</v>
          </cell>
          <cell r="G1405">
            <v>1</v>
          </cell>
          <cell r="H1405">
            <v>55</v>
          </cell>
        </row>
        <row r="1406">
          <cell r="D1406" t="str">
            <v>KARYA 11</v>
          </cell>
          <cell r="E1406" t="str">
            <v>Semen PCC 40 Kg Tiga Roda</v>
          </cell>
          <cell r="F1406" t="str">
            <v>WC</v>
          </cell>
          <cell r="G1406">
            <v>5</v>
          </cell>
          <cell r="H1406">
            <v>55</v>
          </cell>
        </row>
        <row r="1407">
          <cell r="D1407" t="str">
            <v>KARYA 11</v>
          </cell>
          <cell r="E1407" t="str">
            <v>Bak Air</v>
          </cell>
          <cell r="F1407" t="str">
            <v>WC</v>
          </cell>
          <cell r="G1407">
            <v>2</v>
          </cell>
          <cell r="H1407">
            <v>55</v>
          </cell>
        </row>
        <row r="1408">
          <cell r="D1408" t="str">
            <v>KARYA 11</v>
          </cell>
          <cell r="E1408" t="str">
            <v>Pipa 1/2"</v>
          </cell>
          <cell r="F1408" t="str">
            <v>WC</v>
          </cell>
          <cell r="G1408">
            <v>2</v>
          </cell>
          <cell r="H1408">
            <v>55</v>
          </cell>
        </row>
        <row r="1409">
          <cell r="D1409" t="str">
            <v>KARYA 11</v>
          </cell>
          <cell r="E1409" t="str">
            <v>Lbow 1/2"</v>
          </cell>
          <cell r="F1409" t="str">
            <v>WC</v>
          </cell>
          <cell r="G1409">
            <v>6</v>
          </cell>
          <cell r="H1409">
            <v>55</v>
          </cell>
        </row>
        <row r="1410">
          <cell r="D1410" t="str">
            <v>KARYA 11</v>
          </cell>
          <cell r="E1410" t="str">
            <v>Kran Air Plastik 1/2"</v>
          </cell>
          <cell r="F1410" t="str">
            <v>WC</v>
          </cell>
          <cell r="G1410">
            <v>3</v>
          </cell>
          <cell r="H1410">
            <v>55</v>
          </cell>
        </row>
        <row r="1411">
          <cell r="D1411" t="str">
            <v>KARYA 11</v>
          </cell>
          <cell r="E1411" t="str">
            <v>SDD 1/2"</v>
          </cell>
          <cell r="F1411" t="str">
            <v>WC</v>
          </cell>
          <cell r="G1411">
            <v>1</v>
          </cell>
          <cell r="H1411">
            <v>55</v>
          </cell>
        </row>
        <row r="1412">
          <cell r="D1412" t="str">
            <v>KARYA 12</v>
          </cell>
          <cell r="E1412" t="str">
            <v>Bata</v>
          </cell>
          <cell r="F1412" t="str">
            <v>MINIMALIS</v>
          </cell>
          <cell r="G1412">
            <v>69</v>
          </cell>
          <cell r="H1412">
            <v>55</v>
          </cell>
        </row>
        <row r="1413">
          <cell r="D1413" t="str">
            <v>KARYA 12</v>
          </cell>
          <cell r="E1413" t="str">
            <v>Pasir</v>
          </cell>
          <cell r="F1413" t="str">
            <v>MINIMALIS</v>
          </cell>
          <cell r="G1413">
            <v>1</v>
          </cell>
          <cell r="H1413">
            <v>55</v>
          </cell>
        </row>
        <row r="1414">
          <cell r="D1414" t="str">
            <v>KARYA 12</v>
          </cell>
          <cell r="E1414" t="str">
            <v>Semen PCC 40 Kg Tiga Roda</v>
          </cell>
          <cell r="F1414" t="str">
            <v>MINIMALIS</v>
          </cell>
          <cell r="G1414">
            <v>7</v>
          </cell>
          <cell r="H1414">
            <v>55</v>
          </cell>
        </row>
        <row r="1415">
          <cell r="D1415" t="str">
            <v>KARYA 12</v>
          </cell>
          <cell r="E1415" t="str">
            <v>Keramik 60 x 60 Blackmatt</v>
          </cell>
          <cell r="F1415" t="str">
            <v>MINIMALIS</v>
          </cell>
          <cell r="H1415">
            <v>55</v>
          </cell>
        </row>
        <row r="1416">
          <cell r="D1416" t="str">
            <v>SUKABASUKI</v>
          </cell>
          <cell r="E1416" t="str">
            <v>Mowilex weathercoat</v>
          </cell>
          <cell r="F1416" t="str">
            <v>CAT</v>
          </cell>
          <cell r="H1416">
            <v>100</v>
          </cell>
        </row>
        <row r="1417">
          <cell r="D1417" t="str">
            <v>SUKABASUKI</v>
          </cell>
          <cell r="E1417" t="str">
            <v>Nippon pain  Q--luc</v>
          </cell>
          <cell r="F1417" t="str">
            <v>CAT</v>
          </cell>
          <cell r="G1417">
            <v>3</v>
          </cell>
          <cell r="H1417">
            <v>100</v>
          </cell>
        </row>
        <row r="1418">
          <cell r="D1418" t="str">
            <v>SUKABASUKI</v>
          </cell>
          <cell r="E1418" t="str">
            <v>Semen TR-30 40 Kg Tiga Roda</v>
          </cell>
          <cell r="F1418" t="str">
            <v>CAT</v>
          </cell>
          <cell r="G1418">
            <v>13</v>
          </cell>
          <cell r="H1418">
            <v>100</v>
          </cell>
        </row>
        <row r="1419">
          <cell r="D1419" t="str">
            <v>SUKABASUKI</v>
          </cell>
          <cell r="E1419" t="str">
            <v>Semen Aci Putih 25 kg</v>
          </cell>
          <cell r="F1419" t="str">
            <v>CAT</v>
          </cell>
          <cell r="G1419">
            <v>5</v>
          </cell>
          <cell r="H1419">
            <v>100</v>
          </cell>
        </row>
        <row r="1420">
          <cell r="D1420" t="str">
            <v>DINA CITRA</v>
          </cell>
          <cell r="E1420" t="str">
            <v>Semen TR-30 40 Kg Tiga Roda</v>
          </cell>
          <cell r="F1420" t="str">
            <v>ACI MINIMALIS</v>
          </cell>
          <cell r="G1420">
            <v>2</v>
          </cell>
          <cell r="H1420">
            <v>40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RKB"/>
      <sheetName val="Sheet1"/>
      <sheetName val="DT_KR"/>
      <sheetName val="INPUT"/>
      <sheetName val="JURNAL"/>
      <sheetName val="CEK"/>
      <sheetName val="R-AB"/>
      <sheetName val="R_U"/>
      <sheetName val="REKAP"/>
      <sheetName val="DU"/>
      <sheetName val="BAPP"/>
      <sheetName val="KARYAWAN"/>
      <sheetName val="ANALISA"/>
      <sheetName val="UPAH ESTATE"/>
      <sheetName val="Sheet2"/>
      <sheetName val="UPAH DIVISI"/>
      <sheetName val="Premi Mandor"/>
      <sheetName val="REKAP F_K"/>
      <sheetName val="FEE KONTRAKTOR"/>
      <sheetName val="Sheet3"/>
      <sheetName val="REKAP1"/>
      <sheetName val="LAP TK"/>
      <sheetName val="TRANSFER"/>
      <sheetName val="Rekap Pot"/>
      <sheetName val="Fee KUD"/>
      <sheetName val="Alat Kerja"/>
      <sheetName val="Penalti Panen"/>
      <sheetName val="Transport"/>
      <sheetName val="Pinjaman 80%"/>
    </sheetNames>
    <sheetDataSet>
      <sheetData sheetId="0" refreshError="1"/>
      <sheetData sheetId="1" refreshError="1"/>
      <sheetData sheetId="2" refreshError="1"/>
      <sheetData sheetId="3">
        <row r="4">
          <cell r="B4" t="str">
            <v>GM-00001</v>
          </cell>
          <cell r="C4" t="str">
            <v>ABDUL MALIK</v>
          </cell>
          <cell r="E4">
            <v>43349</v>
          </cell>
          <cell r="F4" t="str">
            <v>L</v>
          </cell>
          <cell r="G4" t="str">
            <v>MERIAN</v>
          </cell>
          <cell r="H4">
            <v>31774</v>
          </cell>
          <cell r="I4" t="str">
            <v>34 TAHUN</v>
          </cell>
          <cell r="J4" t="str">
            <v>ISLAM</v>
          </cell>
          <cell r="K4" t="str">
            <v>NON KONTRAKTOR</v>
          </cell>
          <cell r="L4">
            <v>1</v>
          </cell>
          <cell r="M4" t="str">
            <v>ABDUL MALIK</v>
          </cell>
          <cell r="N4">
            <v>526011845</v>
          </cell>
          <cell r="O4" t="str">
            <v>BNI</v>
          </cell>
          <cell r="P4" t="str">
            <v>AKTIF</v>
          </cell>
          <cell r="R4" t="str">
            <v>PANEN</v>
          </cell>
          <cell r="S4" t="str">
            <v>BORONGAN</v>
          </cell>
          <cell r="T4" t="str">
            <v>TRANSFER</v>
          </cell>
          <cell r="U4" t="str">
            <v>6109062612860004</v>
          </cell>
          <cell r="V4" t="str">
            <v>LOKAL</v>
          </cell>
        </row>
        <row r="5">
          <cell r="B5" t="str">
            <v>GM-00002</v>
          </cell>
          <cell r="C5" t="str">
            <v>ADI PUTRA</v>
          </cell>
          <cell r="D5" t="str">
            <v>Ds. SEPURU</v>
          </cell>
          <cell r="E5">
            <v>43349</v>
          </cell>
          <cell r="F5" t="str">
            <v>L</v>
          </cell>
          <cell r="G5" t="str">
            <v>DUSUN SEPURU</v>
          </cell>
          <cell r="H5">
            <v>33808</v>
          </cell>
          <cell r="I5" t="str">
            <v>28 TAHUN</v>
          </cell>
          <cell r="J5" t="str">
            <v>KRISTEN</v>
          </cell>
          <cell r="K5" t="str">
            <v>NON KONTRAKTOR</v>
          </cell>
          <cell r="L5">
            <v>1</v>
          </cell>
          <cell r="M5" t="str">
            <v>ADI PUTRA</v>
          </cell>
          <cell r="N5">
            <v>386799921</v>
          </cell>
          <cell r="O5" t="str">
            <v>BNI</v>
          </cell>
          <cell r="P5" t="str">
            <v>AKTIF</v>
          </cell>
          <cell r="R5" t="str">
            <v>PANEN</v>
          </cell>
          <cell r="S5" t="str">
            <v>BORONGAN</v>
          </cell>
          <cell r="T5" t="str">
            <v>TRANSFER</v>
          </cell>
          <cell r="V5" t="str">
            <v>LOKAL</v>
          </cell>
        </row>
        <row r="6">
          <cell r="B6" t="str">
            <v>GM-00003</v>
          </cell>
          <cell r="C6" t="str">
            <v>ADI PUTRA IJUK</v>
          </cell>
          <cell r="E6">
            <v>43349</v>
          </cell>
          <cell r="F6" t="str">
            <v>L</v>
          </cell>
          <cell r="G6" t="str">
            <v>IJUK</v>
          </cell>
          <cell r="H6">
            <v>31878</v>
          </cell>
          <cell r="I6" t="str">
            <v>33 TAHUN</v>
          </cell>
          <cell r="J6" t="str">
            <v>KRISTEN</v>
          </cell>
          <cell r="K6" t="str">
            <v>NON KONTRAKTOR</v>
          </cell>
          <cell r="L6">
            <v>1</v>
          </cell>
          <cell r="M6" t="str">
            <v xml:space="preserve">ADI PUTRA </v>
          </cell>
          <cell r="N6">
            <v>386799910</v>
          </cell>
          <cell r="O6" t="str">
            <v>BNI</v>
          </cell>
          <cell r="P6" t="str">
            <v>AKTIF</v>
          </cell>
          <cell r="R6" t="str">
            <v>PANEN</v>
          </cell>
          <cell r="S6" t="str">
            <v>BORONGAN</v>
          </cell>
          <cell r="T6" t="str">
            <v>TRANSFER</v>
          </cell>
          <cell r="U6" t="str">
            <v>6109061104870001</v>
          </cell>
          <cell r="V6" t="str">
            <v>LOKAL</v>
          </cell>
        </row>
        <row r="7">
          <cell r="B7" t="str">
            <v>GM-00004</v>
          </cell>
          <cell r="C7" t="str">
            <v>AHI M.</v>
          </cell>
          <cell r="D7" t="str">
            <v>Ds. SEPURU</v>
          </cell>
          <cell r="E7">
            <v>43349</v>
          </cell>
          <cell r="F7" t="str">
            <v>L</v>
          </cell>
          <cell r="G7" t="str">
            <v>DUSUN SEPURU</v>
          </cell>
          <cell r="H7">
            <v>30512</v>
          </cell>
          <cell r="I7" t="str">
            <v>37 TAHUN</v>
          </cell>
          <cell r="J7" t="str">
            <v>KRISTEN</v>
          </cell>
          <cell r="K7" t="str">
            <v>NON KONTRAKTOR</v>
          </cell>
          <cell r="L7">
            <v>1</v>
          </cell>
          <cell r="M7" t="str">
            <v>AHI M.</v>
          </cell>
          <cell r="N7">
            <v>386799466</v>
          </cell>
          <cell r="O7" t="str">
            <v>BNI</v>
          </cell>
          <cell r="P7" t="str">
            <v>AKTIF</v>
          </cell>
          <cell r="R7" t="str">
            <v>PANEN</v>
          </cell>
          <cell r="S7" t="str">
            <v>BORONGAN</v>
          </cell>
          <cell r="T7" t="str">
            <v>TRANSFER</v>
          </cell>
          <cell r="V7" t="str">
            <v>LOKAL</v>
          </cell>
        </row>
        <row r="8">
          <cell r="B8" t="str">
            <v>GM-00005</v>
          </cell>
          <cell r="C8" t="str">
            <v>BARON</v>
          </cell>
          <cell r="E8">
            <v>43349</v>
          </cell>
          <cell r="F8" t="str">
            <v>L</v>
          </cell>
          <cell r="G8" t="str">
            <v>EMPURANG</v>
          </cell>
          <cell r="H8">
            <v>28547</v>
          </cell>
          <cell r="I8" t="str">
            <v>42 TAHUN</v>
          </cell>
          <cell r="J8" t="str">
            <v>KRISTEN</v>
          </cell>
          <cell r="K8" t="str">
            <v>NON KONTRAKTOR</v>
          </cell>
          <cell r="L8">
            <v>1</v>
          </cell>
          <cell r="M8" t="str">
            <v>BARON</v>
          </cell>
          <cell r="N8">
            <v>485169623</v>
          </cell>
          <cell r="O8" t="str">
            <v>BNI</v>
          </cell>
          <cell r="P8" t="str">
            <v>AKTIF</v>
          </cell>
          <cell r="R8" t="str">
            <v>PANEN</v>
          </cell>
          <cell r="S8" t="str">
            <v>BORONGAN</v>
          </cell>
          <cell r="T8" t="str">
            <v>TRANSFER</v>
          </cell>
          <cell r="U8" t="str">
            <v>6103022602780001</v>
          </cell>
          <cell r="V8" t="str">
            <v>LOKAL</v>
          </cell>
        </row>
        <row r="9">
          <cell r="B9" t="str">
            <v>GM-00006</v>
          </cell>
          <cell r="C9" t="str">
            <v>BATIS</v>
          </cell>
          <cell r="D9" t="str">
            <v>Ds. SEPURU</v>
          </cell>
          <cell r="E9">
            <v>43349</v>
          </cell>
          <cell r="F9" t="str">
            <v>L</v>
          </cell>
          <cell r="G9" t="str">
            <v>DUSUN SEPURU</v>
          </cell>
          <cell r="H9">
            <v>33915</v>
          </cell>
          <cell r="I9" t="str">
            <v>28 TAHUN</v>
          </cell>
          <cell r="J9" t="str">
            <v>KRISTEN</v>
          </cell>
          <cell r="K9" t="str">
            <v>NON KONTRAKTOR</v>
          </cell>
          <cell r="L9">
            <v>1</v>
          </cell>
          <cell r="M9" t="str">
            <v>BATIS</v>
          </cell>
          <cell r="N9">
            <v>442389413</v>
          </cell>
          <cell r="O9" t="str">
            <v>BNI</v>
          </cell>
          <cell r="P9" t="str">
            <v>AKTIF</v>
          </cell>
          <cell r="R9" t="str">
            <v>PANEN</v>
          </cell>
          <cell r="S9" t="str">
            <v>BORONGAN</v>
          </cell>
          <cell r="T9" t="str">
            <v>TRANSFER</v>
          </cell>
          <cell r="U9" t="str">
            <v>6109060711920001</v>
          </cell>
          <cell r="V9" t="str">
            <v>LOKAL</v>
          </cell>
        </row>
        <row r="10">
          <cell r="B10" t="str">
            <v>GM-00007</v>
          </cell>
          <cell r="C10" t="str">
            <v>BERNADUS</v>
          </cell>
          <cell r="D10" t="str">
            <v>Ds. SEPURU</v>
          </cell>
          <cell r="E10">
            <v>43349</v>
          </cell>
          <cell r="F10" t="str">
            <v>L</v>
          </cell>
          <cell r="G10" t="str">
            <v>DUSUN SEPURU</v>
          </cell>
          <cell r="H10">
            <v>26819</v>
          </cell>
          <cell r="I10" t="str">
            <v>47 TAHUN</v>
          </cell>
          <cell r="J10" t="str">
            <v>KRISTEN</v>
          </cell>
          <cell r="K10" t="str">
            <v>NON KONTRAKTOR</v>
          </cell>
          <cell r="L10">
            <v>1</v>
          </cell>
          <cell r="M10" t="str">
            <v>BERNADUS</v>
          </cell>
          <cell r="N10">
            <v>386799580</v>
          </cell>
          <cell r="O10" t="str">
            <v>BNI</v>
          </cell>
          <cell r="P10" t="str">
            <v>AKTIF</v>
          </cell>
          <cell r="R10" t="str">
            <v>PANEN</v>
          </cell>
          <cell r="S10" t="str">
            <v>BORONGAN</v>
          </cell>
          <cell r="T10" t="str">
            <v>TRANSFER</v>
          </cell>
          <cell r="U10" t="str">
            <v>6109060406730004</v>
          </cell>
          <cell r="V10" t="str">
            <v>LOKAL</v>
          </cell>
        </row>
        <row r="11">
          <cell r="B11" t="str">
            <v>GM-00008</v>
          </cell>
          <cell r="C11" t="str">
            <v>BIYES</v>
          </cell>
          <cell r="E11">
            <v>43349</v>
          </cell>
          <cell r="F11" t="str">
            <v>L</v>
          </cell>
          <cell r="I11" t="str">
            <v>121 TAHUN</v>
          </cell>
          <cell r="J11" t="str">
            <v>ISLAM</v>
          </cell>
          <cell r="K11" t="str">
            <v>NON KONTRAKTOR</v>
          </cell>
          <cell r="L11">
            <v>1</v>
          </cell>
          <cell r="P11" t="str">
            <v>AKTIF</v>
          </cell>
          <cell r="R11" t="str">
            <v>PERAWATAN</v>
          </cell>
          <cell r="S11" t="str">
            <v>BORONGAN</v>
          </cell>
          <cell r="T11" t="str">
            <v>TUNAI</v>
          </cell>
          <cell r="V11" t="str">
            <v>LOKAL</v>
          </cell>
        </row>
        <row r="12">
          <cell r="B12" t="str">
            <v>GM-00009</v>
          </cell>
          <cell r="C12" t="str">
            <v>BUDI ARIYANTO</v>
          </cell>
          <cell r="E12">
            <v>43349</v>
          </cell>
          <cell r="F12" t="str">
            <v>L</v>
          </cell>
          <cell r="G12" t="str">
            <v>SOSOK</v>
          </cell>
          <cell r="H12">
            <v>30443</v>
          </cell>
          <cell r="I12" t="str">
            <v>37 TAHUN</v>
          </cell>
          <cell r="J12" t="str">
            <v>KRISTEN</v>
          </cell>
          <cell r="K12" t="str">
            <v>NON KONTRAKTOR</v>
          </cell>
          <cell r="L12">
            <v>1</v>
          </cell>
          <cell r="M12" t="str">
            <v>BUDI ARIYANTO</v>
          </cell>
          <cell r="N12">
            <v>386799681</v>
          </cell>
          <cell r="O12" t="str">
            <v>BNI</v>
          </cell>
          <cell r="P12" t="str">
            <v>AKTIF</v>
          </cell>
          <cell r="R12" t="str">
            <v>PANEN</v>
          </cell>
          <cell r="S12" t="str">
            <v>BORONGAN</v>
          </cell>
          <cell r="T12" t="str">
            <v>TRANSFER</v>
          </cell>
          <cell r="U12" t="str">
            <v>6109060705830004</v>
          </cell>
          <cell r="V12" t="str">
            <v>LOKAL</v>
          </cell>
        </row>
        <row r="13">
          <cell r="B13" t="str">
            <v>GM-00010</v>
          </cell>
          <cell r="C13" t="str">
            <v>BUDIMAN</v>
          </cell>
          <cell r="E13">
            <v>43349</v>
          </cell>
          <cell r="F13" t="str">
            <v>L</v>
          </cell>
          <cell r="G13" t="str">
            <v>RASAK TERBANG</v>
          </cell>
          <cell r="H13">
            <v>27739</v>
          </cell>
          <cell r="I13" t="str">
            <v>45 TAHUN</v>
          </cell>
          <cell r="J13" t="str">
            <v>KRISTEN</v>
          </cell>
          <cell r="K13" t="str">
            <v>NON KONTRAKTOR</v>
          </cell>
          <cell r="L13">
            <v>1</v>
          </cell>
          <cell r="M13" t="str">
            <v>BUDIMAN</v>
          </cell>
          <cell r="N13">
            <v>388035929</v>
          </cell>
          <cell r="O13" t="str">
            <v>BNI</v>
          </cell>
          <cell r="P13" t="str">
            <v>AKTIF</v>
          </cell>
          <cell r="R13" t="str">
            <v>PANEN</v>
          </cell>
          <cell r="S13" t="str">
            <v>BORONGAN</v>
          </cell>
          <cell r="T13" t="str">
            <v>TRANSFER</v>
          </cell>
          <cell r="U13" t="str">
            <v>6109061112750003</v>
          </cell>
          <cell r="V13" t="str">
            <v>LOKAL</v>
          </cell>
        </row>
        <row r="14">
          <cell r="B14" t="str">
            <v>GM-00011</v>
          </cell>
          <cell r="C14" t="str">
            <v>BUDIYANTO</v>
          </cell>
          <cell r="E14">
            <v>43349</v>
          </cell>
          <cell r="F14" t="str">
            <v>L</v>
          </cell>
          <cell r="G14" t="str">
            <v>SEKADAU</v>
          </cell>
          <cell r="H14">
            <v>32709</v>
          </cell>
          <cell r="I14" t="str">
            <v>31 TAHUN</v>
          </cell>
          <cell r="J14" t="str">
            <v>ISLAM</v>
          </cell>
          <cell r="K14" t="str">
            <v>NON KONTRAKTOR</v>
          </cell>
          <cell r="L14">
            <v>1</v>
          </cell>
          <cell r="M14" t="str">
            <v>BUDIYANTO</v>
          </cell>
          <cell r="N14">
            <v>684887526</v>
          </cell>
          <cell r="O14" t="str">
            <v>BNI</v>
          </cell>
          <cell r="P14" t="str">
            <v>AKTIF</v>
          </cell>
          <cell r="R14" t="str">
            <v>PERAWATAN</v>
          </cell>
          <cell r="S14" t="str">
            <v>BORONGAN</v>
          </cell>
          <cell r="T14" t="str">
            <v>TRANSFER</v>
          </cell>
          <cell r="U14" t="str">
            <v>6109012007890005</v>
          </cell>
          <cell r="V14" t="str">
            <v>LOKAL</v>
          </cell>
        </row>
        <row r="15">
          <cell r="B15" t="str">
            <v>GM-00012</v>
          </cell>
          <cell r="C15" t="str">
            <v>BUNGA</v>
          </cell>
          <cell r="E15">
            <v>43349</v>
          </cell>
          <cell r="F15" t="str">
            <v>P</v>
          </cell>
          <cell r="I15" t="str">
            <v>121 TAHUN</v>
          </cell>
          <cell r="J15" t="str">
            <v>KRISTEN</v>
          </cell>
          <cell r="K15" t="str">
            <v>NON KONTRAKTOR</v>
          </cell>
          <cell r="L15">
            <v>1</v>
          </cell>
          <cell r="P15" t="str">
            <v>AKTIF</v>
          </cell>
          <cell r="R15" t="str">
            <v>PERAWATAN</v>
          </cell>
          <cell r="S15" t="str">
            <v>BORONGAN</v>
          </cell>
          <cell r="T15" t="str">
            <v>TUNAI</v>
          </cell>
          <cell r="V15" t="str">
            <v>LOKAL</v>
          </cell>
        </row>
        <row r="16">
          <cell r="B16" t="str">
            <v>GM-00013</v>
          </cell>
          <cell r="C16" t="str">
            <v>DARMASKUS</v>
          </cell>
          <cell r="E16">
            <v>43349</v>
          </cell>
          <cell r="F16" t="str">
            <v>L</v>
          </cell>
          <cell r="G16" t="str">
            <v>GENOK</v>
          </cell>
          <cell r="H16">
            <v>28196</v>
          </cell>
          <cell r="I16" t="str">
            <v>43 TAHUN</v>
          </cell>
          <cell r="J16" t="str">
            <v>KRISTEN</v>
          </cell>
          <cell r="K16" t="str">
            <v>NON KONTRAKTOR</v>
          </cell>
          <cell r="L16">
            <v>1</v>
          </cell>
          <cell r="M16" t="str">
            <v>DARMASKUS</v>
          </cell>
          <cell r="N16">
            <v>442389399</v>
          </cell>
          <cell r="O16" t="str">
            <v>BNI</v>
          </cell>
          <cell r="P16" t="str">
            <v>AKTIF</v>
          </cell>
          <cell r="R16" t="str">
            <v>PANEN</v>
          </cell>
          <cell r="S16" t="str">
            <v>BORONGAN</v>
          </cell>
          <cell r="T16" t="str">
            <v>TRANSFER</v>
          </cell>
          <cell r="U16" t="str">
            <v>6109061203770001</v>
          </cell>
          <cell r="V16" t="str">
            <v>LOKAL</v>
          </cell>
        </row>
        <row r="17">
          <cell r="B17" t="str">
            <v>GM-00014</v>
          </cell>
          <cell r="C17" t="str">
            <v>DENY HARDIADY</v>
          </cell>
          <cell r="D17" t="str">
            <v>Ds. SEPURU</v>
          </cell>
          <cell r="E17">
            <v>43349</v>
          </cell>
          <cell r="F17" t="str">
            <v>L</v>
          </cell>
          <cell r="G17" t="str">
            <v>DUSUN SEPURU</v>
          </cell>
          <cell r="H17">
            <v>35430</v>
          </cell>
          <cell r="I17" t="str">
            <v>24 TAHUN</v>
          </cell>
          <cell r="J17" t="str">
            <v>KRISTEN</v>
          </cell>
          <cell r="K17" t="str">
            <v>NON KONTRAKTOR</v>
          </cell>
          <cell r="L17">
            <v>1</v>
          </cell>
          <cell r="M17" t="str">
            <v>DENY HARDIADY</v>
          </cell>
          <cell r="N17">
            <v>442389355</v>
          </cell>
          <cell r="O17" t="str">
            <v>BNI</v>
          </cell>
          <cell r="P17" t="str">
            <v>AKTIF</v>
          </cell>
          <cell r="R17" t="str">
            <v>PANEN</v>
          </cell>
          <cell r="S17" t="str">
            <v>BORONGAN</v>
          </cell>
          <cell r="T17" t="str">
            <v>TRANSFER</v>
          </cell>
          <cell r="U17" t="str">
            <v>6109063112960004</v>
          </cell>
          <cell r="V17" t="str">
            <v>LOKAL</v>
          </cell>
        </row>
        <row r="18">
          <cell r="B18" t="str">
            <v>GM-00015</v>
          </cell>
          <cell r="C18" t="str">
            <v>DIANA</v>
          </cell>
          <cell r="D18" t="str">
            <v>Ds. SEPURU</v>
          </cell>
          <cell r="E18">
            <v>43349</v>
          </cell>
          <cell r="F18" t="str">
            <v>P</v>
          </cell>
          <cell r="G18" t="str">
            <v>DUSUN SEPURU</v>
          </cell>
          <cell r="H18">
            <v>25197</v>
          </cell>
          <cell r="I18" t="str">
            <v>52 TAHUN</v>
          </cell>
          <cell r="J18" t="str">
            <v>KRISTEN</v>
          </cell>
          <cell r="K18" t="str">
            <v>NON KONTRAKTOR</v>
          </cell>
          <cell r="L18">
            <v>1</v>
          </cell>
          <cell r="P18" t="str">
            <v>AKTIF</v>
          </cell>
          <cell r="R18" t="str">
            <v>PERAWATAN</v>
          </cell>
          <cell r="S18" t="str">
            <v>BORONGAN</v>
          </cell>
          <cell r="T18" t="str">
            <v>TUNAI</v>
          </cell>
          <cell r="U18" t="str">
            <v>6109066512680002</v>
          </cell>
          <cell r="V18" t="str">
            <v>LOKAL</v>
          </cell>
        </row>
        <row r="19">
          <cell r="B19" t="str">
            <v>GM-00016</v>
          </cell>
          <cell r="C19" t="str">
            <v>ELLIYA</v>
          </cell>
          <cell r="D19" t="str">
            <v>Ds. SEPURU</v>
          </cell>
          <cell r="E19">
            <v>43349</v>
          </cell>
          <cell r="F19" t="str">
            <v>L</v>
          </cell>
          <cell r="G19" t="str">
            <v>DUSUN SEPURU</v>
          </cell>
          <cell r="H19">
            <v>24261</v>
          </cell>
          <cell r="I19" t="str">
            <v>54 TAHUN</v>
          </cell>
          <cell r="J19" t="str">
            <v>KRISTEN</v>
          </cell>
          <cell r="K19" t="str">
            <v>NON KONTRAKTOR</v>
          </cell>
          <cell r="L19">
            <v>1</v>
          </cell>
          <cell r="M19" t="str">
            <v>ELLIYA</v>
          </cell>
          <cell r="N19">
            <v>973885826</v>
          </cell>
          <cell r="O19" t="str">
            <v>BNI</v>
          </cell>
          <cell r="P19" t="str">
            <v>AKTIF</v>
          </cell>
          <cell r="R19" t="str">
            <v>PANEN</v>
          </cell>
          <cell r="S19" t="str">
            <v>BORONGAN</v>
          </cell>
          <cell r="T19" t="str">
            <v>TRANSFER</v>
          </cell>
          <cell r="U19" t="str">
            <v>6109063006660002</v>
          </cell>
          <cell r="V19" t="str">
            <v>LOKAL</v>
          </cell>
        </row>
        <row r="20">
          <cell r="B20" t="str">
            <v>GM-00017</v>
          </cell>
          <cell r="C20" t="str">
            <v>KRISTINA ENDANG</v>
          </cell>
          <cell r="D20" t="str">
            <v>Ds. SEPURU</v>
          </cell>
          <cell r="E20">
            <v>43349</v>
          </cell>
          <cell r="F20" t="str">
            <v>P</v>
          </cell>
          <cell r="G20" t="str">
            <v>DUSUN SEPURU</v>
          </cell>
          <cell r="H20">
            <v>32073</v>
          </cell>
          <cell r="I20" t="str">
            <v>33 TAHUN</v>
          </cell>
          <cell r="J20" t="str">
            <v>KRISTEN</v>
          </cell>
          <cell r="K20" t="str">
            <v>NON KONTRAKTOR</v>
          </cell>
          <cell r="L20">
            <v>1</v>
          </cell>
          <cell r="P20" t="str">
            <v>AKTIF</v>
          </cell>
          <cell r="R20" t="str">
            <v>PERAWATAN</v>
          </cell>
          <cell r="S20" t="str">
            <v>BORONGAN</v>
          </cell>
          <cell r="T20" t="str">
            <v>TUNAI</v>
          </cell>
          <cell r="U20" t="str">
            <v>6109066310870003</v>
          </cell>
          <cell r="V20" t="str">
            <v>LOKAL</v>
          </cell>
        </row>
        <row r="21">
          <cell r="B21" t="str">
            <v>GM-00018</v>
          </cell>
          <cell r="C21" t="str">
            <v>ENIKA</v>
          </cell>
          <cell r="E21">
            <v>43349</v>
          </cell>
          <cell r="F21" t="str">
            <v>P</v>
          </cell>
          <cell r="I21" t="str">
            <v>121 TAHUN</v>
          </cell>
          <cell r="J21" t="str">
            <v>KRISTEN</v>
          </cell>
          <cell r="K21" t="str">
            <v>NON KONTRAKTOR</v>
          </cell>
          <cell r="L21">
            <v>1</v>
          </cell>
          <cell r="P21" t="str">
            <v>AKTIF</v>
          </cell>
          <cell r="R21" t="str">
            <v>PERAWATAN</v>
          </cell>
          <cell r="S21" t="str">
            <v>BORONGAN</v>
          </cell>
          <cell r="T21" t="str">
            <v>TUNAI</v>
          </cell>
          <cell r="V21" t="str">
            <v>LOKAL</v>
          </cell>
        </row>
        <row r="22">
          <cell r="B22" t="str">
            <v>GM-00019</v>
          </cell>
          <cell r="C22" t="str">
            <v>ERNIWATI</v>
          </cell>
          <cell r="E22">
            <v>43349</v>
          </cell>
          <cell r="F22" t="str">
            <v>P</v>
          </cell>
          <cell r="I22" t="str">
            <v>121 TAHUN</v>
          </cell>
          <cell r="J22" t="str">
            <v>KRISTEN</v>
          </cell>
          <cell r="K22" t="str">
            <v>NON KONTRAKTOR</v>
          </cell>
          <cell r="L22">
            <v>1</v>
          </cell>
          <cell r="P22" t="str">
            <v>AKTIF</v>
          </cell>
          <cell r="R22" t="str">
            <v>PERAWATAN</v>
          </cell>
          <cell r="S22" t="str">
            <v>BORONGAN</v>
          </cell>
          <cell r="T22" t="str">
            <v>TUNAI</v>
          </cell>
          <cell r="V22" t="str">
            <v>LOKAL</v>
          </cell>
        </row>
        <row r="23">
          <cell r="B23" t="str">
            <v>GM-00020</v>
          </cell>
          <cell r="C23" t="str">
            <v>FERANIUS</v>
          </cell>
          <cell r="E23">
            <v>43349</v>
          </cell>
          <cell r="F23" t="str">
            <v>L</v>
          </cell>
          <cell r="I23" t="str">
            <v>121 TAHUN</v>
          </cell>
          <cell r="J23" t="str">
            <v>KRISTEN</v>
          </cell>
          <cell r="K23" t="str">
            <v>NON KONTRAKTOR</v>
          </cell>
          <cell r="L23">
            <v>1</v>
          </cell>
          <cell r="P23" t="str">
            <v>AKTIF</v>
          </cell>
          <cell r="R23" t="str">
            <v>PERAWATAN</v>
          </cell>
          <cell r="S23" t="str">
            <v>BORONGAN</v>
          </cell>
          <cell r="T23" t="str">
            <v>TUNAI</v>
          </cell>
          <cell r="V23" t="str">
            <v>LOKAL</v>
          </cell>
        </row>
        <row r="24">
          <cell r="B24" t="str">
            <v>GM-00021</v>
          </cell>
          <cell r="C24" t="str">
            <v>MANASE FERDISON SAMENE</v>
          </cell>
          <cell r="E24">
            <v>43349</v>
          </cell>
          <cell r="F24" t="str">
            <v>L</v>
          </cell>
          <cell r="I24" t="str">
            <v>121 TAHUN</v>
          </cell>
          <cell r="J24" t="str">
            <v>KRISTEN</v>
          </cell>
          <cell r="K24" t="str">
            <v>NON KONTRAKTOR</v>
          </cell>
          <cell r="L24">
            <v>1</v>
          </cell>
          <cell r="M24" t="str">
            <v>MANASE FERDISON SAMENE</v>
          </cell>
          <cell r="N24">
            <v>386799444</v>
          </cell>
          <cell r="O24" t="str">
            <v>BNI</v>
          </cell>
          <cell r="P24" t="str">
            <v>AKTIF</v>
          </cell>
          <cell r="R24" t="str">
            <v>PANEN</v>
          </cell>
          <cell r="S24" t="str">
            <v>BORONGAN</v>
          </cell>
          <cell r="T24" t="str">
            <v>TRANSFER</v>
          </cell>
          <cell r="V24" t="str">
            <v>LOKAL</v>
          </cell>
        </row>
        <row r="25">
          <cell r="B25" t="str">
            <v>GM-00022</v>
          </cell>
          <cell r="C25" t="str">
            <v>HAYA EDWIN</v>
          </cell>
          <cell r="D25" t="str">
            <v>Ds. SEPURU</v>
          </cell>
          <cell r="E25">
            <v>43349</v>
          </cell>
          <cell r="F25" t="str">
            <v>L</v>
          </cell>
          <cell r="G25" t="str">
            <v>DUSUN SEPURU</v>
          </cell>
          <cell r="H25">
            <v>32743</v>
          </cell>
          <cell r="I25" t="str">
            <v>31 TAHUN</v>
          </cell>
          <cell r="J25" t="str">
            <v>KRISTEN</v>
          </cell>
          <cell r="K25" t="str">
            <v>NON KONTRAKTOR</v>
          </cell>
          <cell r="L25">
            <v>1</v>
          </cell>
          <cell r="M25" t="str">
            <v>HAYA EDWIN</v>
          </cell>
          <cell r="N25">
            <v>386799499</v>
          </cell>
          <cell r="O25" t="str">
            <v>BNI</v>
          </cell>
          <cell r="P25" t="str">
            <v>AKTIF</v>
          </cell>
          <cell r="R25" t="str">
            <v>PANEN</v>
          </cell>
          <cell r="S25" t="str">
            <v>BORONGAN</v>
          </cell>
          <cell r="T25" t="str">
            <v>TRANSFER</v>
          </cell>
          <cell r="U25" t="str">
            <v>6109062308890001</v>
          </cell>
          <cell r="V25" t="str">
            <v>LOKAL</v>
          </cell>
        </row>
        <row r="26">
          <cell r="B26" t="str">
            <v>GM-00023</v>
          </cell>
          <cell r="C26" t="str">
            <v>HENDRIK</v>
          </cell>
          <cell r="E26">
            <v>43349</v>
          </cell>
          <cell r="F26" t="str">
            <v>L</v>
          </cell>
          <cell r="G26" t="str">
            <v>JUNAK</v>
          </cell>
          <cell r="H26">
            <v>25581</v>
          </cell>
          <cell r="I26" t="str">
            <v>51 TAHUN</v>
          </cell>
          <cell r="J26" t="str">
            <v>KRISTEN</v>
          </cell>
          <cell r="K26" t="str">
            <v>NON KONTRAKTOR</v>
          </cell>
          <cell r="L26">
            <v>1</v>
          </cell>
          <cell r="M26" t="str">
            <v>HENDRIK</v>
          </cell>
          <cell r="N26">
            <v>450236986</v>
          </cell>
          <cell r="O26" t="str">
            <v>BNI</v>
          </cell>
          <cell r="P26" t="str">
            <v>AKTIF</v>
          </cell>
          <cell r="R26" t="str">
            <v>PANEN</v>
          </cell>
          <cell r="S26" t="str">
            <v>BORONGAN</v>
          </cell>
          <cell r="T26" t="str">
            <v>TRANSFER</v>
          </cell>
          <cell r="V26" t="str">
            <v>LOKAL</v>
          </cell>
        </row>
        <row r="27">
          <cell r="B27" t="str">
            <v>GM-00024</v>
          </cell>
          <cell r="C27" t="str">
            <v>HERMAN SANTURI</v>
          </cell>
          <cell r="E27">
            <v>43349</v>
          </cell>
          <cell r="F27" t="str">
            <v>L</v>
          </cell>
          <cell r="I27" t="str">
            <v>121 TAHUN</v>
          </cell>
          <cell r="J27" t="str">
            <v>KRISTEN</v>
          </cell>
          <cell r="K27" t="str">
            <v>NON KONTRAKTOR</v>
          </cell>
          <cell r="L27">
            <v>1</v>
          </cell>
          <cell r="M27" t="str">
            <v>HERMAN SANTURI</v>
          </cell>
          <cell r="N27">
            <v>388034890</v>
          </cell>
          <cell r="O27" t="str">
            <v>BNI</v>
          </cell>
          <cell r="P27" t="str">
            <v>AKTIF</v>
          </cell>
          <cell r="R27" t="str">
            <v>PANEN</v>
          </cell>
          <cell r="S27" t="str">
            <v>BORONGAN</v>
          </cell>
          <cell r="T27" t="str">
            <v>TRANSFER</v>
          </cell>
          <cell r="V27" t="str">
            <v>LOKAL</v>
          </cell>
        </row>
        <row r="28">
          <cell r="B28" t="str">
            <v>GM-00025</v>
          </cell>
          <cell r="C28" t="str">
            <v>HERONIMUS. N</v>
          </cell>
          <cell r="D28" t="str">
            <v>Ds. SEPURU</v>
          </cell>
          <cell r="E28">
            <v>43349</v>
          </cell>
          <cell r="F28" t="str">
            <v>L</v>
          </cell>
          <cell r="G28" t="str">
            <v>DUSUN SEPURU</v>
          </cell>
          <cell r="H28">
            <v>32543</v>
          </cell>
          <cell r="I28" t="str">
            <v>31 TAHUN</v>
          </cell>
          <cell r="J28" t="str">
            <v>KRISTEN</v>
          </cell>
          <cell r="K28" t="str">
            <v>NON KONTRAKTOR</v>
          </cell>
          <cell r="L28">
            <v>1</v>
          </cell>
          <cell r="M28" t="str">
            <v>HERONIMUS. N</v>
          </cell>
          <cell r="N28">
            <v>386799557</v>
          </cell>
          <cell r="O28" t="str">
            <v>BNI</v>
          </cell>
          <cell r="P28" t="str">
            <v>AKTIF</v>
          </cell>
          <cell r="R28" t="str">
            <v>PANEN</v>
          </cell>
          <cell r="S28" t="str">
            <v>BORONGAN</v>
          </cell>
          <cell r="T28" t="str">
            <v>TRANSFER</v>
          </cell>
          <cell r="U28" t="str">
            <v>6109060402890001</v>
          </cell>
          <cell r="V28" t="str">
            <v>LOKAL</v>
          </cell>
        </row>
        <row r="29">
          <cell r="B29" t="str">
            <v>GM-00026</v>
          </cell>
          <cell r="C29" t="str">
            <v>IDA</v>
          </cell>
          <cell r="E29">
            <v>43349</v>
          </cell>
          <cell r="F29" t="str">
            <v>P</v>
          </cell>
          <cell r="I29" t="str">
            <v>121 TAHUN</v>
          </cell>
          <cell r="J29" t="str">
            <v>KRISTEN</v>
          </cell>
          <cell r="K29" t="str">
            <v>NON KONTRAKTOR</v>
          </cell>
          <cell r="L29">
            <v>1</v>
          </cell>
          <cell r="P29" t="str">
            <v>AKTIF</v>
          </cell>
          <cell r="R29" t="str">
            <v>PERAWATAN</v>
          </cell>
          <cell r="S29" t="str">
            <v>BORONGAN</v>
          </cell>
          <cell r="T29" t="str">
            <v>TUNAI</v>
          </cell>
          <cell r="V29" t="str">
            <v>LOKAL</v>
          </cell>
        </row>
        <row r="30">
          <cell r="B30" t="str">
            <v>GM-00027</v>
          </cell>
          <cell r="C30" t="str">
            <v>ILHAM</v>
          </cell>
          <cell r="E30">
            <v>43349</v>
          </cell>
          <cell r="F30" t="str">
            <v>L</v>
          </cell>
          <cell r="G30" t="str">
            <v>BALAI SEPUAK</v>
          </cell>
          <cell r="H30">
            <v>37545</v>
          </cell>
          <cell r="I30" t="str">
            <v>18 TAHUN</v>
          </cell>
          <cell r="J30" t="str">
            <v>ISLAM</v>
          </cell>
          <cell r="K30" t="str">
            <v>NON KONTRAKTOR</v>
          </cell>
          <cell r="L30">
            <v>1</v>
          </cell>
          <cell r="P30" t="str">
            <v>AKTIF</v>
          </cell>
          <cell r="R30" t="str">
            <v>PERAWATAN</v>
          </cell>
          <cell r="S30" t="str">
            <v>BORONGAN</v>
          </cell>
          <cell r="T30" t="str">
            <v>TUNAI</v>
          </cell>
          <cell r="U30" t="str">
            <v>6109061510020003</v>
          </cell>
          <cell r="V30" t="str">
            <v>LOKAL</v>
          </cell>
        </row>
        <row r="31">
          <cell r="B31" t="str">
            <v>GM-00028</v>
          </cell>
          <cell r="C31" t="str">
            <v>INDRA KUSUMA</v>
          </cell>
          <cell r="E31">
            <v>43349</v>
          </cell>
          <cell r="F31" t="str">
            <v>L</v>
          </cell>
          <cell r="G31" t="str">
            <v>SEBETUNG</v>
          </cell>
          <cell r="H31">
            <v>33092</v>
          </cell>
          <cell r="I31" t="str">
            <v>30 TAHUN</v>
          </cell>
          <cell r="J31" t="str">
            <v>KRISTEN</v>
          </cell>
          <cell r="K31" t="str">
            <v>NON KONTRAKTOR</v>
          </cell>
          <cell r="L31">
            <v>1</v>
          </cell>
          <cell r="M31" t="str">
            <v>INDRA KUSUMA</v>
          </cell>
          <cell r="N31">
            <v>388034914</v>
          </cell>
          <cell r="O31" t="str">
            <v>BNI</v>
          </cell>
          <cell r="P31" t="str">
            <v>AKTIF</v>
          </cell>
          <cell r="R31" t="str">
            <v>PANEN</v>
          </cell>
          <cell r="S31" t="str">
            <v>BORONGAN</v>
          </cell>
          <cell r="T31" t="str">
            <v>TRANSFER</v>
          </cell>
          <cell r="U31" t="str">
            <v>6109060807900001</v>
          </cell>
          <cell r="V31" t="str">
            <v>LOKAL</v>
          </cell>
        </row>
        <row r="32">
          <cell r="B32" t="str">
            <v>GM-00029</v>
          </cell>
          <cell r="C32" t="str">
            <v>INUS</v>
          </cell>
          <cell r="E32">
            <v>43349</v>
          </cell>
          <cell r="F32" t="str">
            <v>L</v>
          </cell>
          <cell r="I32" t="str">
            <v>121 TAHUN</v>
          </cell>
          <cell r="J32" t="str">
            <v>KRISTEN</v>
          </cell>
          <cell r="K32" t="str">
            <v>NON KONTRAKTOR</v>
          </cell>
          <cell r="L32">
            <v>1</v>
          </cell>
          <cell r="P32" t="str">
            <v>AKTIF</v>
          </cell>
          <cell r="R32" t="str">
            <v>PERAWATAN</v>
          </cell>
          <cell r="S32" t="str">
            <v>BORONGAN</v>
          </cell>
          <cell r="T32" t="str">
            <v>TUNAI</v>
          </cell>
          <cell r="V32" t="str">
            <v>LOKAL</v>
          </cell>
        </row>
        <row r="33">
          <cell r="B33" t="str">
            <v>GM-00030</v>
          </cell>
          <cell r="C33" t="str">
            <v>IRWAN</v>
          </cell>
          <cell r="E33">
            <v>43349</v>
          </cell>
          <cell r="F33" t="str">
            <v>L</v>
          </cell>
          <cell r="G33" t="str">
            <v>BELITANG</v>
          </cell>
          <cell r="H33">
            <v>26058</v>
          </cell>
          <cell r="I33" t="str">
            <v>49 TAHUN</v>
          </cell>
          <cell r="J33" t="str">
            <v>ISLAM</v>
          </cell>
          <cell r="K33" t="str">
            <v>NON KONTRAKTOR</v>
          </cell>
          <cell r="L33">
            <v>1</v>
          </cell>
          <cell r="M33" t="str">
            <v>IRWAN</v>
          </cell>
          <cell r="N33">
            <v>386799829</v>
          </cell>
          <cell r="O33" t="str">
            <v>BNI</v>
          </cell>
          <cell r="P33" t="str">
            <v>AKTIF</v>
          </cell>
          <cell r="R33" t="str">
            <v>PANEN</v>
          </cell>
          <cell r="S33" t="str">
            <v>BORONGAN</v>
          </cell>
          <cell r="T33" t="str">
            <v>TRANSFER</v>
          </cell>
          <cell r="U33" t="str">
            <v>6109060505710002</v>
          </cell>
          <cell r="V33" t="str">
            <v>LOKAL</v>
          </cell>
        </row>
        <row r="34">
          <cell r="B34" t="str">
            <v>GM-00031</v>
          </cell>
          <cell r="C34" t="str">
            <v>IRWAN KURNIADI</v>
          </cell>
          <cell r="E34">
            <v>43349</v>
          </cell>
          <cell r="F34" t="str">
            <v>L</v>
          </cell>
          <cell r="G34" t="str">
            <v>BATUK</v>
          </cell>
          <cell r="H34">
            <v>35206</v>
          </cell>
          <cell r="I34" t="str">
            <v>24 TAHUN</v>
          </cell>
          <cell r="J34" t="str">
            <v>ISLAM</v>
          </cell>
          <cell r="K34" t="str">
            <v>NON KONTRAKTOR</v>
          </cell>
          <cell r="L34">
            <v>1</v>
          </cell>
          <cell r="M34" t="str">
            <v>IRWAN KURNIADI</v>
          </cell>
          <cell r="N34">
            <v>485164546</v>
          </cell>
          <cell r="O34" t="str">
            <v>BNI</v>
          </cell>
          <cell r="P34" t="str">
            <v>AKTIF</v>
          </cell>
          <cell r="R34" t="str">
            <v>PERAWATAN</v>
          </cell>
          <cell r="S34" t="str">
            <v>BORONGAN</v>
          </cell>
          <cell r="T34" t="str">
            <v>TRANSFER</v>
          </cell>
          <cell r="U34" t="str">
            <v>6109062105960003</v>
          </cell>
          <cell r="V34" t="str">
            <v>LOKAL</v>
          </cell>
        </row>
        <row r="35">
          <cell r="B35" t="str">
            <v>GM-00032</v>
          </cell>
          <cell r="C35" t="str">
            <v>JONO</v>
          </cell>
          <cell r="D35" t="str">
            <v>Ds. SEPURU</v>
          </cell>
          <cell r="E35">
            <v>43349</v>
          </cell>
          <cell r="F35" t="str">
            <v>L</v>
          </cell>
          <cell r="G35" t="str">
            <v>DUSUN SEPURU</v>
          </cell>
          <cell r="H35">
            <v>29607</v>
          </cell>
          <cell r="I35" t="str">
            <v>40 TAHUN</v>
          </cell>
          <cell r="J35" t="str">
            <v>KRISTEN</v>
          </cell>
          <cell r="K35" t="str">
            <v>NON KONTRAKTOR</v>
          </cell>
          <cell r="L35">
            <v>1</v>
          </cell>
          <cell r="M35" t="str">
            <v>JONO</v>
          </cell>
          <cell r="N35">
            <v>386799603</v>
          </cell>
          <cell r="O35" t="str">
            <v>BNI</v>
          </cell>
          <cell r="P35" t="str">
            <v>AKTIF</v>
          </cell>
          <cell r="R35" t="str">
            <v>PANEN</v>
          </cell>
          <cell r="S35" t="str">
            <v>BORONGAN</v>
          </cell>
          <cell r="T35" t="str">
            <v>TRANSFER</v>
          </cell>
          <cell r="U35" t="str">
            <v>6109062101810003</v>
          </cell>
          <cell r="V35" t="str">
            <v>LOKAL</v>
          </cell>
        </row>
        <row r="36">
          <cell r="B36" t="str">
            <v>GM-00033</v>
          </cell>
          <cell r="C36" t="str">
            <v>KADARUSNO</v>
          </cell>
          <cell r="E36">
            <v>43349</v>
          </cell>
          <cell r="F36" t="str">
            <v>L</v>
          </cell>
          <cell r="G36" t="str">
            <v>SEPAUH</v>
          </cell>
          <cell r="H36">
            <v>30538</v>
          </cell>
          <cell r="I36" t="str">
            <v>37 TAHUN</v>
          </cell>
          <cell r="J36" t="str">
            <v>KRISTEN</v>
          </cell>
          <cell r="K36" t="str">
            <v>NON KONTRAKTOR</v>
          </cell>
          <cell r="L36">
            <v>1</v>
          </cell>
          <cell r="M36" t="str">
            <v>KADARUSNO</v>
          </cell>
          <cell r="N36">
            <v>442389333</v>
          </cell>
          <cell r="O36" t="str">
            <v>BNI</v>
          </cell>
          <cell r="P36" t="str">
            <v>AKTIF</v>
          </cell>
          <cell r="R36" t="str">
            <v>PANEN</v>
          </cell>
          <cell r="S36" t="str">
            <v>BORONGAN</v>
          </cell>
          <cell r="T36" t="str">
            <v>TRANSFER</v>
          </cell>
          <cell r="U36" t="str">
            <v>6109060810830001</v>
          </cell>
          <cell r="V36" t="str">
            <v>LOKAL</v>
          </cell>
        </row>
        <row r="37">
          <cell r="B37" t="str">
            <v>GM-00034</v>
          </cell>
          <cell r="C37" t="str">
            <v>KIKI</v>
          </cell>
          <cell r="E37">
            <v>43349</v>
          </cell>
          <cell r="F37" t="str">
            <v>P</v>
          </cell>
          <cell r="I37" t="str">
            <v>121 TAHUN</v>
          </cell>
          <cell r="J37" t="str">
            <v>KRISTEN</v>
          </cell>
          <cell r="K37" t="str">
            <v>NON KONTRAKTOR</v>
          </cell>
          <cell r="L37">
            <v>1</v>
          </cell>
          <cell r="P37" t="str">
            <v>AKTIF</v>
          </cell>
          <cell r="R37" t="str">
            <v>PERAWATAN</v>
          </cell>
          <cell r="S37" t="str">
            <v>BORONGAN</v>
          </cell>
          <cell r="T37" t="str">
            <v>TUNAI</v>
          </cell>
          <cell r="V37" t="str">
            <v>LOKAL</v>
          </cell>
        </row>
        <row r="38">
          <cell r="B38" t="str">
            <v>GM-00035</v>
          </cell>
          <cell r="C38" t="str">
            <v>H. KORINTUS</v>
          </cell>
          <cell r="E38">
            <v>43349</v>
          </cell>
          <cell r="F38" t="str">
            <v>L</v>
          </cell>
          <cell r="G38" t="str">
            <v>BEMBAN</v>
          </cell>
          <cell r="H38">
            <v>26891</v>
          </cell>
          <cell r="I38" t="str">
            <v>47 TAHUN</v>
          </cell>
          <cell r="J38" t="str">
            <v>KRISTEN</v>
          </cell>
          <cell r="K38" t="str">
            <v>NON KONTRAKTOR</v>
          </cell>
          <cell r="L38">
            <v>1</v>
          </cell>
          <cell r="M38" t="str">
            <v>H. KORINTUS</v>
          </cell>
          <cell r="N38">
            <v>386796103</v>
          </cell>
          <cell r="O38" t="str">
            <v>BNI</v>
          </cell>
          <cell r="P38" t="str">
            <v>AKTIF</v>
          </cell>
          <cell r="R38" t="str">
            <v>PANEN</v>
          </cell>
          <cell r="S38" t="str">
            <v>BORONGAN</v>
          </cell>
          <cell r="T38" t="str">
            <v>TRANSFER</v>
          </cell>
          <cell r="U38" t="str">
            <v>6109061508730001</v>
          </cell>
          <cell r="V38" t="str">
            <v>LOKAL</v>
          </cell>
        </row>
        <row r="39">
          <cell r="B39" t="str">
            <v>GM-00036</v>
          </cell>
          <cell r="C39" t="str">
            <v>KOSTANTINUS</v>
          </cell>
          <cell r="E39">
            <v>43349</v>
          </cell>
          <cell r="F39" t="str">
            <v>L</v>
          </cell>
          <cell r="G39" t="str">
            <v>SEBETUNG</v>
          </cell>
          <cell r="H39">
            <v>31005</v>
          </cell>
          <cell r="I39" t="str">
            <v>36 TAHUN</v>
          </cell>
          <cell r="J39" t="str">
            <v>KRISTEN</v>
          </cell>
          <cell r="K39" t="str">
            <v>NON KONTRAKTOR</v>
          </cell>
          <cell r="L39">
            <v>1</v>
          </cell>
          <cell r="M39" t="str">
            <v>KOSTANTINUS</v>
          </cell>
          <cell r="N39">
            <v>359563920</v>
          </cell>
          <cell r="O39" t="str">
            <v>BNI</v>
          </cell>
          <cell r="P39" t="str">
            <v>AKTIF</v>
          </cell>
          <cell r="R39" t="str">
            <v>PANEN</v>
          </cell>
          <cell r="S39" t="str">
            <v>BORONGAN</v>
          </cell>
          <cell r="T39" t="str">
            <v>TRANSFER</v>
          </cell>
          <cell r="U39" t="str">
            <v>6109061911640003</v>
          </cell>
          <cell r="V39" t="str">
            <v>LOKAL</v>
          </cell>
        </row>
        <row r="40">
          <cell r="B40" t="str">
            <v>GM-00037</v>
          </cell>
          <cell r="C40" t="str">
            <v>KURDIMANTO</v>
          </cell>
          <cell r="D40" t="str">
            <v>Ds. SEPURU</v>
          </cell>
          <cell r="E40">
            <v>43349</v>
          </cell>
          <cell r="F40" t="str">
            <v>L</v>
          </cell>
          <cell r="G40" t="str">
            <v>DUSUN SEPURU</v>
          </cell>
          <cell r="H40">
            <v>32941</v>
          </cell>
          <cell r="I40" t="str">
            <v>30 TAHUN</v>
          </cell>
          <cell r="J40" t="str">
            <v>KRISTEN</v>
          </cell>
          <cell r="K40" t="str">
            <v>NON KONTRAKTOR</v>
          </cell>
          <cell r="L40">
            <v>1</v>
          </cell>
          <cell r="M40" t="str">
            <v>KURDIMANTO</v>
          </cell>
          <cell r="N40">
            <v>757449932</v>
          </cell>
          <cell r="O40" t="str">
            <v>BNI</v>
          </cell>
          <cell r="P40" t="str">
            <v>AKTIF</v>
          </cell>
          <cell r="R40" t="str">
            <v>PANEN</v>
          </cell>
          <cell r="S40" t="str">
            <v>BORONGAN</v>
          </cell>
          <cell r="T40" t="str">
            <v>TRANSFER</v>
          </cell>
          <cell r="U40" t="str">
            <v>6109060903900001</v>
          </cell>
          <cell r="V40" t="str">
            <v>LOKAL</v>
          </cell>
        </row>
        <row r="41">
          <cell r="B41" t="str">
            <v>GM-00038</v>
          </cell>
          <cell r="C41" t="str">
            <v>MANASEH FS.</v>
          </cell>
          <cell r="E41">
            <v>43349</v>
          </cell>
          <cell r="F41" t="str">
            <v>L</v>
          </cell>
          <cell r="I41" t="str">
            <v>121 TAHUN</v>
          </cell>
          <cell r="J41" t="str">
            <v>KRISTEN</v>
          </cell>
          <cell r="K41" t="str">
            <v>NON KONTRAKTOR</v>
          </cell>
          <cell r="L41">
            <v>1</v>
          </cell>
          <cell r="P41" t="str">
            <v>AKTIF</v>
          </cell>
          <cell r="R41" t="str">
            <v>PERAWATAN</v>
          </cell>
          <cell r="S41" t="str">
            <v>BORONGAN</v>
          </cell>
          <cell r="T41" t="str">
            <v>TUNAI</v>
          </cell>
          <cell r="V41" t="str">
            <v>LOKAL</v>
          </cell>
        </row>
        <row r="42">
          <cell r="B42" t="str">
            <v>GM-00039</v>
          </cell>
          <cell r="C42" t="str">
            <v>MARSIANUS J.</v>
          </cell>
          <cell r="E42">
            <v>43349</v>
          </cell>
          <cell r="F42" t="str">
            <v>L</v>
          </cell>
          <cell r="I42" t="str">
            <v>121 TAHUN</v>
          </cell>
          <cell r="J42" t="str">
            <v>KRISTEN</v>
          </cell>
          <cell r="K42" t="str">
            <v>NON KONTRAKTOR</v>
          </cell>
          <cell r="L42">
            <v>1</v>
          </cell>
          <cell r="P42" t="str">
            <v>AKTIF</v>
          </cell>
          <cell r="R42" t="str">
            <v>PERAWATAN</v>
          </cell>
          <cell r="S42" t="str">
            <v>BORONGAN</v>
          </cell>
          <cell r="T42" t="str">
            <v>TUNAI</v>
          </cell>
          <cell r="V42" t="str">
            <v>LOKAL</v>
          </cell>
        </row>
        <row r="43">
          <cell r="B43" t="str">
            <v>GM-00040</v>
          </cell>
          <cell r="C43" t="str">
            <v>MATIAS</v>
          </cell>
          <cell r="D43" t="str">
            <v>Ds. SEPURU</v>
          </cell>
          <cell r="E43">
            <v>43349</v>
          </cell>
          <cell r="F43" t="str">
            <v>L</v>
          </cell>
          <cell r="G43" t="str">
            <v>DUSUN SEPURU</v>
          </cell>
          <cell r="H43">
            <v>31839</v>
          </cell>
          <cell r="I43" t="str">
            <v>33 TAHUN</v>
          </cell>
          <cell r="J43" t="str">
            <v>KRISTEN</v>
          </cell>
          <cell r="K43" t="str">
            <v>NON KONTRAKTOR</v>
          </cell>
          <cell r="L43">
            <v>1</v>
          </cell>
          <cell r="M43" t="str">
            <v>MATIAS</v>
          </cell>
          <cell r="N43">
            <v>386799546</v>
          </cell>
          <cell r="O43" t="str">
            <v>BNI</v>
          </cell>
          <cell r="P43" t="str">
            <v>AKTIF</v>
          </cell>
          <cell r="R43" t="str">
            <v>PANEN</v>
          </cell>
          <cell r="S43" t="str">
            <v>BORONGAN</v>
          </cell>
          <cell r="T43" t="str">
            <v>TRANSFER</v>
          </cell>
          <cell r="U43" t="str">
            <v>6109060303870001</v>
          </cell>
          <cell r="V43" t="str">
            <v>LOKAL</v>
          </cell>
        </row>
        <row r="44">
          <cell r="B44" t="str">
            <v>GM-00041</v>
          </cell>
          <cell r="C44" t="str">
            <v>MIRIYATI</v>
          </cell>
          <cell r="E44">
            <v>43349</v>
          </cell>
          <cell r="F44" t="str">
            <v>P</v>
          </cell>
          <cell r="I44" t="str">
            <v>121 TAHUN</v>
          </cell>
          <cell r="J44" t="str">
            <v>KRISTEN</v>
          </cell>
          <cell r="K44" t="str">
            <v>NON KONTRAKTOR</v>
          </cell>
          <cell r="L44">
            <v>1</v>
          </cell>
          <cell r="P44" t="str">
            <v>AKTIF</v>
          </cell>
          <cell r="R44" t="str">
            <v>PERAWATAN</v>
          </cell>
          <cell r="S44" t="str">
            <v>BORONGAN</v>
          </cell>
          <cell r="T44" t="str">
            <v>TUNAI</v>
          </cell>
          <cell r="V44" t="str">
            <v>LOKAL</v>
          </cell>
        </row>
        <row r="45">
          <cell r="B45" t="str">
            <v>GM-00042</v>
          </cell>
          <cell r="C45" t="str">
            <v>MUKMIN</v>
          </cell>
          <cell r="E45">
            <v>43349</v>
          </cell>
          <cell r="F45" t="str">
            <v>L</v>
          </cell>
          <cell r="G45" t="str">
            <v>DUSUN BATUK</v>
          </cell>
          <cell r="H45">
            <v>31235</v>
          </cell>
          <cell r="I45" t="str">
            <v>35 TAHUN</v>
          </cell>
          <cell r="J45" t="str">
            <v>ISLAM</v>
          </cell>
          <cell r="K45" t="str">
            <v>NON KONTRAKTOR</v>
          </cell>
          <cell r="L45">
            <v>1</v>
          </cell>
          <cell r="M45" t="str">
            <v>MUKMIN</v>
          </cell>
          <cell r="N45">
            <v>442539595</v>
          </cell>
          <cell r="O45" t="str">
            <v>BNI</v>
          </cell>
          <cell r="P45" t="str">
            <v>AKTIF</v>
          </cell>
          <cell r="R45" t="str">
            <v>PANEN</v>
          </cell>
          <cell r="S45" t="str">
            <v>BORONGAN</v>
          </cell>
          <cell r="T45" t="str">
            <v>TRANSFER</v>
          </cell>
          <cell r="U45" t="str">
            <v>6109060707850001</v>
          </cell>
          <cell r="V45" t="str">
            <v>LOKAL</v>
          </cell>
        </row>
        <row r="46">
          <cell r="B46" t="str">
            <v>GM-00043</v>
          </cell>
          <cell r="C46" t="str">
            <v>NELSON MANDELA</v>
          </cell>
          <cell r="E46">
            <v>43349</v>
          </cell>
          <cell r="F46" t="str">
            <v>L</v>
          </cell>
          <cell r="G46" t="str">
            <v>SEPAUH</v>
          </cell>
          <cell r="H46">
            <v>32748</v>
          </cell>
          <cell r="I46" t="str">
            <v>31 TAHUN</v>
          </cell>
          <cell r="J46" t="str">
            <v>KRISTEN</v>
          </cell>
          <cell r="K46" t="str">
            <v>NON KONTRAKTOR</v>
          </cell>
          <cell r="L46">
            <v>1</v>
          </cell>
          <cell r="M46" t="str">
            <v>NELSON MANDELA</v>
          </cell>
          <cell r="N46">
            <v>386799502</v>
          </cell>
          <cell r="O46" t="str">
            <v>BNI</v>
          </cell>
          <cell r="P46" t="str">
            <v>AKTIF</v>
          </cell>
          <cell r="R46" t="str">
            <v>PANEN</v>
          </cell>
          <cell r="S46" t="str">
            <v>BORONGAN</v>
          </cell>
          <cell r="T46" t="str">
            <v>TRANSFER</v>
          </cell>
          <cell r="U46" t="str">
            <v>6109062808890004</v>
          </cell>
          <cell r="V46" t="str">
            <v>LOKAL</v>
          </cell>
        </row>
        <row r="47">
          <cell r="B47" t="str">
            <v>GM-00044</v>
          </cell>
          <cell r="C47" t="str">
            <v>NYALU</v>
          </cell>
          <cell r="E47">
            <v>43349</v>
          </cell>
          <cell r="F47" t="str">
            <v>L</v>
          </cell>
          <cell r="G47" t="str">
            <v>SENA</v>
          </cell>
          <cell r="H47">
            <v>33578</v>
          </cell>
          <cell r="I47" t="str">
            <v>29 TAHUN</v>
          </cell>
          <cell r="J47" t="str">
            <v>KRISTEN</v>
          </cell>
          <cell r="K47" t="str">
            <v>NON KONTRAKTOR</v>
          </cell>
          <cell r="L47">
            <v>1</v>
          </cell>
          <cell r="M47" t="str">
            <v>NYALU</v>
          </cell>
          <cell r="N47">
            <v>442389388</v>
          </cell>
          <cell r="O47" t="str">
            <v>BNI</v>
          </cell>
          <cell r="P47" t="str">
            <v>AKTIF</v>
          </cell>
          <cell r="R47" t="str">
            <v>PANEN</v>
          </cell>
          <cell r="S47" t="str">
            <v>BORONGAN</v>
          </cell>
          <cell r="T47" t="str">
            <v>TRANSFER</v>
          </cell>
          <cell r="U47" t="str">
            <v>6109061206910001</v>
          </cell>
          <cell r="V47" t="str">
            <v>LOKAL</v>
          </cell>
        </row>
        <row r="48">
          <cell r="B48" t="str">
            <v>GM-00045</v>
          </cell>
          <cell r="C48" t="str">
            <v>PELIMON</v>
          </cell>
          <cell r="E48">
            <v>43349</v>
          </cell>
          <cell r="F48" t="str">
            <v>L</v>
          </cell>
          <cell r="G48" t="str">
            <v>SUNGAI PERING</v>
          </cell>
          <cell r="H48">
            <v>28280</v>
          </cell>
          <cell r="I48" t="str">
            <v>43 TAHUN</v>
          </cell>
          <cell r="J48" t="str">
            <v>KRISTEN</v>
          </cell>
          <cell r="K48" t="str">
            <v>NON KONTRAKTOR</v>
          </cell>
          <cell r="L48">
            <v>1</v>
          </cell>
          <cell r="M48" t="str">
            <v>PELIMON</v>
          </cell>
          <cell r="N48">
            <v>362419666</v>
          </cell>
          <cell r="O48" t="str">
            <v>BNI</v>
          </cell>
          <cell r="P48" t="str">
            <v>AKTIF</v>
          </cell>
          <cell r="R48" t="str">
            <v>PANEN</v>
          </cell>
          <cell r="S48" t="str">
            <v>BORONGAN</v>
          </cell>
          <cell r="T48" t="str">
            <v>TRANSFER</v>
          </cell>
          <cell r="U48" t="str">
            <v>6109060406770003</v>
          </cell>
          <cell r="V48" t="str">
            <v>LOKAL</v>
          </cell>
        </row>
        <row r="49">
          <cell r="B49" t="str">
            <v>GM-00046</v>
          </cell>
          <cell r="C49" t="str">
            <v>PHILIPUS PILIP</v>
          </cell>
          <cell r="D49" t="str">
            <v>Ds. SEPURU</v>
          </cell>
          <cell r="E49">
            <v>43349</v>
          </cell>
          <cell r="F49" t="str">
            <v>L</v>
          </cell>
          <cell r="G49" t="str">
            <v>DUSUN SEPURU</v>
          </cell>
          <cell r="H49">
            <v>32024</v>
          </cell>
          <cell r="I49" t="str">
            <v>33 TAHUN</v>
          </cell>
          <cell r="J49" t="str">
            <v>KRISTEN</v>
          </cell>
          <cell r="K49" t="str">
            <v>NON KONTRAKTOR</v>
          </cell>
          <cell r="L49">
            <v>1</v>
          </cell>
          <cell r="M49" t="str">
            <v>PHILIPUS PILIP</v>
          </cell>
          <cell r="N49">
            <v>386799433</v>
          </cell>
          <cell r="O49" t="str">
            <v>BNI</v>
          </cell>
          <cell r="P49" t="str">
            <v>AKTIF</v>
          </cell>
          <cell r="R49" t="str">
            <v>PANEN</v>
          </cell>
          <cell r="S49" t="str">
            <v>BORONGAN</v>
          </cell>
          <cell r="T49" t="str">
            <v>TRANSFER</v>
          </cell>
          <cell r="U49" t="str">
            <v>6109060904870002</v>
          </cell>
          <cell r="V49" t="str">
            <v>LOKAL</v>
          </cell>
        </row>
        <row r="50">
          <cell r="B50" t="str">
            <v>GM-00047</v>
          </cell>
          <cell r="C50" t="str">
            <v>RIKI HENDRO</v>
          </cell>
          <cell r="E50">
            <v>43349</v>
          </cell>
          <cell r="F50" t="str">
            <v>L</v>
          </cell>
          <cell r="G50" t="str">
            <v>IJUK</v>
          </cell>
          <cell r="H50">
            <v>34698</v>
          </cell>
          <cell r="I50" t="str">
            <v>26 TAHUN</v>
          </cell>
          <cell r="J50" t="str">
            <v>KRISTEN</v>
          </cell>
          <cell r="K50" t="str">
            <v>NON KONTRAKTOR</v>
          </cell>
          <cell r="L50">
            <v>1</v>
          </cell>
          <cell r="M50" t="str">
            <v>RIKI HENDRO</v>
          </cell>
          <cell r="N50">
            <v>526011834</v>
          </cell>
          <cell r="O50" t="str">
            <v>BNI</v>
          </cell>
          <cell r="P50" t="str">
            <v>AKTIF</v>
          </cell>
          <cell r="R50" t="str">
            <v>PANEN</v>
          </cell>
          <cell r="S50" t="str">
            <v>BORONGAN</v>
          </cell>
          <cell r="T50" t="str">
            <v>TRANSFER</v>
          </cell>
          <cell r="U50" t="str">
            <v>6109063012940001</v>
          </cell>
          <cell r="V50" t="str">
            <v>LOKAL</v>
          </cell>
        </row>
        <row r="51">
          <cell r="B51" t="str">
            <v>GM-00048</v>
          </cell>
          <cell r="C51" t="str">
            <v>ROS</v>
          </cell>
          <cell r="E51">
            <v>43349</v>
          </cell>
          <cell r="F51" t="str">
            <v>P</v>
          </cell>
          <cell r="I51" t="str">
            <v>121 TAHUN</v>
          </cell>
          <cell r="J51" t="str">
            <v>KRISTEN</v>
          </cell>
          <cell r="K51" t="str">
            <v>NON KONTRAKTOR</v>
          </cell>
          <cell r="L51">
            <v>1</v>
          </cell>
          <cell r="P51" t="str">
            <v>AKTIF</v>
          </cell>
          <cell r="R51" t="str">
            <v>PERAWATAN</v>
          </cell>
          <cell r="S51" t="str">
            <v>BORONGAN</v>
          </cell>
          <cell r="T51" t="str">
            <v>TUNAI</v>
          </cell>
          <cell r="V51" t="str">
            <v>LOKAL</v>
          </cell>
        </row>
        <row r="52">
          <cell r="B52" t="str">
            <v>GM-00049</v>
          </cell>
          <cell r="C52" t="str">
            <v>SABAR</v>
          </cell>
          <cell r="E52">
            <v>43349</v>
          </cell>
          <cell r="F52" t="str">
            <v>L</v>
          </cell>
          <cell r="I52" t="str">
            <v>121 TAHUN</v>
          </cell>
          <cell r="J52" t="str">
            <v>ISLAM</v>
          </cell>
          <cell r="K52" t="str">
            <v>NON KONTRAKTOR</v>
          </cell>
          <cell r="L52">
            <v>1</v>
          </cell>
          <cell r="P52" t="str">
            <v>AKTIF</v>
          </cell>
          <cell r="R52" t="str">
            <v>PERAWATAN</v>
          </cell>
          <cell r="S52" t="str">
            <v>BORONGAN</v>
          </cell>
          <cell r="T52" t="str">
            <v>TUNAI</v>
          </cell>
          <cell r="V52" t="str">
            <v>LOKAL</v>
          </cell>
        </row>
        <row r="53">
          <cell r="B53" t="str">
            <v>GM-00050</v>
          </cell>
          <cell r="C53" t="str">
            <v>SADARUDIN</v>
          </cell>
          <cell r="E53">
            <v>43349</v>
          </cell>
          <cell r="F53" t="str">
            <v>L</v>
          </cell>
          <cell r="I53" t="str">
            <v>121 TAHUN</v>
          </cell>
          <cell r="J53" t="str">
            <v>ISLAM</v>
          </cell>
          <cell r="K53" t="str">
            <v>NON KONTRAKTOR</v>
          </cell>
          <cell r="L53">
            <v>1</v>
          </cell>
          <cell r="P53" t="str">
            <v>AKTIF</v>
          </cell>
          <cell r="R53" t="str">
            <v>PERAWATAN</v>
          </cell>
          <cell r="S53" t="str">
            <v>BORONGAN</v>
          </cell>
          <cell r="T53" t="str">
            <v>TUNAI</v>
          </cell>
          <cell r="V53" t="str">
            <v>LOKAL</v>
          </cell>
        </row>
        <row r="54">
          <cell r="B54" t="str">
            <v>GM-00051</v>
          </cell>
          <cell r="C54" t="str">
            <v>SEMUEL</v>
          </cell>
          <cell r="D54" t="str">
            <v>Ds. SEPURU</v>
          </cell>
          <cell r="E54">
            <v>43349</v>
          </cell>
          <cell r="F54" t="str">
            <v>L</v>
          </cell>
          <cell r="G54" t="str">
            <v>DUSUN SEPURU</v>
          </cell>
          <cell r="H54">
            <v>16320</v>
          </cell>
          <cell r="I54" t="str">
            <v>76 TAHUN</v>
          </cell>
          <cell r="J54" t="str">
            <v>KRISTEN</v>
          </cell>
          <cell r="K54" t="str">
            <v>NON KONTRAKTOR</v>
          </cell>
          <cell r="L54">
            <v>1</v>
          </cell>
          <cell r="M54" t="str">
            <v>SEMUEL</v>
          </cell>
          <cell r="N54">
            <v>388034936</v>
          </cell>
          <cell r="O54" t="str">
            <v>BNI</v>
          </cell>
          <cell r="P54" t="str">
            <v>AKTIF</v>
          </cell>
          <cell r="R54" t="str">
            <v>PANEN</v>
          </cell>
          <cell r="S54" t="str">
            <v>BORONGAN</v>
          </cell>
          <cell r="T54" t="str">
            <v>TRANSFER</v>
          </cell>
          <cell r="V54" t="str">
            <v>LOKAL</v>
          </cell>
        </row>
        <row r="55">
          <cell r="B55" t="str">
            <v>GM-00052</v>
          </cell>
          <cell r="C55" t="str">
            <v>SANDI</v>
          </cell>
          <cell r="E55">
            <v>43349</v>
          </cell>
          <cell r="F55" t="str">
            <v>L</v>
          </cell>
          <cell r="G55" t="str">
            <v>BATUK</v>
          </cell>
          <cell r="H55">
            <v>30836</v>
          </cell>
          <cell r="I55" t="str">
            <v>36 TAHUN</v>
          </cell>
          <cell r="J55" t="str">
            <v>ISLAM</v>
          </cell>
          <cell r="K55" t="str">
            <v>NON KONTRAKTOR</v>
          </cell>
          <cell r="L55">
            <v>1</v>
          </cell>
          <cell r="M55" t="str">
            <v>SANDI</v>
          </cell>
          <cell r="N55">
            <v>386799863</v>
          </cell>
          <cell r="O55" t="str">
            <v>BNI</v>
          </cell>
          <cell r="P55" t="str">
            <v>AKTIF</v>
          </cell>
          <cell r="R55" t="str">
            <v>PANEN</v>
          </cell>
          <cell r="S55" t="str">
            <v>BORONGAN</v>
          </cell>
          <cell r="T55" t="str">
            <v>TRANSFER</v>
          </cell>
          <cell r="U55" t="str">
            <v>6109060306840008</v>
          </cell>
          <cell r="V55" t="str">
            <v>LOKAL</v>
          </cell>
        </row>
        <row r="56">
          <cell r="B56" t="str">
            <v>GM-00053</v>
          </cell>
          <cell r="C56" t="str">
            <v>SANTO YAKUBUS</v>
          </cell>
          <cell r="D56" t="str">
            <v>Ds. SEPURU</v>
          </cell>
          <cell r="E56">
            <v>43349</v>
          </cell>
          <cell r="F56" t="str">
            <v>L</v>
          </cell>
          <cell r="G56" t="str">
            <v>DUSUN SEPURU</v>
          </cell>
          <cell r="H56">
            <v>31453</v>
          </cell>
          <cell r="I56" t="str">
            <v>34 TAHUN</v>
          </cell>
          <cell r="J56" t="str">
            <v>KRISTEN</v>
          </cell>
          <cell r="K56" t="str">
            <v>NON KONTRAKTOR</v>
          </cell>
          <cell r="L56">
            <v>1</v>
          </cell>
          <cell r="M56" t="str">
            <v>SANTO YAKUBUS</v>
          </cell>
          <cell r="N56">
            <v>442539426</v>
          </cell>
          <cell r="O56" t="str">
            <v>BNI</v>
          </cell>
          <cell r="P56" t="str">
            <v>AKTIF</v>
          </cell>
          <cell r="R56" t="str">
            <v>PANEN</v>
          </cell>
          <cell r="S56" t="str">
            <v>BORONGAN</v>
          </cell>
          <cell r="T56" t="str">
            <v>TRANSFER</v>
          </cell>
          <cell r="U56" t="str">
            <v>6109061005860006</v>
          </cell>
          <cell r="V56" t="str">
            <v>LOKAL</v>
          </cell>
        </row>
        <row r="57">
          <cell r="B57" t="str">
            <v>GM-00054</v>
          </cell>
          <cell r="C57" t="str">
            <v>SAPOK</v>
          </cell>
          <cell r="E57">
            <v>43349</v>
          </cell>
          <cell r="F57" t="str">
            <v>L</v>
          </cell>
          <cell r="I57" t="str">
            <v>121 TAHUN</v>
          </cell>
          <cell r="J57" t="str">
            <v>KRISTEN</v>
          </cell>
          <cell r="K57" t="str">
            <v>NON KONTRAKTOR</v>
          </cell>
          <cell r="L57">
            <v>1</v>
          </cell>
          <cell r="P57" t="str">
            <v>AKTIF</v>
          </cell>
          <cell r="R57" t="str">
            <v>PERAWATAN</v>
          </cell>
          <cell r="S57" t="str">
            <v>BORONGAN</v>
          </cell>
          <cell r="T57" t="str">
            <v>TUNAI</v>
          </cell>
          <cell r="V57" t="str">
            <v>LOKAL</v>
          </cell>
        </row>
        <row r="58">
          <cell r="B58" t="str">
            <v>GM-00055</v>
          </cell>
          <cell r="C58" t="str">
            <v>SELIKI</v>
          </cell>
          <cell r="D58" t="str">
            <v>Ds. SEPURU</v>
          </cell>
          <cell r="E58">
            <v>43349</v>
          </cell>
          <cell r="F58" t="str">
            <v>L</v>
          </cell>
          <cell r="G58" t="str">
            <v>DUSUN SEPURU</v>
          </cell>
          <cell r="H58">
            <v>27576</v>
          </cell>
          <cell r="I58" t="str">
            <v>45 TAHUN</v>
          </cell>
          <cell r="J58" t="str">
            <v>KRISTEN</v>
          </cell>
          <cell r="K58" t="str">
            <v>NON KONTRAKTOR</v>
          </cell>
          <cell r="L58">
            <v>1</v>
          </cell>
          <cell r="M58" t="str">
            <v>SELIKI</v>
          </cell>
          <cell r="N58">
            <v>359563680</v>
          </cell>
          <cell r="O58" t="str">
            <v>BNI</v>
          </cell>
          <cell r="P58" t="str">
            <v>AKTIF</v>
          </cell>
          <cell r="R58" t="str">
            <v>PANEN</v>
          </cell>
          <cell r="S58" t="str">
            <v>BORONGAN</v>
          </cell>
          <cell r="T58" t="str">
            <v>TRANSFER</v>
          </cell>
          <cell r="U58" t="str">
            <v>6109060107750045</v>
          </cell>
          <cell r="V58" t="str">
            <v>LOKAL</v>
          </cell>
        </row>
        <row r="59">
          <cell r="B59" t="str">
            <v>GM-00056</v>
          </cell>
          <cell r="C59" t="str">
            <v>SELINA</v>
          </cell>
          <cell r="E59">
            <v>43349</v>
          </cell>
          <cell r="F59" t="str">
            <v>P</v>
          </cell>
          <cell r="I59" t="str">
            <v>121 TAHUN</v>
          </cell>
          <cell r="J59" t="str">
            <v>KRISTEN</v>
          </cell>
          <cell r="K59" t="str">
            <v>NON KONTRAKTOR</v>
          </cell>
          <cell r="L59">
            <v>1</v>
          </cell>
          <cell r="M59" t="str">
            <v>SELINA</v>
          </cell>
          <cell r="N59">
            <v>1055444219</v>
          </cell>
          <cell r="O59" t="str">
            <v>BNI</v>
          </cell>
          <cell r="P59" t="str">
            <v>AKTIF</v>
          </cell>
          <cell r="R59" t="str">
            <v>PERAWATAN</v>
          </cell>
          <cell r="S59" t="str">
            <v>BORONGAN</v>
          </cell>
          <cell r="T59" t="str">
            <v>TRANSFER</v>
          </cell>
          <cell r="V59" t="str">
            <v>LOKAL</v>
          </cell>
        </row>
        <row r="60">
          <cell r="B60" t="str">
            <v>GM-00057</v>
          </cell>
          <cell r="C60" t="str">
            <v>SEMION</v>
          </cell>
          <cell r="D60" t="str">
            <v>Ds. SEPURU</v>
          </cell>
          <cell r="E60">
            <v>43349</v>
          </cell>
          <cell r="F60" t="str">
            <v>L</v>
          </cell>
          <cell r="G60" t="str">
            <v>DUSUN SEPURU</v>
          </cell>
          <cell r="H60">
            <v>29707</v>
          </cell>
          <cell r="I60" t="str">
            <v>39 TAHUN</v>
          </cell>
          <cell r="J60" t="str">
            <v>KRISTEN</v>
          </cell>
          <cell r="K60" t="str">
            <v>NON KONTRAKTOR</v>
          </cell>
          <cell r="L60">
            <v>1</v>
          </cell>
          <cell r="M60" t="str">
            <v>SEMION</v>
          </cell>
          <cell r="N60">
            <v>465177071</v>
          </cell>
          <cell r="O60" t="str">
            <v>BNI</v>
          </cell>
          <cell r="P60" t="str">
            <v>AKTIF</v>
          </cell>
          <cell r="R60" t="str">
            <v>PANEN</v>
          </cell>
          <cell r="S60" t="str">
            <v>BORONGAN</v>
          </cell>
          <cell r="T60" t="str">
            <v>TRANSFER</v>
          </cell>
          <cell r="U60" t="str">
            <v>6109060802920005</v>
          </cell>
          <cell r="V60" t="str">
            <v>LOKAL</v>
          </cell>
        </row>
        <row r="61">
          <cell r="B61" t="str">
            <v>GM-00058</v>
          </cell>
          <cell r="C61" t="str">
            <v>SERBANI</v>
          </cell>
          <cell r="D61" t="str">
            <v>Ds. SEPURU</v>
          </cell>
          <cell r="E61">
            <v>43349</v>
          </cell>
          <cell r="F61" t="str">
            <v>L</v>
          </cell>
          <cell r="G61" t="str">
            <v>DUSUN SEPURU</v>
          </cell>
          <cell r="H61">
            <v>30563</v>
          </cell>
          <cell r="I61" t="str">
            <v>37 TAHUN</v>
          </cell>
          <cell r="J61" t="str">
            <v>KRISTEN</v>
          </cell>
          <cell r="K61" t="str">
            <v>NON KONTRAKTOR</v>
          </cell>
          <cell r="L61">
            <v>1</v>
          </cell>
          <cell r="M61" t="str">
            <v>SERBANI</v>
          </cell>
          <cell r="N61">
            <v>465113685</v>
          </cell>
          <cell r="O61" t="str">
            <v>BNI</v>
          </cell>
          <cell r="P61" t="str">
            <v>AKTIF</v>
          </cell>
          <cell r="R61" t="str">
            <v>PANEN</v>
          </cell>
          <cell r="S61" t="str">
            <v>BORONGAN</v>
          </cell>
          <cell r="T61" t="str">
            <v>TRANSFER</v>
          </cell>
          <cell r="U61" t="str">
            <v>6109060409830001</v>
          </cell>
          <cell r="V61" t="str">
            <v>LOKAL</v>
          </cell>
        </row>
        <row r="62">
          <cell r="B62" t="str">
            <v>GM-00059</v>
          </cell>
          <cell r="C62" t="str">
            <v>SERIADI</v>
          </cell>
          <cell r="E62">
            <v>43349</v>
          </cell>
          <cell r="F62" t="str">
            <v>L</v>
          </cell>
          <cell r="I62" t="str">
            <v>121 TAHUN</v>
          </cell>
          <cell r="J62" t="str">
            <v>KRISTEN</v>
          </cell>
          <cell r="K62" t="str">
            <v>NON KONTRAKTOR</v>
          </cell>
          <cell r="L62">
            <v>1</v>
          </cell>
          <cell r="P62" t="str">
            <v>AKTIF</v>
          </cell>
          <cell r="R62" t="str">
            <v>PERAWATAN</v>
          </cell>
          <cell r="S62" t="str">
            <v>BORONGAN</v>
          </cell>
          <cell r="T62" t="str">
            <v>TUNAI</v>
          </cell>
          <cell r="V62" t="str">
            <v>LOKAL</v>
          </cell>
        </row>
        <row r="63">
          <cell r="B63" t="str">
            <v>GM-00060</v>
          </cell>
          <cell r="C63" t="str">
            <v>SILIWATI</v>
          </cell>
          <cell r="E63">
            <v>43349</v>
          </cell>
          <cell r="F63" t="str">
            <v>P</v>
          </cell>
          <cell r="I63" t="str">
            <v>121 TAHUN</v>
          </cell>
          <cell r="J63" t="str">
            <v>KRISTEN</v>
          </cell>
          <cell r="K63" t="str">
            <v>NON KONTRAKTOR</v>
          </cell>
          <cell r="L63">
            <v>1</v>
          </cell>
          <cell r="P63" t="str">
            <v>AKTIF</v>
          </cell>
          <cell r="R63" t="str">
            <v>PERAWATAN</v>
          </cell>
          <cell r="S63" t="str">
            <v>BORONGAN</v>
          </cell>
          <cell r="T63" t="str">
            <v>TUNAI</v>
          </cell>
          <cell r="V63" t="str">
            <v>LOKAL</v>
          </cell>
        </row>
        <row r="64">
          <cell r="B64" t="str">
            <v>GM-00061</v>
          </cell>
          <cell r="C64" t="str">
            <v>SIMU</v>
          </cell>
          <cell r="D64" t="str">
            <v>Ds. SEPURU</v>
          </cell>
          <cell r="E64">
            <v>43349</v>
          </cell>
          <cell r="F64" t="str">
            <v>P</v>
          </cell>
          <cell r="G64" t="str">
            <v>DUSUN SEPURU</v>
          </cell>
          <cell r="H64">
            <v>25236</v>
          </cell>
          <cell r="I64" t="str">
            <v>51 TAHUN</v>
          </cell>
          <cell r="J64" t="str">
            <v>KRISTEN</v>
          </cell>
          <cell r="K64" t="str">
            <v>NON KONTRAKTOR</v>
          </cell>
          <cell r="L64">
            <v>1</v>
          </cell>
          <cell r="P64" t="str">
            <v>AKTIF</v>
          </cell>
          <cell r="R64" t="str">
            <v>PERAWATAN</v>
          </cell>
          <cell r="S64" t="str">
            <v>BORONGAN</v>
          </cell>
          <cell r="T64" t="str">
            <v>TUNAI</v>
          </cell>
          <cell r="U64" t="str">
            <v>6109064202690001</v>
          </cell>
          <cell r="V64" t="str">
            <v>LOKAL</v>
          </cell>
        </row>
        <row r="65">
          <cell r="B65" t="str">
            <v>GM-00062</v>
          </cell>
          <cell r="C65" t="str">
            <v>SINU</v>
          </cell>
          <cell r="E65">
            <v>43349</v>
          </cell>
          <cell r="F65" t="str">
            <v>L</v>
          </cell>
          <cell r="G65" t="str">
            <v>JUNAK</v>
          </cell>
          <cell r="H65">
            <v>31393</v>
          </cell>
          <cell r="I65" t="str">
            <v>35 TAHUN</v>
          </cell>
          <cell r="J65" t="str">
            <v>KRISTEN</v>
          </cell>
          <cell r="K65" t="str">
            <v>NON KONTRAKTOR</v>
          </cell>
          <cell r="L65">
            <v>1</v>
          </cell>
          <cell r="M65" t="str">
            <v>SINU</v>
          </cell>
          <cell r="N65">
            <v>386799477</v>
          </cell>
          <cell r="O65" t="str">
            <v>BNI</v>
          </cell>
          <cell r="P65" t="str">
            <v>AKTIF</v>
          </cell>
          <cell r="R65" t="str">
            <v>PANEN</v>
          </cell>
          <cell r="S65" t="str">
            <v>BORONGAN</v>
          </cell>
          <cell r="T65" t="str">
            <v>TRANSFER</v>
          </cell>
          <cell r="U65" t="str">
            <v>6109061212850005</v>
          </cell>
          <cell r="V65" t="str">
            <v>LOKAL</v>
          </cell>
        </row>
        <row r="66">
          <cell r="B66" t="str">
            <v>GM-00063</v>
          </cell>
          <cell r="C66" t="str">
            <v>SLAMET SUKATNO</v>
          </cell>
          <cell r="E66">
            <v>43349</v>
          </cell>
          <cell r="F66" t="str">
            <v>L</v>
          </cell>
          <cell r="G66" t="str">
            <v>BANJAR NEGARA</v>
          </cell>
          <cell r="H66">
            <v>28913</v>
          </cell>
          <cell r="I66" t="str">
            <v>41 TAHUN</v>
          </cell>
          <cell r="J66" t="str">
            <v>ISLAM</v>
          </cell>
          <cell r="K66" t="str">
            <v>NON KONTRAKTOR</v>
          </cell>
          <cell r="L66">
            <v>1</v>
          </cell>
          <cell r="M66" t="str">
            <v>SLAMET SUKATNO</v>
          </cell>
          <cell r="N66">
            <v>388034903</v>
          </cell>
          <cell r="O66" t="str">
            <v>BNI</v>
          </cell>
          <cell r="P66" t="str">
            <v>AKTIF</v>
          </cell>
          <cell r="R66" t="str">
            <v>PANEN</v>
          </cell>
          <cell r="S66" t="str">
            <v>BORONGAN</v>
          </cell>
          <cell r="T66" t="str">
            <v>TRANSFER</v>
          </cell>
          <cell r="U66" t="str">
            <v>3304142762790002</v>
          </cell>
          <cell r="V66" t="str">
            <v>LOKAL</v>
          </cell>
        </row>
        <row r="67">
          <cell r="B67" t="str">
            <v>GM-00064</v>
          </cell>
          <cell r="C67" t="str">
            <v>SOLIHIN</v>
          </cell>
          <cell r="E67">
            <v>43349</v>
          </cell>
          <cell r="F67" t="str">
            <v>L</v>
          </cell>
          <cell r="I67" t="str">
            <v>121 TAHUN</v>
          </cell>
          <cell r="J67" t="str">
            <v>ISLAM</v>
          </cell>
          <cell r="K67" t="str">
            <v>NON KONTRAKTOR</v>
          </cell>
          <cell r="L67">
            <v>1</v>
          </cell>
          <cell r="P67" t="str">
            <v>AKTIF</v>
          </cell>
          <cell r="R67" t="str">
            <v>PERAWATAN</v>
          </cell>
          <cell r="S67" t="str">
            <v>BORONGAN</v>
          </cell>
          <cell r="T67" t="str">
            <v>TUNAI</v>
          </cell>
          <cell r="V67" t="str">
            <v>LOKAL</v>
          </cell>
        </row>
        <row r="68">
          <cell r="B68" t="str">
            <v>GM-00065</v>
          </cell>
          <cell r="C68" t="str">
            <v>SUBA</v>
          </cell>
          <cell r="E68">
            <v>43349</v>
          </cell>
          <cell r="F68" t="str">
            <v>P</v>
          </cell>
          <cell r="I68" t="str">
            <v>121 TAHUN</v>
          </cell>
          <cell r="J68" t="str">
            <v>KRISTEN</v>
          </cell>
          <cell r="K68" t="str">
            <v>NON KONTRAKTOR</v>
          </cell>
          <cell r="L68">
            <v>1</v>
          </cell>
          <cell r="P68" t="str">
            <v>AKTIF</v>
          </cell>
          <cell r="R68" t="str">
            <v>PERAWATAN</v>
          </cell>
          <cell r="S68" t="str">
            <v>BORONGAN</v>
          </cell>
          <cell r="T68" t="str">
            <v>TUNAI</v>
          </cell>
          <cell r="V68" t="str">
            <v>LOKAL</v>
          </cell>
        </row>
        <row r="69">
          <cell r="B69" t="str">
            <v>GM-00066</v>
          </cell>
          <cell r="C69" t="str">
            <v>SUBARI</v>
          </cell>
          <cell r="D69" t="str">
            <v>Ds. SEPURU</v>
          </cell>
          <cell r="E69">
            <v>43349</v>
          </cell>
          <cell r="F69" t="str">
            <v>L</v>
          </cell>
          <cell r="G69" t="str">
            <v>DUSUN SEPURU</v>
          </cell>
          <cell r="H69">
            <v>29592</v>
          </cell>
          <cell r="I69" t="str">
            <v>40 TAHUN</v>
          </cell>
          <cell r="J69" t="str">
            <v>KRISTEN</v>
          </cell>
          <cell r="K69" t="str">
            <v>NON KONTRAKTOR</v>
          </cell>
          <cell r="L69">
            <v>1</v>
          </cell>
          <cell r="M69" t="str">
            <v>SUBARI</v>
          </cell>
          <cell r="N69">
            <v>386799625</v>
          </cell>
          <cell r="O69" t="str">
            <v>BNI</v>
          </cell>
          <cell r="P69" t="str">
            <v>AKTIF</v>
          </cell>
          <cell r="R69" t="str">
            <v>PANEN</v>
          </cell>
          <cell r="S69" t="str">
            <v>BORONGAN</v>
          </cell>
          <cell r="T69" t="str">
            <v>TRANSFER</v>
          </cell>
          <cell r="U69" t="str">
            <v>6109060106810001</v>
          </cell>
          <cell r="V69" t="str">
            <v>LOKAL</v>
          </cell>
        </row>
        <row r="70">
          <cell r="B70" t="str">
            <v>GM-00067</v>
          </cell>
          <cell r="C70" t="str">
            <v>SUKU</v>
          </cell>
          <cell r="E70">
            <v>43349</v>
          </cell>
          <cell r="F70" t="str">
            <v>P</v>
          </cell>
          <cell r="I70" t="str">
            <v>121 TAHUN</v>
          </cell>
          <cell r="J70" t="str">
            <v>KRISTEN</v>
          </cell>
          <cell r="K70" t="str">
            <v>NON KONTRAKTOR</v>
          </cell>
          <cell r="L70">
            <v>1</v>
          </cell>
          <cell r="P70" t="str">
            <v>AKTIF</v>
          </cell>
          <cell r="R70" t="str">
            <v>PERAWATAN</v>
          </cell>
          <cell r="S70" t="str">
            <v>BORONGAN</v>
          </cell>
          <cell r="T70" t="str">
            <v>TUNAI</v>
          </cell>
          <cell r="V70" t="str">
            <v>LOKAL</v>
          </cell>
        </row>
        <row r="71">
          <cell r="B71" t="str">
            <v>GM-00068</v>
          </cell>
          <cell r="C71" t="str">
            <v>SULAIMAN</v>
          </cell>
          <cell r="E71">
            <v>43349</v>
          </cell>
          <cell r="F71" t="str">
            <v>L</v>
          </cell>
          <cell r="I71" t="str">
            <v>121 TAHUN</v>
          </cell>
          <cell r="J71" t="str">
            <v>ISLAM</v>
          </cell>
          <cell r="K71" t="str">
            <v>NON KONTRAKTOR</v>
          </cell>
          <cell r="L71">
            <v>1</v>
          </cell>
          <cell r="P71" t="str">
            <v>AKTIF</v>
          </cell>
          <cell r="R71" t="str">
            <v>PERAWATAN</v>
          </cell>
          <cell r="S71" t="str">
            <v>BORONGAN</v>
          </cell>
          <cell r="T71" t="str">
            <v>TUNAI</v>
          </cell>
          <cell r="V71" t="str">
            <v>LOKAL</v>
          </cell>
        </row>
        <row r="72">
          <cell r="B72" t="str">
            <v>GM-00069</v>
          </cell>
          <cell r="C72" t="str">
            <v>SULI</v>
          </cell>
          <cell r="E72">
            <v>43349</v>
          </cell>
          <cell r="F72" t="str">
            <v>P</v>
          </cell>
          <cell r="I72" t="str">
            <v>121 TAHUN</v>
          </cell>
          <cell r="J72" t="str">
            <v>KRISTEN</v>
          </cell>
          <cell r="K72" t="str">
            <v>NON KONTRAKTOR</v>
          </cell>
          <cell r="L72">
            <v>1</v>
          </cell>
          <cell r="P72" t="str">
            <v>AKTIF</v>
          </cell>
          <cell r="R72" t="str">
            <v>PERAWATAN</v>
          </cell>
          <cell r="S72" t="str">
            <v>BORONGAN</v>
          </cell>
          <cell r="T72" t="str">
            <v>TUNAI</v>
          </cell>
          <cell r="V72" t="str">
            <v>LOKAL</v>
          </cell>
        </row>
        <row r="73">
          <cell r="B73" t="str">
            <v>GM-00070</v>
          </cell>
          <cell r="C73" t="str">
            <v>SURIPTO</v>
          </cell>
          <cell r="D73" t="str">
            <v>BARAK G10 DIV 1</v>
          </cell>
          <cell r="E73">
            <v>43349</v>
          </cell>
          <cell r="F73" t="str">
            <v>L</v>
          </cell>
          <cell r="G73" t="str">
            <v>BANYUMAS</v>
          </cell>
          <cell r="H73">
            <v>25791</v>
          </cell>
          <cell r="I73" t="str">
            <v>50 TAHUN</v>
          </cell>
          <cell r="J73" t="str">
            <v>ISLAM</v>
          </cell>
          <cell r="K73" t="str">
            <v>NURSAIL</v>
          </cell>
          <cell r="L73">
            <v>1</v>
          </cell>
          <cell r="M73" t="str">
            <v>SURIPTO</v>
          </cell>
          <cell r="N73">
            <v>1106440694</v>
          </cell>
          <cell r="O73" t="str">
            <v>BNI</v>
          </cell>
          <cell r="P73" t="str">
            <v>AKTIF</v>
          </cell>
          <cell r="R73" t="str">
            <v>PANEN</v>
          </cell>
          <cell r="S73" t="str">
            <v>BORONGAN</v>
          </cell>
          <cell r="T73" t="str">
            <v>TRANSFER</v>
          </cell>
          <cell r="U73" t="str">
            <v>6112010611740003</v>
          </cell>
          <cell r="V73" t="str">
            <v>AKAD</v>
          </cell>
        </row>
        <row r="74">
          <cell r="B74" t="str">
            <v>GM-00071</v>
          </cell>
          <cell r="C74" t="str">
            <v>SURI YATI</v>
          </cell>
          <cell r="D74" t="str">
            <v>Ds. SEPURU</v>
          </cell>
          <cell r="E74">
            <v>43349</v>
          </cell>
          <cell r="F74" t="str">
            <v>P</v>
          </cell>
          <cell r="G74" t="str">
            <v>DUSUN SEPURU</v>
          </cell>
          <cell r="H74">
            <v>31749</v>
          </cell>
          <cell r="I74" t="str">
            <v>34 TAHUN</v>
          </cell>
          <cell r="J74" t="str">
            <v>KRISTEN</v>
          </cell>
          <cell r="K74" t="str">
            <v>NON KONTRAKTOR</v>
          </cell>
          <cell r="L74">
            <v>1</v>
          </cell>
          <cell r="M74" t="str">
            <v>SURI YATI</v>
          </cell>
          <cell r="N74">
            <v>954802249</v>
          </cell>
          <cell r="O74" t="str">
            <v>BNI</v>
          </cell>
          <cell r="P74" t="str">
            <v>AKTIF</v>
          </cell>
          <cell r="R74" t="str">
            <v>PERAWATAN</v>
          </cell>
          <cell r="S74" t="str">
            <v>BORONGAN</v>
          </cell>
          <cell r="T74" t="str">
            <v>TRANSFER</v>
          </cell>
          <cell r="U74" t="str">
            <v>6109060312860001</v>
          </cell>
          <cell r="V74" t="str">
            <v>LOKAL</v>
          </cell>
        </row>
        <row r="75">
          <cell r="B75" t="str">
            <v>GM-00072</v>
          </cell>
          <cell r="C75" t="str">
            <v>SUTARWAN</v>
          </cell>
          <cell r="E75">
            <v>43349</v>
          </cell>
          <cell r="F75" t="str">
            <v>L</v>
          </cell>
          <cell r="I75" t="str">
            <v>121 TAHUN</v>
          </cell>
          <cell r="J75" t="str">
            <v>KRISTEN</v>
          </cell>
          <cell r="K75" t="str">
            <v>NON KONTRAKTOR</v>
          </cell>
          <cell r="L75">
            <v>1</v>
          </cell>
          <cell r="P75" t="str">
            <v>AKTIF</v>
          </cell>
          <cell r="R75" t="str">
            <v>PERAWATAN</v>
          </cell>
          <cell r="S75" t="str">
            <v>BORONGAN</v>
          </cell>
          <cell r="T75" t="str">
            <v>TUNAI</v>
          </cell>
          <cell r="V75" t="str">
            <v>LOKAL</v>
          </cell>
        </row>
        <row r="76">
          <cell r="B76" t="str">
            <v>GM-00073</v>
          </cell>
          <cell r="C76" t="str">
            <v>TITUS M.</v>
          </cell>
          <cell r="E76">
            <v>43349</v>
          </cell>
          <cell r="F76" t="str">
            <v>L</v>
          </cell>
          <cell r="I76" t="str">
            <v>121 TAHUN</v>
          </cell>
          <cell r="J76" t="str">
            <v>KRISTEN</v>
          </cell>
          <cell r="K76" t="str">
            <v>NON KONTRAKTOR</v>
          </cell>
          <cell r="L76">
            <v>1</v>
          </cell>
          <cell r="P76" t="str">
            <v>AKTIF</v>
          </cell>
          <cell r="R76" t="str">
            <v>PERAWATAN</v>
          </cell>
          <cell r="S76" t="str">
            <v>BORONGAN</v>
          </cell>
          <cell r="T76" t="str">
            <v>TUNAI</v>
          </cell>
          <cell r="V76" t="str">
            <v>LOKAL</v>
          </cell>
        </row>
        <row r="77">
          <cell r="B77" t="str">
            <v>GM-00074</v>
          </cell>
          <cell r="C77" t="str">
            <v>WIWIN FRANDIKA</v>
          </cell>
          <cell r="D77" t="str">
            <v>Ds. SEPURU</v>
          </cell>
          <cell r="E77">
            <v>43349</v>
          </cell>
          <cell r="F77" t="str">
            <v>L</v>
          </cell>
          <cell r="G77" t="str">
            <v>DUSUN SEPURU</v>
          </cell>
          <cell r="H77">
            <v>32799</v>
          </cell>
          <cell r="I77" t="str">
            <v>31 TAHUN</v>
          </cell>
          <cell r="J77" t="str">
            <v>KRISTEN</v>
          </cell>
          <cell r="K77" t="str">
            <v>NON KONTRAKTOR</v>
          </cell>
          <cell r="L77">
            <v>1</v>
          </cell>
          <cell r="M77" t="str">
            <v>WIWIN FRANDIKA</v>
          </cell>
          <cell r="N77">
            <v>386799669</v>
          </cell>
          <cell r="O77" t="str">
            <v>BNI</v>
          </cell>
          <cell r="P77" t="str">
            <v>AKTIF</v>
          </cell>
          <cell r="R77" t="str">
            <v>PANEN</v>
          </cell>
          <cell r="S77" t="str">
            <v>BORONGAN</v>
          </cell>
          <cell r="T77" t="str">
            <v>TRANSFER</v>
          </cell>
          <cell r="U77" t="str">
            <v>6109061810890003</v>
          </cell>
          <cell r="V77" t="str">
            <v>LOKAL</v>
          </cell>
        </row>
        <row r="78">
          <cell r="B78" t="str">
            <v>GM-00075</v>
          </cell>
          <cell r="C78" t="str">
            <v>YANTI</v>
          </cell>
          <cell r="E78">
            <v>43349</v>
          </cell>
          <cell r="F78" t="str">
            <v>P</v>
          </cell>
          <cell r="I78" t="str">
            <v>121 TAHUN</v>
          </cell>
          <cell r="J78" t="str">
            <v>KRISTEN</v>
          </cell>
          <cell r="K78" t="str">
            <v>NON KONTRAKTOR</v>
          </cell>
          <cell r="L78">
            <v>1</v>
          </cell>
          <cell r="P78" t="str">
            <v>AKTIF</v>
          </cell>
          <cell r="R78" t="str">
            <v>PERAWATAN</v>
          </cell>
          <cell r="S78" t="str">
            <v>BORONGAN</v>
          </cell>
          <cell r="T78" t="str">
            <v>TUNAI</v>
          </cell>
          <cell r="V78" t="str">
            <v>LOKAL</v>
          </cell>
        </row>
        <row r="79">
          <cell r="B79" t="str">
            <v>GM-00076</v>
          </cell>
          <cell r="C79" t="str">
            <v>YULIANA</v>
          </cell>
          <cell r="E79">
            <v>43349</v>
          </cell>
          <cell r="F79" t="str">
            <v>P</v>
          </cell>
          <cell r="I79" t="str">
            <v>121 TAHUN</v>
          </cell>
          <cell r="J79" t="str">
            <v>KRISTEN</v>
          </cell>
          <cell r="K79" t="str">
            <v>NON KONTRAKTOR</v>
          </cell>
          <cell r="L79">
            <v>1</v>
          </cell>
          <cell r="M79" t="str">
            <v>YULIANA</v>
          </cell>
          <cell r="N79">
            <v>1055436728</v>
          </cell>
          <cell r="O79" t="str">
            <v>BNI</v>
          </cell>
          <cell r="P79" t="str">
            <v>AKTIF</v>
          </cell>
          <cell r="R79" t="str">
            <v>PERAWATAN</v>
          </cell>
          <cell r="S79" t="str">
            <v>BORONGAN</v>
          </cell>
          <cell r="T79" t="str">
            <v>TRANSFER</v>
          </cell>
          <cell r="V79" t="str">
            <v>LOKAL</v>
          </cell>
        </row>
        <row r="80">
          <cell r="B80" t="str">
            <v>GM-00077</v>
          </cell>
          <cell r="C80" t="str">
            <v>YUNIS</v>
          </cell>
          <cell r="D80" t="str">
            <v>Ds. SEPURU</v>
          </cell>
          <cell r="E80">
            <v>43349</v>
          </cell>
          <cell r="F80" t="str">
            <v>P</v>
          </cell>
          <cell r="G80" t="str">
            <v>DUSUN SEPURU</v>
          </cell>
          <cell r="H80">
            <v>22107</v>
          </cell>
          <cell r="I80" t="str">
            <v>60 TAHUN</v>
          </cell>
          <cell r="J80" t="str">
            <v>KRISTEN</v>
          </cell>
          <cell r="K80" t="str">
            <v>NON KONTRAKTOR</v>
          </cell>
          <cell r="L80">
            <v>1</v>
          </cell>
          <cell r="P80" t="str">
            <v>AKTIF</v>
          </cell>
          <cell r="R80" t="str">
            <v>PERAWATAN</v>
          </cell>
          <cell r="S80" t="str">
            <v>BORONGAN</v>
          </cell>
          <cell r="T80" t="str">
            <v>TUNAI</v>
          </cell>
          <cell r="U80" t="str">
            <v>6109065007600001</v>
          </cell>
          <cell r="V80" t="str">
            <v>LOKAL</v>
          </cell>
        </row>
        <row r="81">
          <cell r="B81" t="str">
            <v>GM-00078</v>
          </cell>
          <cell r="C81" t="str">
            <v>YUSPINA</v>
          </cell>
          <cell r="E81">
            <v>43349</v>
          </cell>
          <cell r="F81" t="str">
            <v>P</v>
          </cell>
          <cell r="I81" t="str">
            <v>121 TAHUN</v>
          </cell>
          <cell r="J81" t="str">
            <v>KRISTEN</v>
          </cell>
          <cell r="K81" t="str">
            <v>NON KONTRAKTOR</v>
          </cell>
          <cell r="L81">
            <v>1</v>
          </cell>
          <cell r="P81" t="str">
            <v>AKTIF</v>
          </cell>
          <cell r="R81" t="str">
            <v>PERAWATAN</v>
          </cell>
          <cell r="S81" t="str">
            <v>BORONGAN</v>
          </cell>
          <cell r="T81" t="str">
            <v>TUNAI</v>
          </cell>
          <cell r="V81" t="str">
            <v>LOKAL</v>
          </cell>
        </row>
        <row r="82">
          <cell r="B82" t="str">
            <v>GM-00079</v>
          </cell>
          <cell r="C82" t="str">
            <v>YUSUP S</v>
          </cell>
          <cell r="D82" t="str">
            <v>Ds. SEPURU</v>
          </cell>
          <cell r="E82">
            <v>43349</v>
          </cell>
          <cell r="F82" t="str">
            <v>L</v>
          </cell>
          <cell r="G82" t="str">
            <v>DUSUN SEPURU</v>
          </cell>
          <cell r="H82">
            <v>28118</v>
          </cell>
          <cell r="I82" t="str">
            <v>44 TAHUN</v>
          </cell>
          <cell r="J82" t="str">
            <v>KRISTEN</v>
          </cell>
          <cell r="K82" t="str">
            <v>NON KONTRAKTOR</v>
          </cell>
          <cell r="L82">
            <v>1</v>
          </cell>
          <cell r="M82" t="str">
            <v>YUSUP S</v>
          </cell>
          <cell r="N82">
            <v>386799738</v>
          </cell>
          <cell r="O82" t="str">
            <v>BNI</v>
          </cell>
          <cell r="P82" t="str">
            <v>AKTIF</v>
          </cell>
          <cell r="R82" t="str">
            <v>PANEN</v>
          </cell>
          <cell r="S82" t="str">
            <v>BORONGAN</v>
          </cell>
          <cell r="T82" t="str">
            <v>TRANSFER</v>
          </cell>
          <cell r="V82" t="str">
            <v>LOKAL</v>
          </cell>
        </row>
        <row r="83">
          <cell r="B83" t="str">
            <v>GM-00080</v>
          </cell>
          <cell r="C83" t="str">
            <v>JUNI</v>
          </cell>
          <cell r="E83">
            <v>43349</v>
          </cell>
          <cell r="F83" t="str">
            <v>L</v>
          </cell>
          <cell r="I83" t="str">
            <v>121 TAHUN</v>
          </cell>
          <cell r="J83" t="str">
            <v>KRISTEN</v>
          </cell>
          <cell r="K83" t="str">
            <v>NON KONTRAKTOR</v>
          </cell>
          <cell r="L83">
            <v>2</v>
          </cell>
          <cell r="M83" t="str">
            <v>JONI</v>
          </cell>
          <cell r="N83">
            <v>442389446</v>
          </cell>
          <cell r="O83" t="str">
            <v>BNI</v>
          </cell>
          <cell r="P83" t="str">
            <v>AKTIF</v>
          </cell>
          <cell r="R83" t="str">
            <v>PERAWATAN</v>
          </cell>
          <cell r="S83" t="str">
            <v>BORONGAN</v>
          </cell>
          <cell r="T83" t="str">
            <v>TRANSFER</v>
          </cell>
          <cell r="V83" t="str">
            <v>LOKAL</v>
          </cell>
        </row>
        <row r="84">
          <cell r="B84" t="str">
            <v>GM-00081</v>
          </cell>
          <cell r="C84" t="str">
            <v>AHMAD MUKTI</v>
          </cell>
          <cell r="D84" t="str">
            <v>BARAK G10 DIV 2</v>
          </cell>
          <cell r="E84">
            <v>43349</v>
          </cell>
          <cell r="F84" t="str">
            <v>L</v>
          </cell>
          <cell r="G84" t="str">
            <v>BATANG</v>
          </cell>
          <cell r="H84">
            <v>36080</v>
          </cell>
          <cell r="I84" t="str">
            <v>22 TAHUN</v>
          </cell>
          <cell r="J84" t="str">
            <v>ISLAM</v>
          </cell>
          <cell r="K84" t="str">
            <v>NON AKTIF</v>
          </cell>
          <cell r="L84">
            <v>2</v>
          </cell>
          <cell r="M84" t="str">
            <v>AHMAD MUKTI</v>
          </cell>
          <cell r="N84">
            <v>787670479</v>
          </cell>
          <cell r="O84" t="str">
            <v>BNI</v>
          </cell>
          <cell r="P84" t="str">
            <v>NON AKTIF</v>
          </cell>
          <cell r="Q84">
            <v>43665</v>
          </cell>
          <cell r="R84" t="str">
            <v>PERAWATAN</v>
          </cell>
          <cell r="S84" t="str">
            <v>BORONGAN</v>
          </cell>
          <cell r="T84" t="str">
            <v>TRANSFER</v>
          </cell>
          <cell r="U84" t="str">
            <v>3325061210980002</v>
          </cell>
          <cell r="V84" t="str">
            <v>AKAD</v>
          </cell>
        </row>
        <row r="85">
          <cell r="B85" t="str">
            <v>GM-00083</v>
          </cell>
          <cell r="C85" t="str">
            <v>AMAN</v>
          </cell>
          <cell r="E85">
            <v>43349</v>
          </cell>
          <cell r="F85" t="str">
            <v>L</v>
          </cell>
          <cell r="G85" t="str">
            <v>RANSA</v>
          </cell>
          <cell r="H85">
            <v>25212</v>
          </cell>
          <cell r="I85" t="str">
            <v>52 TAHUN</v>
          </cell>
          <cell r="J85" t="str">
            <v>KRISTEN</v>
          </cell>
          <cell r="K85" t="str">
            <v>NON KONTRAKTOR</v>
          </cell>
          <cell r="L85">
            <v>2</v>
          </cell>
          <cell r="M85" t="str">
            <v>AMAN</v>
          </cell>
          <cell r="N85">
            <v>454019470</v>
          </cell>
          <cell r="O85" t="str">
            <v>BNI</v>
          </cell>
          <cell r="P85" t="str">
            <v>AKTIF</v>
          </cell>
          <cell r="R85" t="str">
            <v>PANEN</v>
          </cell>
          <cell r="S85" t="str">
            <v>BORONGAN</v>
          </cell>
          <cell r="T85" t="str">
            <v>TRANSFER</v>
          </cell>
          <cell r="U85" t="str">
            <v>6109060901690003</v>
          </cell>
          <cell r="V85" t="str">
            <v>LOKAL</v>
          </cell>
        </row>
        <row r="86">
          <cell r="B86" t="str">
            <v>GM-00084</v>
          </cell>
          <cell r="C86" t="str">
            <v>BANI</v>
          </cell>
          <cell r="E86">
            <v>43349</v>
          </cell>
          <cell r="F86" t="str">
            <v>L</v>
          </cell>
          <cell r="G86" t="str">
            <v>RANSA</v>
          </cell>
          <cell r="H86">
            <v>22781</v>
          </cell>
          <cell r="I86" t="str">
            <v>58 TAHUN</v>
          </cell>
          <cell r="J86" t="str">
            <v>KRISTEN</v>
          </cell>
          <cell r="K86" t="str">
            <v>NON KONTRAKTOR</v>
          </cell>
          <cell r="L86">
            <v>2</v>
          </cell>
          <cell r="M86" t="str">
            <v>BANI</v>
          </cell>
          <cell r="N86">
            <v>975932274</v>
          </cell>
          <cell r="O86" t="str">
            <v>BNI</v>
          </cell>
          <cell r="P86" t="str">
            <v>AKTIF</v>
          </cell>
          <cell r="R86" t="str">
            <v>PANEN</v>
          </cell>
          <cell r="S86" t="str">
            <v>BORONGAN</v>
          </cell>
          <cell r="T86" t="str">
            <v>TRANSFER</v>
          </cell>
          <cell r="U86" t="str">
            <v>6109061505620001</v>
          </cell>
          <cell r="V86" t="str">
            <v>LOKAL</v>
          </cell>
        </row>
        <row r="87">
          <cell r="B87" t="str">
            <v>GM-00085</v>
          </cell>
          <cell r="C87" t="str">
            <v>BANSELINA</v>
          </cell>
          <cell r="E87">
            <v>43349</v>
          </cell>
          <cell r="F87" t="str">
            <v>P</v>
          </cell>
          <cell r="G87" t="str">
            <v>RANSA</v>
          </cell>
          <cell r="H87">
            <v>19839</v>
          </cell>
          <cell r="I87" t="str">
            <v>66 TAHUN</v>
          </cell>
          <cell r="J87" t="str">
            <v>KRISTEN</v>
          </cell>
          <cell r="K87" t="str">
            <v>NON KONTRAKTOR</v>
          </cell>
          <cell r="L87">
            <v>2</v>
          </cell>
          <cell r="P87" t="str">
            <v>AKTIF</v>
          </cell>
          <cell r="R87" t="str">
            <v>PERAWATAN</v>
          </cell>
          <cell r="S87" t="str">
            <v>BORONGAN</v>
          </cell>
          <cell r="T87" t="str">
            <v>TUNAI</v>
          </cell>
          <cell r="U87" t="str">
            <v>6109066504540002</v>
          </cell>
          <cell r="V87" t="str">
            <v>LOKAL</v>
          </cell>
        </row>
        <row r="88">
          <cell r="B88" t="str">
            <v>GM-00086</v>
          </cell>
          <cell r="C88" t="str">
            <v>BIAK</v>
          </cell>
          <cell r="E88">
            <v>43349</v>
          </cell>
          <cell r="F88" t="str">
            <v>L</v>
          </cell>
          <cell r="I88" t="str">
            <v>121 TAHUN</v>
          </cell>
          <cell r="J88" t="str">
            <v>KRISTEN</v>
          </cell>
          <cell r="K88" t="str">
            <v>NON KONTRAKTOR</v>
          </cell>
          <cell r="L88">
            <v>2</v>
          </cell>
          <cell r="M88" t="str">
            <v>BIAK</v>
          </cell>
          <cell r="N88">
            <v>768229970</v>
          </cell>
          <cell r="O88" t="str">
            <v>BNI</v>
          </cell>
          <cell r="P88" t="str">
            <v>AKTIF</v>
          </cell>
          <cell r="R88" t="str">
            <v>PANEN</v>
          </cell>
          <cell r="S88" t="str">
            <v>BORONGAN</v>
          </cell>
          <cell r="T88" t="str">
            <v>TRANSFER</v>
          </cell>
          <cell r="V88" t="str">
            <v>LOKAL</v>
          </cell>
        </row>
        <row r="89">
          <cell r="B89" t="str">
            <v>GM-00087</v>
          </cell>
          <cell r="C89" t="str">
            <v>DARYUS</v>
          </cell>
          <cell r="E89">
            <v>43349</v>
          </cell>
          <cell r="F89" t="str">
            <v>L</v>
          </cell>
          <cell r="G89" t="str">
            <v>BEMBAN</v>
          </cell>
          <cell r="H89">
            <v>29444</v>
          </cell>
          <cell r="I89" t="str">
            <v>40 TAHUN</v>
          </cell>
          <cell r="J89" t="str">
            <v>KRISTEN</v>
          </cell>
          <cell r="K89" t="str">
            <v>NON KONTRAKTOR</v>
          </cell>
          <cell r="L89">
            <v>2</v>
          </cell>
          <cell r="M89" t="str">
            <v>DARYUS</v>
          </cell>
          <cell r="N89">
            <v>386800213</v>
          </cell>
          <cell r="O89" t="str">
            <v>BNI</v>
          </cell>
          <cell r="P89" t="str">
            <v>AKTIF</v>
          </cell>
          <cell r="R89" t="str">
            <v>PANEN</v>
          </cell>
          <cell r="S89" t="str">
            <v>BORONGAN</v>
          </cell>
          <cell r="T89" t="str">
            <v>TRANSFER</v>
          </cell>
          <cell r="V89" t="str">
            <v>LOKAL</v>
          </cell>
        </row>
        <row r="90">
          <cell r="B90" t="str">
            <v>GM-00088</v>
          </cell>
          <cell r="C90" t="str">
            <v>DAVID</v>
          </cell>
          <cell r="E90">
            <v>43349</v>
          </cell>
          <cell r="F90" t="str">
            <v>L</v>
          </cell>
          <cell r="I90" t="str">
            <v>121 TAHUN</v>
          </cell>
          <cell r="J90" t="str">
            <v>KRISTEN</v>
          </cell>
          <cell r="K90" t="str">
            <v>NON KONTRAKTOR</v>
          </cell>
          <cell r="L90">
            <v>2</v>
          </cell>
          <cell r="M90" t="str">
            <v>DAVID</v>
          </cell>
          <cell r="N90">
            <v>386800155</v>
          </cell>
          <cell r="O90" t="str">
            <v>BNI</v>
          </cell>
          <cell r="P90" t="str">
            <v>AKTIF</v>
          </cell>
          <cell r="R90" t="str">
            <v>PANEN</v>
          </cell>
          <cell r="S90" t="str">
            <v>BORONGAN</v>
          </cell>
          <cell r="T90" t="str">
            <v>TRANSFER</v>
          </cell>
          <cell r="V90" t="str">
            <v>LOKAL</v>
          </cell>
        </row>
        <row r="91">
          <cell r="B91" t="str">
            <v>GM-00089</v>
          </cell>
          <cell r="C91" t="str">
            <v>DUNYA</v>
          </cell>
          <cell r="E91">
            <v>43349</v>
          </cell>
          <cell r="F91" t="str">
            <v>P</v>
          </cell>
          <cell r="G91" t="str">
            <v>RANSA</v>
          </cell>
          <cell r="H91">
            <v>33497</v>
          </cell>
          <cell r="I91" t="str">
            <v>29 TAHUN</v>
          </cell>
          <cell r="J91" t="str">
            <v>KRISTEN</v>
          </cell>
          <cell r="K91" t="str">
            <v>NON KONTRAKTOR</v>
          </cell>
          <cell r="L91">
            <v>2</v>
          </cell>
          <cell r="P91" t="str">
            <v>AKTIF</v>
          </cell>
          <cell r="R91" t="str">
            <v>PERAWATAN</v>
          </cell>
          <cell r="S91" t="str">
            <v>BORONGAN</v>
          </cell>
          <cell r="T91" t="str">
            <v>TUNAI</v>
          </cell>
          <cell r="V91" t="str">
            <v>LOKAL</v>
          </cell>
        </row>
        <row r="92">
          <cell r="B92" t="str">
            <v>GM-00090</v>
          </cell>
          <cell r="C92" t="str">
            <v>EDI SUHENDRA</v>
          </cell>
          <cell r="E92">
            <v>43349</v>
          </cell>
          <cell r="F92" t="str">
            <v>L</v>
          </cell>
          <cell r="G92" t="str">
            <v>BOGOR</v>
          </cell>
          <cell r="H92">
            <v>29291</v>
          </cell>
          <cell r="I92" t="str">
            <v>40 TAHUN</v>
          </cell>
          <cell r="J92" t="str">
            <v>ISLAM</v>
          </cell>
          <cell r="K92" t="str">
            <v>NON KONTRAKTOR</v>
          </cell>
          <cell r="L92">
            <v>2</v>
          </cell>
          <cell r="M92" t="str">
            <v>EDI SUHENDRA</v>
          </cell>
          <cell r="N92">
            <v>442389435</v>
          </cell>
          <cell r="O92" t="str">
            <v>BNI</v>
          </cell>
          <cell r="P92" t="str">
            <v>AKTIF</v>
          </cell>
          <cell r="R92" t="str">
            <v>PANEN</v>
          </cell>
          <cell r="S92" t="str">
            <v>BORONGAN</v>
          </cell>
          <cell r="T92" t="str">
            <v>TRANSFER</v>
          </cell>
          <cell r="V92" t="str">
            <v>LOKAL</v>
          </cell>
        </row>
        <row r="93">
          <cell r="B93" t="str">
            <v>GM-00091</v>
          </cell>
          <cell r="C93" t="str">
            <v>HABAKOK</v>
          </cell>
          <cell r="E93">
            <v>43349</v>
          </cell>
          <cell r="F93" t="str">
            <v>L</v>
          </cell>
          <cell r="G93" t="str">
            <v>RANSA</v>
          </cell>
          <cell r="H93">
            <v>34021</v>
          </cell>
          <cell r="I93" t="str">
            <v>27 TAHUN</v>
          </cell>
          <cell r="J93" t="str">
            <v>KRISTEN</v>
          </cell>
          <cell r="K93" t="str">
            <v>NON KONTRAKTOR</v>
          </cell>
          <cell r="L93">
            <v>2</v>
          </cell>
          <cell r="M93" t="str">
            <v>HABAKOK</v>
          </cell>
          <cell r="N93">
            <v>485822279</v>
          </cell>
          <cell r="O93" t="str">
            <v>BNI</v>
          </cell>
          <cell r="P93" t="str">
            <v>AKTIF</v>
          </cell>
          <cell r="R93" t="str">
            <v>PANEN</v>
          </cell>
          <cell r="S93" t="str">
            <v>BORONGAN</v>
          </cell>
          <cell r="T93" t="str">
            <v>TRANSFER</v>
          </cell>
          <cell r="U93" t="str">
            <v>6109062102930004</v>
          </cell>
          <cell r="V93" t="str">
            <v>LOKAL</v>
          </cell>
        </row>
        <row r="94">
          <cell r="B94" t="str">
            <v>GM-00092</v>
          </cell>
          <cell r="C94" t="str">
            <v>HERIYANTO</v>
          </cell>
          <cell r="E94">
            <v>43349</v>
          </cell>
          <cell r="F94" t="str">
            <v>L</v>
          </cell>
          <cell r="G94" t="str">
            <v>RANSA</v>
          </cell>
          <cell r="H94">
            <v>34797</v>
          </cell>
          <cell r="I94" t="str">
            <v>25 TAHUN</v>
          </cell>
          <cell r="J94" t="str">
            <v>KRISTEN</v>
          </cell>
          <cell r="K94" t="str">
            <v>NON KONTRAKTOR</v>
          </cell>
          <cell r="L94">
            <v>2</v>
          </cell>
          <cell r="M94" t="str">
            <v>HERIYANTO</v>
          </cell>
          <cell r="N94">
            <v>485953461</v>
          </cell>
          <cell r="O94" t="str">
            <v>BNI</v>
          </cell>
          <cell r="P94" t="str">
            <v>AKTIF</v>
          </cell>
          <cell r="R94" t="str">
            <v>PANEN</v>
          </cell>
          <cell r="S94" t="str">
            <v>BORONGAN</v>
          </cell>
          <cell r="T94" t="str">
            <v>TRANSFER</v>
          </cell>
          <cell r="U94" t="str">
            <v>6109061404910001</v>
          </cell>
          <cell r="V94" t="str">
            <v>LOKAL</v>
          </cell>
        </row>
        <row r="95">
          <cell r="B95" t="str">
            <v>GM-00094</v>
          </cell>
          <cell r="C95" t="str">
            <v>HERMANTO</v>
          </cell>
          <cell r="E95">
            <v>43349</v>
          </cell>
          <cell r="F95" t="str">
            <v>L</v>
          </cell>
          <cell r="G95" t="str">
            <v>BELITANG</v>
          </cell>
          <cell r="H95">
            <v>31291</v>
          </cell>
          <cell r="I95" t="str">
            <v>35 TAHUN</v>
          </cell>
          <cell r="J95" t="str">
            <v>ISLAM</v>
          </cell>
          <cell r="K95" t="str">
            <v>NON KONTRAKTOR</v>
          </cell>
          <cell r="L95">
            <v>2</v>
          </cell>
          <cell r="M95" t="str">
            <v>HERMANTO</v>
          </cell>
          <cell r="N95">
            <v>489095418</v>
          </cell>
          <cell r="O95" t="str">
            <v>BNI</v>
          </cell>
          <cell r="P95" t="str">
            <v>AKTIF</v>
          </cell>
          <cell r="R95" t="str">
            <v>PANEN</v>
          </cell>
          <cell r="S95" t="str">
            <v>BORONGAN</v>
          </cell>
          <cell r="T95" t="str">
            <v>TRANSFER</v>
          </cell>
          <cell r="U95" t="str">
            <v>6109060109850003</v>
          </cell>
          <cell r="V95" t="str">
            <v>LOKAL</v>
          </cell>
        </row>
        <row r="96">
          <cell r="B96" t="str">
            <v>GM-00095</v>
          </cell>
          <cell r="C96" t="str">
            <v>HERMANUS</v>
          </cell>
          <cell r="E96">
            <v>43349</v>
          </cell>
          <cell r="F96" t="str">
            <v>L</v>
          </cell>
          <cell r="G96" t="str">
            <v>RANSA</v>
          </cell>
          <cell r="H96">
            <v>30777</v>
          </cell>
          <cell r="I96" t="str">
            <v>36 TAHUN</v>
          </cell>
          <cell r="J96" t="str">
            <v>KRISTEN</v>
          </cell>
          <cell r="K96" t="str">
            <v>NON KONTRAKTOR</v>
          </cell>
          <cell r="L96">
            <v>2</v>
          </cell>
          <cell r="M96" t="str">
            <v>HERMANUS</v>
          </cell>
          <cell r="N96">
            <v>489092847</v>
          </cell>
          <cell r="O96" t="str">
            <v>BNI</v>
          </cell>
          <cell r="P96" t="str">
            <v>AKTIF</v>
          </cell>
          <cell r="R96" t="str">
            <v>PANEN</v>
          </cell>
          <cell r="S96" t="str">
            <v>BORONGAN</v>
          </cell>
          <cell r="T96" t="str">
            <v>TRANSFER</v>
          </cell>
          <cell r="U96" t="str">
            <v>6109060504840001</v>
          </cell>
          <cell r="V96" t="str">
            <v>LOKAL</v>
          </cell>
        </row>
        <row r="97">
          <cell r="B97" t="str">
            <v>GM-00096</v>
          </cell>
          <cell r="C97" t="str">
            <v>IDING</v>
          </cell>
          <cell r="E97">
            <v>43349</v>
          </cell>
          <cell r="F97" t="str">
            <v>L</v>
          </cell>
          <cell r="I97" t="str">
            <v>121 TAHUN</v>
          </cell>
          <cell r="J97" t="str">
            <v>ISLAM</v>
          </cell>
          <cell r="K97" t="str">
            <v>NON KONTRAKTOR</v>
          </cell>
          <cell r="L97">
            <v>2</v>
          </cell>
          <cell r="P97" t="str">
            <v>AKTIF</v>
          </cell>
          <cell r="R97" t="str">
            <v>PANEN</v>
          </cell>
          <cell r="S97" t="str">
            <v>BORONGAN</v>
          </cell>
          <cell r="T97" t="str">
            <v>TUNAI</v>
          </cell>
          <cell r="V97" t="str">
            <v>LOKAL</v>
          </cell>
        </row>
        <row r="98">
          <cell r="B98" t="str">
            <v>GM-00098</v>
          </cell>
          <cell r="C98" t="str">
            <v>JOKO SUBAGIO</v>
          </cell>
          <cell r="E98">
            <v>43349</v>
          </cell>
          <cell r="F98" t="str">
            <v>L</v>
          </cell>
          <cell r="G98" t="str">
            <v>RANSA</v>
          </cell>
          <cell r="H98">
            <v>27426</v>
          </cell>
          <cell r="I98" t="str">
            <v>45 TAHUN</v>
          </cell>
          <cell r="J98" t="str">
            <v>KRISTEN</v>
          </cell>
          <cell r="K98" t="str">
            <v>NON KONTRAKTOR</v>
          </cell>
          <cell r="L98">
            <v>2</v>
          </cell>
          <cell r="M98" t="str">
            <v>JOKO SUBAGIO</v>
          </cell>
          <cell r="N98">
            <v>485952139</v>
          </cell>
          <cell r="O98" t="str">
            <v>BNI</v>
          </cell>
          <cell r="P98" t="str">
            <v>AKTIF</v>
          </cell>
          <cell r="R98" t="str">
            <v>PANEN</v>
          </cell>
          <cell r="S98" t="str">
            <v>BORONGAN</v>
          </cell>
          <cell r="T98" t="str">
            <v>TRANSFER</v>
          </cell>
          <cell r="U98" t="str">
            <v>6109060102750002</v>
          </cell>
          <cell r="V98" t="str">
            <v>LOKAL</v>
          </cell>
        </row>
        <row r="99">
          <cell r="B99" t="str">
            <v>GM-00099</v>
          </cell>
          <cell r="C99" t="str">
            <v>KALVEN</v>
          </cell>
          <cell r="E99">
            <v>43349</v>
          </cell>
          <cell r="F99" t="str">
            <v>L</v>
          </cell>
          <cell r="G99" t="str">
            <v>RANSA</v>
          </cell>
          <cell r="H99">
            <v>30351</v>
          </cell>
          <cell r="I99" t="str">
            <v>37 TAHUN</v>
          </cell>
          <cell r="J99" t="str">
            <v>KRISTEN</v>
          </cell>
          <cell r="K99" t="str">
            <v>NON KONTRAKTOR</v>
          </cell>
          <cell r="L99">
            <v>2</v>
          </cell>
          <cell r="M99" t="str">
            <v>KALVEN</v>
          </cell>
          <cell r="N99">
            <v>386800188</v>
          </cell>
          <cell r="O99" t="str">
            <v>BNI</v>
          </cell>
          <cell r="P99" t="str">
            <v>AKTIF</v>
          </cell>
          <cell r="R99" t="str">
            <v>PANEN</v>
          </cell>
          <cell r="S99" t="str">
            <v>BORONGAN</v>
          </cell>
          <cell r="T99" t="str">
            <v>TRANSFER</v>
          </cell>
          <cell r="U99" t="str">
            <v>6109060402830004</v>
          </cell>
          <cell r="V99" t="str">
            <v>LOKAL</v>
          </cell>
        </row>
        <row r="100">
          <cell r="B100" t="str">
            <v>GM-00100</v>
          </cell>
          <cell r="C100" t="str">
            <v>KAMAL</v>
          </cell>
          <cell r="E100">
            <v>43349</v>
          </cell>
          <cell r="F100" t="str">
            <v>L</v>
          </cell>
          <cell r="G100" t="str">
            <v>BEMBAN</v>
          </cell>
          <cell r="H100">
            <v>29859</v>
          </cell>
          <cell r="I100" t="str">
            <v>39 TAHUN</v>
          </cell>
          <cell r="J100" t="str">
            <v>KRISTEN</v>
          </cell>
          <cell r="K100" t="str">
            <v>NON KONTRAKTOR</v>
          </cell>
          <cell r="L100">
            <v>2</v>
          </cell>
          <cell r="M100" t="str">
            <v>KAMAL</v>
          </cell>
          <cell r="N100">
            <v>359564968</v>
          </cell>
          <cell r="O100" t="str">
            <v>BNI</v>
          </cell>
          <cell r="P100" t="str">
            <v>AKTIF</v>
          </cell>
          <cell r="R100" t="str">
            <v>PANEN</v>
          </cell>
          <cell r="S100" t="str">
            <v>BORONGAN</v>
          </cell>
          <cell r="T100" t="str">
            <v>TRANSFER</v>
          </cell>
          <cell r="U100" t="str">
            <v>6109063009810003</v>
          </cell>
          <cell r="V100" t="str">
            <v>LOKAL</v>
          </cell>
        </row>
        <row r="101">
          <cell r="B101" t="str">
            <v>GM-00101</v>
          </cell>
          <cell r="C101" t="str">
            <v>LEBUNG PUTRA</v>
          </cell>
          <cell r="E101">
            <v>43349</v>
          </cell>
          <cell r="F101" t="str">
            <v>L</v>
          </cell>
          <cell r="G101" t="str">
            <v>RANSA</v>
          </cell>
          <cell r="H101">
            <v>32552</v>
          </cell>
          <cell r="I101" t="str">
            <v>31 TAHUN</v>
          </cell>
          <cell r="J101" t="str">
            <v>KRISTEN</v>
          </cell>
          <cell r="K101" t="str">
            <v>NON KONTRAKTOR</v>
          </cell>
          <cell r="L101">
            <v>2</v>
          </cell>
          <cell r="M101" t="str">
            <v>LEBUNG</v>
          </cell>
          <cell r="N101">
            <v>386800177</v>
          </cell>
          <cell r="O101" t="str">
            <v>BNI</v>
          </cell>
          <cell r="P101" t="str">
            <v>AKTIF</v>
          </cell>
          <cell r="R101" t="str">
            <v>PANEN</v>
          </cell>
          <cell r="S101" t="str">
            <v>BORONGAN</v>
          </cell>
          <cell r="T101" t="str">
            <v>TRANSFER</v>
          </cell>
          <cell r="U101" t="str">
            <v>6109062602890003</v>
          </cell>
          <cell r="V101" t="str">
            <v>LOKAL</v>
          </cell>
        </row>
        <row r="102">
          <cell r="B102" t="str">
            <v>GM-00102</v>
          </cell>
          <cell r="C102" t="str">
            <v>LEONARDUS</v>
          </cell>
          <cell r="E102">
            <v>43349</v>
          </cell>
          <cell r="F102" t="str">
            <v>L</v>
          </cell>
          <cell r="G102" t="str">
            <v>EMPAONG</v>
          </cell>
          <cell r="H102">
            <v>26638</v>
          </cell>
          <cell r="I102" t="str">
            <v>48 TAHUN</v>
          </cell>
          <cell r="J102" t="str">
            <v>KRISTEN</v>
          </cell>
          <cell r="K102" t="str">
            <v>NON KONTRAKTOR</v>
          </cell>
          <cell r="L102">
            <v>2</v>
          </cell>
          <cell r="M102" t="str">
            <v>LEONARDUS</v>
          </cell>
          <cell r="N102">
            <v>526011812</v>
          </cell>
          <cell r="O102" t="str">
            <v>BNI</v>
          </cell>
          <cell r="P102" t="str">
            <v>AKTIF</v>
          </cell>
          <cell r="R102" t="str">
            <v>PANEN</v>
          </cell>
          <cell r="S102" t="str">
            <v>BORONGAN</v>
          </cell>
          <cell r="T102" t="str">
            <v>TRANSFER</v>
          </cell>
          <cell r="U102" t="str">
            <v>6103090512720001</v>
          </cell>
          <cell r="V102" t="str">
            <v>LOKAL</v>
          </cell>
        </row>
        <row r="103">
          <cell r="B103" t="str">
            <v>GM-00103</v>
          </cell>
          <cell r="C103" t="str">
            <v>LIDAM MIANTO</v>
          </cell>
          <cell r="E103">
            <v>43349</v>
          </cell>
          <cell r="F103" t="str">
            <v>L</v>
          </cell>
          <cell r="G103" t="str">
            <v>SEMELABAN</v>
          </cell>
          <cell r="H103">
            <v>30627</v>
          </cell>
          <cell r="I103" t="str">
            <v>37 TAHUN</v>
          </cell>
          <cell r="J103" t="str">
            <v>KRISTEN</v>
          </cell>
          <cell r="K103" t="str">
            <v>NON KONTRAKTOR</v>
          </cell>
          <cell r="L103">
            <v>2</v>
          </cell>
          <cell r="M103" t="str">
            <v>LIDAM MIANTO</v>
          </cell>
          <cell r="N103">
            <v>690713901</v>
          </cell>
          <cell r="O103" t="str">
            <v>BNI</v>
          </cell>
          <cell r="P103" t="str">
            <v>AKTIF</v>
          </cell>
          <cell r="R103" t="str">
            <v>PANEN</v>
          </cell>
          <cell r="S103" t="str">
            <v>BORONGAN</v>
          </cell>
          <cell r="T103" t="str">
            <v>TRANSFER</v>
          </cell>
          <cell r="U103" t="str">
            <v>6109060711830002</v>
          </cell>
          <cell r="V103" t="str">
            <v>LOKAL</v>
          </cell>
        </row>
        <row r="104">
          <cell r="B104" t="str">
            <v>GM-00104</v>
          </cell>
          <cell r="C104" t="str">
            <v>LIMA</v>
          </cell>
          <cell r="E104">
            <v>43349</v>
          </cell>
          <cell r="F104" t="str">
            <v>L</v>
          </cell>
          <cell r="G104" t="str">
            <v>RANSA</v>
          </cell>
          <cell r="H104">
            <v>29003</v>
          </cell>
          <cell r="I104" t="str">
            <v>41 TAHUN</v>
          </cell>
          <cell r="J104" t="str">
            <v>KRISTEN</v>
          </cell>
          <cell r="K104" t="str">
            <v>NON KONTRAKTOR</v>
          </cell>
          <cell r="L104">
            <v>2</v>
          </cell>
          <cell r="M104" t="str">
            <v>LIMA</v>
          </cell>
          <cell r="N104">
            <v>362419087</v>
          </cell>
          <cell r="O104" t="str">
            <v>BNI</v>
          </cell>
          <cell r="P104" t="str">
            <v>AKTIF</v>
          </cell>
          <cell r="R104" t="str">
            <v>PANEN</v>
          </cell>
          <cell r="S104" t="str">
            <v>BORONGAN</v>
          </cell>
          <cell r="T104" t="str">
            <v>TRANSFER</v>
          </cell>
          <cell r="U104" t="str">
            <v>6109062805790001</v>
          </cell>
          <cell r="V104" t="str">
            <v>LOKAL</v>
          </cell>
        </row>
        <row r="105">
          <cell r="B105" t="str">
            <v>GM-00105</v>
          </cell>
          <cell r="C105" t="str">
            <v>LUNA</v>
          </cell>
          <cell r="E105">
            <v>43349</v>
          </cell>
          <cell r="F105" t="str">
            <v>P</v>
          </cell>
          <cell r="I105" t="str">
            <v>121 TAHUN</v>
          </cell>
          <cell r="J105" t="str">
            <v>KRISTEN</v>
          </cell>
          <cell r="K105" t="str">
            <v>NON KONTRAKTOR</v>
          </cell>
          <cell r="L105">
            <v>2</v>
          </cell>
          <cell r="P105" t="str">
            <v>AKTIF</v>
          </cell>
          <cell r="R105" t="str">
            <v>PERAWATAN</v>
          </cell>
          <cell r="S105" t="str">
            <v>BORONGAN</v>
          </cell>
          <cell r="T105" t="str">
            <v>TUNAI</v>
          </cell>
          <cell r="V105" t="str">
            <v>LOKAL</v>
          </cell>
        </row>
        <row r="106">
          <cell r="B106" t="str">
            <v>GM-00106</v>
          </cell>
          <cell r="C106" t="str">
            <v>MARGARITA</v>
          </cell>
          <cell r="E106">
            <v>43349</v>
          </cell>
          <cell r="F106" t="str">
            <v>P</v>
          </cell>
          <cell r="G106" t="str">
            <v>RANSA</v>
          </cell>
          <cell r="H106">
            <v>31610</v>
          </cell>
          <cell r="I106" t="str">
            <v>34 TAHUN</v>
          </cell>
          <cell r="J106" t="str">
            <v>KRISTEN</v>
          </cell>
          <cell r="K106" t="str">
            <v>NON KONTRAKTOR</v>
          </cell>
          <cell r="L106">
            <v>2</v>
          </cell>
          <cell r="P106" t="str">
            <v>AKTIF</v>
          </cell>
          <cell r="R106" t="str">
            <v>PERAWATAN</v>
          </cell>
          <cell r="S106" t="str">
            <v>BORONGAN</v>
          </cell>
          <cell r="T106" t="str">
            <v>TUNAI</v>
          </cell>
          <cell r="V106" t="str">
            <v>LOKAL</v>
          </cell>
        </row>
        <row r="107">
          <cell r="B107" t="str">
            <v>GM-00107</v>
          </cell>
          <cell r="C107" t="str">
            <v>MARLINUS</v>
          </cell>
          <cell r="E107">
            <v>43349</v>
          </cell>
          <cell r="F107" t="str">
            <v>L</v>
          </cell>
          <cell r="G107" t="str">
            <v>RANSA</v>
          </cell>
          <cell r="H107">
            <v>35857</v>
          </cell>
          <cell r="I107" t="str">
            <v>22 TAHUN</v>
          </cell>
          <cell r="J107" t="str">
            <v>KRISTEN</v>
          </cell>
          <cell r="K107" t="str">
            <v>NON KONTRAKTOR</v>
          </cell>
          <cell r="L107">
            <v>2</v>
          </cell>
          <cell r="M107" t="str">
            <v>MARLINUS</v>
          </cell>
          <cell r="N107">
            <v>485954487</v>
          </cell>
          <cell r="O107" t="str">
            <v>BNI</v>
          </cell>
          <cell r="P107" t="str">
            <v>AKTIF</v>
          </cell>
          <cell r="R107" t="str">
            <v>PANEN</v>
          </cell>
          <cell r="S107" t="str">
            <v>BORONGAN</v>
          </cell>
          <cell r="T107" t="str">
            <v>TRANSFER</v>
          </cell>
          <cell r="U107" t="str">
            <v>6109060303980004</v>
          </cell>
          <cell r="V107" t="str">
            <v>LOKAL</v>
          </cell>
        </row>
        <row r="108">
          <cell r="B108" t="str">
            <v>GM-00108</v>
          </cell>
          <cell r="C108" t="str">
            <v>MARSELINUS SABUR</v>
          </cell>
          <cell r="E108">
            <v>43349</v>
          </cell>
          <cell r="F108" t="str">
            <v>L</v>
          </cell>
          <cell r="G108" t="str">
            <v>NDAWANG</v>
          </cell>
          <cell r="H108">
            <v>33121</v>
          </cell>
          <cell r="I108" t="str">
            <v>30 TAHUN</v>
          </cell>
          <cell r="J108" t="str">
            <v>KRISTEN</v>
          </cell>
          <cell r="K108" t="str">
            <v>NON KONTRAKTOR</v>
          </cell>
          <cell r="L108">
            <v>2</v>
          </cell>
          <cell r="P108" t="str">
            <v>AKTIF</v>
          </cell>
          <cell r="R108" t="str">
            <v>PANEN</v>
          </cell>
          <cell r="S108" t="str">
            <v>BORONGAN</v>
          </cell>
          <cell r="T108" t="str">
            <v>TUNAI</v>
          </cell>
          <cell r="U108" t="str">
            <v>5310070509900067</v>
          </cell>
          <cell r="V108" t="str">
            <v>LOKAL</v>
          </cell>
        </row>
        <row r="109">
          <cell r="B109" t="str">
            <v>GM-00109</v>
          </cell>
          <cell r="C109" t="str">
            <v>MUSLI. Y</v>
          </cell>
          <cell r="E109">
            <v>43349</v>
          </cell>
          <cell r="F109" t="str">
            <v>L</v>
          </cell>
          <cell r="G109" t="str">
            <v>RANSA</v>
          </cell>
          <cell r="H109">
            <v>26528</v>
          </cell>
          <cell r="I109" t="str">
            <v>48 TAHUN</v>
          </cell>
          <cell r="J109" t="str">
            <v>KRISTEN</v>
          </cell>
          <cell r="K109" t="str">
            <v>NON KONTRAKTOR</v>
          </cell>
          <cell r="L109">
            <v>2</v>
          </cell>
          <cell r="M109" t="str">
            <v>MUSLI. Y</v>
          </cell>
          <cell r="N109">
            <v>485950992</v>
          </cell>
          <cell r="O109" t="str">
            <v>BNI</v>
          </cell>
          <cell r="P109" t="str">
            <v>AKTIF</v>
          </cell>
          <cell r="R109" t="str">
            <v>PANEN</v>
          </cell>
          <cell r="S109" t="str">
            <v>BORONGAN</v>
          </cell>
          <cell r="T109" t="str">
            <v>TRANSFER</v>
          </cell>
          <cell r="U109" t="str">
            <v>6109061708720005</v>
          </cell>
          <cell r="V109" t="str">
            <v>LOKAL</v>
          </cell>
        </row>
        <row r="110">
          <cell r="B110" t="str">
            <v>GM-00110</v>
          </cell>
          <cell r="C110" t="str">
            <v>NIHEMIA</v>
          </cell>
          <cell r="E110">
            <v>43349</v>
          </cell>
          <cell r="F110" t="str">
            <v>L</v>
          </cell>
          <cell r="G110" t="str">
            <v>RANSA</v>
          </cell>
          <cell r="H110">
            <v>23507</v>
          </cell>
          <cell r="I110" t="str">
            <v>56 TAHUN</v>
          </cell>
          <cell r="J110" t="str">
            <v>KRISTEN</v>
          </cell>
          <cell r="K110" t="str">
            <v>NON KONTRAKTOR</v>
          </cell>
          <cell r="L110">
            <v>2</v>
          </cell>
          <cell r="M110" t="str">
            <v>NIHEMIA</v>
          </cell>
          <cell r="N110">
            <v>485952854</v>
          </cell>
          <cell r="O110" t="str">
            <v>BNI</v>
          </cell>
          <cell r="P110" t="str">
            <v>AKTIF</v>
          </cell>
          <cell r="R110" t="str">
            <v>PANEN</v>
          </cell>
          <cell r="S110" t="str">
            <v>BORONGAN</v>
          </cell>
          <cell r="T110" t="str">
            <v>TRANSFER</v>
          </cell>
          <cell r="U110" t="str">
            <v>6109061005640002</v>
          </cell>
          <cell r="V110" t="str">
            <v>LOKAL</v>
          </cell>
        </row>
        <row r="111">
          <cell r="B111" t="str">
            <v>GM-00111</v>
          </cell>
          <cell r="C111" t="str">
            <v>NORHADIZAH</v>
          </cell>
          <cell r="E111">
            <v>43349</v>
          </cell>
          <cell r="F111" t="str">
            <v>P</v>
          </cell>
          <cell r="G111" t="str">
            <v>RANSA</v>
          </cell>
          <cell r="H111">
            <v>34092</v>
          </cell>
          <cell r="I111" t="str">
            <v>27 TAHUN</v>
          </cell>
          <cell r="J111" t="str">
            <v>KRISTEN</v>
          </cell>
          <cell r="K111" t="str">
            <v>NON KONTRAKTOR</v>
          </cell>
          <cell r="L111">
            <v>2</v>
          </cell>
          <cell r="P111" t="str">
            <v>AKTIF</v>
          </cell>
          <cell r="R111" t="str">
            <v>PERAWATAN</v>
          </cell>
          <cell r="S111" t="str">
            <v>BORONGAN</v>
          </cell>
          <cell r="T111" t="str">
            <v>TUNAI</v>
          </cell>
          <cell r="U111" t="str">
            <v>6109064305930003</v>
          </cell>
          <cell r="V111" t="str">
            <v>LOKAL</v>
          </cell>
        </row>
        <row r="112">
          <cell r="B112" t="str">
            <v>GM-00112</v>
          </cell>
          <cell r="C112" t="str">
            <v>NURHIDAYATI</v>
          </cell>
          <cell r="E112">
            <v>43349</v>
          </cell>
          <cell r="F112" t="str">
            <v>P</v>
          </cell>
          <cell r="I112" t="str">
            <v>121 TAHUN</v>
          </cell>
          <cell r="J112" t="str">
            <v>ISLAM</v>
          </cell>
          <cell r="K112" t="str">
            <v>NON KONTRAKTOR</v>
          </cell>
          <cell r="L112">
            <v>1</v>
          </cell>
          <cell r="P112" t="str">
            <v>AKTIF</v>
          </cell>
          <cell r="R112" t="str">
            <v>PANEN</v>
          </cell>
          <cell r="S112" t="str">
            <v>BORONGAN</v>
          </cell>
          <cell r="T112" t="str">
            <v>TUNAI</v>
          </cell>
          <cell r="V112" t="str">
            <v>LOKAL</v>
          </cell>
        </row>
        <row r="113">
          <cell r="B113" t="str">
            <v>GM-00113</v>
          </cell>
          <cell r="C113" t="str">
            <v>NURWIDI</v>
          </cell>
          <cell r="D113" t="str">
            <v>BARAK G10 DIV 2</v>
          </cell>
          <cell r="E113">
            <v>43349</v>
          </cell>
          <cell r="F113" t="str">
            <v>L</v>
          </cell>
          <cell r="G113" t="str">
            <v>BATANG</v>
          </cell>
          <cell r="H113">
            <v>28307</v>
          </cell>
          <cell r="I113" t="str">
            <v>43 TAHUN</v>
          </cell>
          <cell r="J113" t="str">
            <v>ISLAM</v>
          </cell>
          <cell r="K113" t="str">
            <v>NON KONTRAKTOR</v>
          </cell>
          <cell r="L113">
            <v>2</v>
          </cell>
          <cell r="M113" t="str">
            <v>NURWIDI</v>
          </cell>
          <cell r="N113">
            <v>787658827</v>
          </cell>
          <cell r="O113" t="str">
            <v>BNI</v>
          </cell>
          <cell r="P113" t="str">
            <v>AKTIF</v>
          </cell>
          <cell r="R113" t="str">
            <v>PERAWATAN</v>
          </cell>
          <cell r="S113" t="str">
            <v>BORONGAN</v>
          </cell>
          <cell r="T113" t="str">
            <v>TRANSFER</v>
          </cell>
          <cell r="U113" t="str">
            <v>3325060107770011</v>
          </cell>
          <cell r="V113" t="str">
            <v>AKAD</v>
          </cell>
        </row>
        <row r="114">
          <cell r="B114" t="str">
            <v>GM-00116</v>
          </cell>
          <cell r="C114" t="str">
            <v>RIGIN</v>
          </cell>
          <cell r="E114">
            <v>43349</v>
          </cell>
          <cell r="F114" t="str">
            <v>L</v>
          </cell>
          <cell r="G114" t="str">
            <v>KEDANG LENGKAM</v>
          </cell>
          <cell r="H114">
            <v>32151</v>
          </cell>
          <cell r="I114" t="str">
            <v>33 TAHUN</v>
          </cell>
          <cell r="J114" t="str">
            <v>KRISTEN</v>
          </cell>
          <cell r="K114" t="str">
            <v>NON KONTRAKTOR</v>
          </cell>
          <cell r="L114">
            <v>2</v>
          </cell>
          <cell r="M114" t="str">
            <v>RIGIN</v>
          </cell>
          <cell r="N114">
            <v>489098282</v>
          </cell>
          <cell r="O114" t="str">
            <v>BNI</v>
          </cell>
          <cell r="P114" t="str">
            <v>AKTIF</v>
          </cell>
          <cell r="R114" t="str">
            <v>PANEN</v>
          </cell>
          <cell r="S114" t="str">
            <v>BORONGAN</v>
          </cell>
          <cell r="T114" t="str">
            <v>TRANSFER</v>
          </cell>
          <cell r="U114" t="str">
            <v>6109060901880002</v>
          </cell>
          <cell r="V114" t="str">
            <v>LOKAL</v>
          </cell>
        </row>
        <row r="115">
          <cell r="B115" t="str">
            <v>GM-00117</v>
          </cell>
          <cell r="C115" t="str">
            <v>RIKNO</v>
          </cell>
          <cell r="E115">
            <v>43349</v>
          </cell>
          <cell r="F115" t="str">
            <v>L</v>
          </cell>
          <cell r="I115" t="str">
            <v>121 TAHUN</v>
          </cell>
          <cell r="J115" t="str">
            <v>KRISTEN</v>
          </cell>
          <cell r="K115" t="str">
            <v>NON KONTRAKTOR</v>
          </cell>
          <cell r="L115">
            <v>2</v>
          </cell>
          <cell r="P115" t="str">
            <v>AKTIF</v>
          </cell>
          <cell r="R115" t="str">
            <v>PANEN</v>
          </cell>
          <cell r="S115" t="str">
            <v>BORONGAN</v>
          </cell>
          <cell r="T115" t="str">
            <v>TUNAI</v>
          </cell>
          <cell r="V115" t="str">
            <v>LOKAL</v>
          </cell>
        </row>
        <row r="116">
          <cell r="B116" t="str">
            <v>GM-00118</v>
          </cell>
          <cell r="C116" t="str">
            <v>RUSNAWATI</v>
          </cell>
          <cell r="E116">
            <v>43349</v>
          </cell>
          <cell r="F116" t="str">
            <v>P</v>
          </cell>
          <cell r="G116" t="str">
            <v>TABUK</v>
          </cell>
          <cell r="H116">
            <v>28800</v>
          </cell>
          <cell r="I116" t="str">
            <v>42 TAHUN</v>
          </cell>
          <cell r="J116" t="str">
            <v>KRISTEN</v>
          </cell>
          <cell r="K116" t="str">
            <v>NON KONTRAKTOR</v>
          </cell>
          <cell r="L116">
            <v>2</v>
          </cell>
          <cell r="P116" t="str">
            <v>AKTIF</v>
          </cell>
          <cell r="R116" t="str">
            <v>PERAWATAN</v>
          </cell>
          <cell r="S116" t="str">
            <v>BORONGAN</v>
          </cell>
          <cell r="T116" t="str">
            <v>TUNAI</v>
          </cell>
          <cell r="U116" t="str">
            <v>6109064811760002</v>
          </cell>
          <cell r="V116" t="str">
            <v>LOKAL</v>
          </cell>
        </row>
        <row r="117">
          <cell r="B117" t="str">
            <v>GM-00119</v>
          </cell>
          <cell r="C117" t="str">
            <v>SALMAH</v>
          </cell>
          <cell r="E117">
            <v>43349</v>
          </cell>
          <cell r="F117" t="str">
            <v>P</v>
          </cell>
          <cell r="G117" t="str">
            <v>RANSA</v>
          </cell>
          <cell r="H117">
            <v>27559</v>
          </cell>
          <cell r="I117" t="str">
            <v>45 TAHUN</v>
          </cell>
          <cell r="J117" t="str">
            <v>ISLAM</v>
          </cell>
          <cell r="K117" t="str">
            <v>NON KONTRAKTOR</v>
          </cell>
          <cell r="L117">
            <v>2</v>
          </cell>
          <cell r="P117" t="str">
            <v>AKTIF</v>
          </cell>
          <cell r="R117" t="str">
            <v>PERAWATAN</v>
          </cell>
          <cell r="S117" t="str">
            <v>BORONGAN</v>
          </cell>
          <cell r="T117" t="str">
            <v>TUNAI</v>
          </cell>
          <cell r="U117" t="str">
            <v>6109065406750004</v>
          </cell>
          <cell r="V117" t="str">
            <v>LOKAL</v>
          </cell>
        </row>
        <row r="118">
          <cell r="B118" t="str">
            <v>GM-00120</v>
          </cell>
          <cell r="C118" t="str">
            <v>SAMBUDI</v>
          </cell>
          <cell r="E118">
            <v>43349</v>
          </cell>
          <cell r="F118" t="str">
            <v>L</v>
          </cell>
          <cell r="G118" t="str">
            <v>RANSA</v>
          </cell>
          <cell r="H118">
            <v>30839</v>
          </cell>
          <cell r="I118" t="str">
            <v>36 TAHUN</v>
          </cell>
          <cell r="J118" t="str">
            <v>KRISTEN</v>
          </cell>
          <cell r="K118" t="str">
            <v>NON KONTRAKTOR</v>
          </cell>
          <cell r="L118">
            <v>2</v>
          </cell>
          <cell r="M118" t="str">
            <v>SAMBUDI</v>
          </cell>
          <cell r="N118">
            <v>485818376</v>
          </cell>
          <cell r="O118" t="str">
            <v>BNI</v>
          </cell>
          <cell r="P118" t="str">
            <v>AKTIF</v>
          </cell>
          <cell r="R118" t="str">
            <v>PANEN</v>
          </cell>
          <cell r="S118" t="str">
            <v>BORONGAN</v>
          </cell>
          <cell r="T118" t="str">
            <v>TRANSFER</v>
          </cell>
          <cell r="U118" t="str">
            <v>6109060606960002</v>
          </cell>
          <cell r="V118" t="str">
            <v>LOKAL</v>
          </cell>
        </row>
        <row r="119">
          <cell r="B119" t="str">
            <v>GM-00121</v>
          </cell>
          <cell r="C119" t="str">
            <v>SELIKI</v>
          </cell>
          <cell r="F119" t="str">
            <v>L</v>
          </cell>
          <cell r="J119" t="str">
            <v>KRISTEN</v>
          </cell>
          <cell r="K119" t="str">
            <v>NON KONTRAKTOR</v>
          </cell>
          <cell r="L119">
            <v>2</v>
          </cell>
          <cell r="M119" t="str">
            <v>SELIKI</v>
          </cell>
          <cell r="N119">
            <v>485932327</v>
          </cell>
          <cell r="O119" t="str">
            <v>BNI</v>
          </cell>
          <cell r="P119" t="str">
            <v>AKTIF</v>
          </cell>
          <cell r="R119" t="str">
            <v>PERAWATAN</v>
          </cell>
          <cell r="S119" t="str">
            <v>BORONGAN</v>
          </cell>
          <cell r="T119" t="str">
            <v>TRANSFER</v>
          </cell>
          <cell r="V119" t="str">
            <v>LOKAL</v>
          </cell>
        </row>
        <row r="120">
          <cell r="B120" t="str">
            <v>GM-00123</v>
          </cell>
          <cell r="C120" t="str">
            <v>SUBARI</v>
          </cell>
          <cell r="E120">
            <v>43349</v>
          </cell>
          <cell r="F120" t="str">
            <v>L</v>
          </cell>
          <cell r="G120" t="str">
            <v>PONTIANAK</v>
          </cell>
          <cell r="H120">
            <v>28228</v>
          </cell>
          <cell r="I120" t="str">
            <v>43 TAHUN</v>
          </cell>
          <cell r="J120" t="str">
            <v>ISLAM</v>
          </cell>
          <cell r="K120" t="str">
            <v>NON KONTRAKTOR</v>
          </cell>
          <cell r="L120">
            <v>2</v>
          </cell>
          <cell r="M120" t="str">
            <v>SUBARI</v>
          </cell>
          <cell r="N120">
            <v>526355729</v>
          </cell>
          <cell r="O120" t="str">
            <v>BNI</v>
          </cell>
          <cell r="P120" t="str">
            <v>AKTIF</v>
          </cell>
          <cell r="R120" t="str">
            <v>PANEN</v>
          </cell>
          <cell r="S120" t="str">
            <v>BORONGAN</v>
          </cell>
          <cell r="T120" t="str">
            <v>TRANSFER</v>
          </cell>
          <cell r="U120" t="str">
            <v>6109061304770005</v>
          </cell>
          <cell r="V120" t="str">
            <v>LOKAL</v>
          </cell>
        </row>
        <row r="121">
          <cell r="B121" t="str">
            <v>GM-00124</v>
          </cell>
          <cell r="C121" t="str">
            <v>SUNA</v>
          </cell>
          <cell r="E121">
            <v>43349</v>
          </cell>
          <cell r="F121" t="str">
            <v>P</v>
          </cell>
          <cell r="G121" t="str">
            <v>BANJANG</v>
          </cell>
          <cell r="H121">
            <v>31419</v>
          </cell>
          <cell r="I121" t="str">
            <v>35 TAHUN</v>
          </cell>
          <cell r="J121" t="str">
            <v>KRISTEN</v>
          </cell>
          <cell r="K121" t="str">
            <v>NON KONTRAKTOR</v>
          </cell>
          <cell r="L121">
            <v>2</v>
          </cell>
          <cell r="P121" t="str">
            <v>AKTIF</v>
          </cell>
          <cell r="R121" t="str">
            <v>PERAWATAN</v>
          </cell>
          <cell r="S121" t="str">
            <v>BORONGAN</v>
          </cell>
          <cell r="T121" t="str">
            <v>TUNAI</v>
          </cell>
          <cell r="U121" t="str">
            <v>6109064701860001</v>
          </cell>
          <cell r="V121" t="str">
            <v>LOKAL</v>
          </cell>
        </row>
        <row r="122">
          <cell r="B122" t="str">
            <v>GM-00125</v>
          </cell>
          <cell r="C122" t="str">
            <v>TABITA</v>
          </cell>
          <cell r="E122">
            <v>43349</v>
          </cell>
          <cell r="F122" t="str">
            <v>P</v>
          </cell>
          <cell r="G122" t="str">
            <v>RANSA</v>
          </cell>
          <cell r="H122">
            <v>25012</v>
          </cell>
          <cell r="I122" t="str">
            <v>52 TAHUN</v>
          </cell>
          <cell r="J122" t="str">
            <v>KRISTEN</v>
          </cell>
          <cell r="K122" t="str">
            <v>NON KONTRAKTOR</v>
          </cell>
          <cell r="L122">
            <v>2</v>
          </cell>
          <cell r="P122" t="str">
            <v>AKTIF</v>
          </cell>
          <cell r="R122" t="str">
            <v>PERAWATAN</v>
          </cell>
          <cell r="S122" t="str">
            <v>BORONGAN</v>
          </cell>
          <cell r="T122" t="str">
            <v>TUNAI</v>
          </cell>
          <cell r="U122" t="str">
            <v>6109066306680001</v>
          </cell>
          <cell r="V122" t="str">
            <v>LOKAL</v>
          </cell>
        </row>
        <row r="123">
          <cell r="B123" t="str">
            <v>GM-00126</v>
          </cell>
          <cell r="C123" t="str">
            <v>TONI</v>
          </cell>
          <cell r="E123">
            <v>43349</v>
          </cell>
          <cell r="F123" t="str">
            <v>L</v>
          </cell>
          <cell r="G123" t="str">
            <v>ENGKUDU</v>
          </cell>
          <cell r="H123">
            <v>29898</v>
          </cell>
          <cell r="I123" t="str">
            <v>39 TAHUN</v>
          </cell>
          <cell r="J123" t="str">
            <v>KRISTEN</v>
          </cell>
          <cell r="K123" t="str">
            <v>NON KONTRAKTOR</v>
          </cell>
          <cell r="L123">
            <v>2</v>
          </cell>
          <cell r="M123" t="str">
            <v>TONI</v>
          </cell>
          <cell r="N123">
            <v>485924316</v>
          </cell>
          <cell r="O123" t="str">
            <v>BNI</v>
          </cell>
          <cell r="P123" t="str">
            <v>AKTIF</v>
          </cell>
          <cell r="R123" t="str">
            <v>PANEN</v>
          </cell>
          <cell r="S123" t="str">
            <v>BORONGAN</v>
          </cell>
          <cell r="T123" t="str">
            <v>TRANSFER</v>
          </cell>
          <cell r="U123" t="str">
            <v>6109060811810002</v>
          </cell>
          <cell r="V123" t="str">
            <v>LOKAL</v>
          </cell>
        </row>
        <row r="124">
          <cell r="B124" t="str">
            <v>GM-00128</v>
          </cell>
          <cell r="C124" t="str">
            <v>WANDRI</v>
          </cell>
          <cell r="E124">
            <v>43349</v>
          </cell>
          <cell r="F124" t="str">
            <v>L</v>
          </cell>
          <cell r="G124" t="str">
            <v>RANSA</v>
          </cell>
          <cell r="H124">
            <v>33444</v>
          </cell>
          <cell r="I124" t="str">
            <v>29 TAHUN</v>
          </cell>
          <cell r="J124" t="str">
            <v>KRISTEN</v>
          </cell>
          <cell r="K124" t="str">
            <v>NON KONTRAKTOR</v>
          </cell>
          <cell r="L124">
            <v>2</v>
          </cell>
          <cell r="M124" t="str">
            <v>WANDRI</v>
          </cell>
          <cell r="N124">
            <v>485933852</v>
          </cell>
          <cell r="O124" t="str">
            <v>BNI</v>
          </cell>
          <cell r="P124" t="str">
            <v>AKTIF</v>
          </cell>
          <cell r="R124" t="str">
            <v>PANEN</v>
          </cell>
          <cell r="S124" t="str">
            <v>BORONGAN</v>
          </cell>
          <cell r="T124" t="str">
            <v>TRANSFER</v>
          </cell>
          <cell r="U124" t="str">
            <v>6109062507910003</v>
          </cell>
          <cell r="V124" t="str">
            <v>LOKAL</v>
          </cell>
        </row>
        <row r="125">
          <cell r="B125" t="str">
            <v>GM-00130</v>
          </cell>
          <cell r="C125" t="str">
            <v>WASTU</v>
          </cell>
          <cell r="E125">
            <v>43349</v>
          </cell>
          <cell r="F125" t="str">
            <v>P</v>
          </cell>
          <cell r="G125" t="str">
            <v>RANSA</v>
          </cell>
          <cell r="H125">
            <v>30601</v>
          </cell>
          <cell r="I125" t="str">
            <v>37 TAHUN</v>
          </cell>
          <cell r="J125" t="str">
            <v>KRISTEN</v>
          </cell>
          <cell r="K125" t="str">
            <v>NON KONTRAKTOR</v>
          </cell>
          <cell r="L125">
            <v>2</v>
          </cell>
          <cell r="P125" t="str">
            <v>AKTIF</v>
          </cell>
          <cell r="R125" t="str">
            <v>PERAWATAN</v>
          </cell>
          <cell r="S125" t="str">
            <v>BORONGAN</v>
          </cell>
          <cell r="T125" t="str">
            <v>TUNAI</v>
          </cell>
          <cell r="U125" t="str">
            <v>6109065210830002</v>
          </cell>
          <cell r="V125" t="str">
            <v>LOKAL</v>
          </cell>
        </row>
        <row r="126">
          <cell r="B126" t="str">
            <v>GM-00131</v>
          </cell>
          <cell r="C126" t="str">
            <v>WAWAN SETIANTO</v>
          </cell>
          <cell r="D126" t="str">
            <v>BARAK G10 DIV 2</v>
          </cell>
          <cell r="E126">
            <v>43349</v>
          </cell>
          <cell r="F126" t="str">
            <v>L</v>
          </cell>
          <cell r="G126" t="str">
            <v>BATANG</v>
          </cell>
          <cell r="H126">
            <v>31924</v>
          </cell>
          <cell r="I126" t="str">
            <v>33 TAHUN</v>
          </cell>
          <cell r="J126" t="str">
            <v>ISLAM</v>
          </cell>
          <cell r="K126" t="str">
            <v>NON AKTIF</v>
          </cell>
          <cell r="L126">
            <v>2</v>
          </cell>
          <cell r="M126" t="str">
            <v>WAWAN SETIANTO</v>
          </cell>
          <cell r="N126">
            <v>787678060</v>
          </cell>
          <cell r="O126" t="str">
            <v>BNI</v>
          </cell>
          <cell r="P126" t="str">
            <v>NON AKTIF</v>
          </cell>
          <cell r="Q126">
            <v>43665</v>
          </cell>
          <cell r="R126" t="str">
            <v>PERAWATAN</v>
          </cell>
          <cell r="S126" t="str">
            <v>BORONGAN</v>
          </cell>
          <cell r="T126" t="str">
            <v>TRANSFER</v>
          </cell>
          <cell r="U126" t="str">
            <v>3325062705870003</v>
          </cell>
          <cell r="V126" t="str">
            <v>AKAD</v>
          </cell>
        </row>
        <row r="127">
          <cell r="B127" t="str">
            <v>GM-00132</v>
          </cell>
          <cell r="C127" t="str">
            <v>YANTO</v>
          </cell>
          <cell r="E127">
            <v>43349</v>
          </cell>
          <cell r="F127" t="str">
            <v>L</v>
          </cell>
          <cell r="G127" t="str">
            <v>GUPUNG MANG</v>
          </cell>
          <cell r="H127">
            <v>33312</v>
          </cell>
          <cell r="I127" t="str">
            <v>29 TAHUN</v>
          </cell>
          <cell r="J127" t="str">
            <v>KRISTEN</v>
          </cell>
          <cell r="K127" t="str">
            <v>NON KONTRAKTOR</v>
          </cell>
          <cell r="L127">
            <v>2</v>
          </cell>
          <cell r="P127" t="str">
            <v>AKTIF</v>
          </cell>
          <cell r="R127" t="str">
            <v>PERAWATAN</v>
          </cell>
          <cell r="S127" t="str">
            <v>BORONGAN</v>
          </cell>
          <cell r="T127" t="str">
            <v>TUNAI</v>
          </cell>
          <cell r="U127" t="str">
            <v>6105031203920002</v>
          </cell>
          <cell r="V127" t="str">
            <v>LOKAL</v>
          </cell>
        </row>
        <row r="128">
          <cell r="B128" t="str">
            <v>GM-00133</v>
          </cell>
          <cell r="C128" t="str">
            <v>YOHANES</v>
          </cell>
          <cell r="E128">
            <v>43349</v>
          </cell>
          <cell r="F128" t="str">
            <v>L</v>
          </cell>
          <cell r="G128" t="str">
            <v>BEMBAN</v>
          </cell>
          <cell r="H128">
            <v>32092</v>
          </cell>
          <cell r="I128" t="str">
            <v>33 TAHUN</v>
          </cell>
          <cell r="J128" t="str">
            <v>KRISTEN</v>
          </cell>
          <cell r="K128" t="str">
            <v>NON KONTRAKTOR</v>
          </cell>
          <cell r="L128">
            <v>2</v>
          </cell>
          <cell r="M128" t="str">
            <v>YOHANES</v>
          </cell>
          <cell r="N128">
            <v>359565032</v>
          </cell>
          <cell r="O128" t="str">
            <v>BNI</v>
          </cell>
          <cell r="P128" t="str">
            <v>AKTIF</v>
          </cell>
          <cell r="R128" t="str">
            <v>PANEN</v>
          </cell>
          <cell r="S128" t="str">
            <v>BORONGAN</v>
          </cell>
          <cell r="T128" t="str">
            <v>TRANSFER</v>
          </cell>
          <cell r="U128" t="str">
            <v>6109061111870002</v>
          </cell>
          <cell r="V128" t="str">
            <v>LOKAL</v>
          </cell>
        </row>
        <row r="129">
          <cell r="B129" t="str">
            <v>GM-00134</v>
          </cell>
          <cell r="C129" t="str">
            <v>YUDISTRA</v>
          </cell>
          <cell r="E129">
            <v>43349</v>
          </cell>
          <cell r="F129" t="str">
            <v>L</v>
          </cell>
          <cell r="G129" t="str">
            <v>LUNGAN</v>
          </cell>
          <cell r="H129">
            <v>33853</v>
          </cell>
          <cell r="I129" t="str">
            <v>28 TAHUN</v>
          </cell>
          <cell r="J129" t="str">
            <v>KRISTEN</v>
          </cell>
          <cell r="K129" t="str">
            <v>NON KONTRAKTOR</v>
          </cell>
          <cell r="L129">
            <v>2</v>
          </cell>
          <cell r="M129" t="str">
            <v>YUDISTRA</v>
          </cell>
          <cell r="N129">
            <v>386799998</v>
          </cell>
          <cell r="O129" t="str">
            <v>BNI</v>
          </cell>
          <cell r="P129" t="str">
            <v>AKTIF</v>
          </cell>
          <cell r="R129" t="str">
            <v>PANEN</v>
          </cell>
          <cell r="S129" t="str">
            <v>BORONGAN</v>
          </cell>
          <cell r="T129" t="str">
            <v>TRANSFER</v>
          </cell>
          <cell r="U129" t="str">
            <v>6109060609920001</v>
          </cell>
          <cell r="V129" t="str">
            <v>LOKAL</v>
          </cell>
        </row>
        <row r="130">
          <cell r="B130" t="str">
            <v>GM-00135</v>
          </cell>
          <cell r="C130" t="str">
            <v>ABDULAH</v>
          </cell>
          <cell r="E130">
            <v>43349</v>
          </cell>
          <cell r="F130" t="str">
            <v>L</v>
          </cell>
          <cell r="G130" t="str">
            <v>BELITANG</v>
          </cell>
          <cell r="H130">
            <v>25020</v>
          </cell>
          <cell r="I130" t="str">
            <v>52 TAHUN</v>
          </cell>
          <cell r="J130" t="str">
            <v>ISLAM</v>
          </cell>
          <cell r="K130" t="str">
            <v>NON KONTRAKTOR</v>
          </cell>
          <cell r="L130">
            <v>3</v>
          </cell>
          <cell r="M130" t="str">
            <v>ABDULAH</v>
          </cell>
          <cell r="N130">
            <v>386796329</v>
          </cell>
          <cell r="O130" t="str">
            <v>BNI</v>
          </cell>
          <cell r="P130" t="str">
            <v>AKTIF</v>
          </cell>
          <cell r="R130" t="str">
            <v>PANEN</v>
          </cell>
          <cell r="S130" t="str">
            <v>BORONGAN</v>
          </cell>
          <cell r="T130" t="str">
            <v>TRANSFER</v>
          </cell>
          <cell r="V130" t="str">
            <v>LOKAL</v>
          </cell>
        </row>
        <row r="131">
          <cell r="B131" t="str">
            <v>GM-00136</v>
          </cell>
          <cell r="C131" t="str">
            <v>ADI BATAVIA</v>
          </cell>
          <cell r="E131">
            <v>43349</v>
          </cell>
          <cell r="F131" t="str">
            <v>L</v>
          </cell>
          <cell r="G131" t="str">
            <v>BEMBAN</v>
          </cell>
          <cell r="H131">
            <v>27961</v>
          </cell>
          <cell r="I131" t="str">
            <v>44 TAHUN</v>
          </cell>
          <cell r="J131" t="str">
            <v>KRISTEN</v>
          </cell>
          <cell r="K131" t="str">
            <v>NON KONTRAKTOR</v>
          </cell>
          <cell r="L131">
            <v>3</v>
          </cell>
          <cell r="P131" t="str">
            <v>AKTIF</v>
          </cell>
          <cell r="R131" t="str">
            <v>PANEN</v>
          </cell>
          <cell r="S131" t="str">
            <v>BORONGAN</v>
          </cell>
          <cell r="T131" t="str">
            <v>TUNAI</v>
          </cell>
          <cell r="U131" t="str">
            <v>6109062007760002</v>
          </cell>
          <cell r="V131" t="str">
            <v>LOKAL</v>
          </cell>
        </row>
        <row r="132">
          <cell r="B132" t="str">
            <v>GM-00137</v>
          </cell>
          <cell r="C132" t="str">
            <v>AHMAD DOY</v>
          </cell>
          <cell r="E132">
            <v>43349</v>
          </cell>
          <cell r="F132" t="str">
            <v>L</v>
          </cell>
          <cell r="I132" t="str">
            <v>121 TAHUN</v>
          </cell>
          <cell r="J132" t="str">
            <v>ISLAM</v>
          </cell>
          <cell r="K132" t="str">
            <v>NON KONTRAKTOR</v>
          </cell>
          <cell r="L132">
            <v>3</v>
          </cell>
          <cell r="M132" t="str">
            <v>AHMAD DOY</v>
          </cell>
          <cell r="N132">
            <v>526011823</v>
          </cell>
          <cell r="O132" t="str">
            <v>BNI</v>
          </cell>
          <cell r="P132" t="str">
            <v>AKTIF</v>
          </cell>
          <cell r="R132" t="str">
            <v>PANEN</v>
          </cell>
          <cell r="S132" t="str">
            <v>BORONGAN</v>
          </cell>
          <cell r="T132" t="str">
            <v>TRANSFER</v>
          </cell>
          <cell r="V132" t="str">
            <v>LOKAL</v>
          </cell>
        </row>
        <row r="133">
          <cell r="B133" t="str">
            <v>GM-00138</v>
          </cell>
          <cell r="C133" t="str">
            <v>ALI BUDI LESTARI</v>
          </cell>
          <cell r="E133">
            <v>43349</v>
          </cell>
          <cell r="F133" t="str">
            <v>L</v>
          </cell>
          <cell r="G133" t="str">
            <v>DEMAK</v>
          </cell>
          <cell r="H133">
            <v>31124</v>
          </cell>
          <cell r="I133" t="str">
            <v>35 TAHUN</v>
          </cell>
          <cell r="J133" t="str">
            <v>ISLAM</v>
          </cell>
          <cell r="K133" t="str">
            <v>NON KONTRAKTOR</v>
          </cell>
          <cell r="L133">
            <v>3</v>
          </cell>
          <cell r="M133" t="str">
            <v>ALI BUDI LESTARI</v>
          </cell>
          <cell r="N133">
            <v>386796341</v>
          </cell>
          <cell r="O133" t="str">
            <v>BNI</v>
          </cell>
          <cell r="P133" t="str">
            <v>AKTIF</v>
          </cell>
          <cell r="R133" t="str">
            <v>PANEN</v>
          </cell>
          <cell r="S133" t="str">
            <v>BORONGAN</v>
          </cell>
          <cell r="T133" t="str">
            <v>TRANSFER</v>
          </cell>
          <cell r="U133" t="str">
            <v>6103011803850001</v>
          </cell>
          <cell r="V133" t="str">
            <v>LOKAL</v>
          </cell>
        </row>
        <row r="134">
          <cell r="B134" t="str">
            <v>GM-00139</v>
          </cell>
          <cell r="C134" t="str">
            <v>ALPIUS</v>
          </cell>
          <cell r="E134">
            <v>43349</v>
          </cell>
          <cell r="F134" t="str">
            <v>L</v>
          </cell>
          <cell r="G134" t="str">
            <v>SERUKAM</v>
          </cell>
          <cell r="H134">
            <v>32911</v>
          </cell>
          <cell r="I134" t="str">
            <v>30 TAHUN</v>
          </cell>
          <cell r="J134" t="str">
            <v>KRISTEN</v>
          </cell>
          <cell r="K134" t="str">
            <v>NON KONTRAKTOR</v>
          </cell>
          <cell r="L134">
            <v>3</v>
          </cell>
          <cell r="M134" t="str">
            <v>ALPIUS</v>
          </cell>
          <cell r="N134">
            <v>386796501</v>
          </cell>
          <cell r="O134" t="str">
            <v>BNI</v>
          </cell>
          <cell r="P134" t="str">
            <v>AKTIF</v>
          </cell>
          <cell r="R134" t="str">
            <v>PANEN</v>
          </cell>
          <cell r="S134" t="str">
            <v>BORONGAN</v>
          </cell>
          <cell r="T134" t="str">
            <v>TRANSFER</v>
          </cell>
          <cell r="U134" t="str">
            <v>6109060702900005</v>
          </cell>
          <cell r="V134" t="str">
            <v>LOKAL</v>
          </cell>
        </row>
        <row r="135">
          <cell r="B135" t="str">
            <v>GM-00140</v>
          </cell>
          <cell r="C135" t="str">
            <v>AMON</v>
          </cell>
          <cell r="E135">
            <v>43349</v>
          </cell>
          <cell r="F135" t="str">
            <v>L</v>
          </cell>
          <cell r="G135" t="str">
            <v>BASONG</v>
          </cell>
          <cell r="H135">
            <v>33055</v>
          </cell>
          <cell r="I135" t="str">
            <v>30 TAHUN</v>
          </cell>
          <cell r="J135" t="str">
            <v>ISLAM</v>
          </cell>
          <cell r="K135" t="str">
            <v>NON KONTRAKTOR</v>
          </cell>
          <cell r="L135">
            <v>3</v>
          </cell>
          <cell r="M135" t="str">
            <v>AMON</v>
          </cell>
          <cell r="N135">
            <v>386796318</v>
          </cell>
          <cell r="O135" t="str">
            <v>BNI</v>
          </cell>
          <cell r="P135" t="str">
            <v>AKTIF</v>
          </cell>
          <cell r="R135" t="str">
            <v>PANEN</v>
          </cell>
          <cell r="S135" t="str">
            <v>BORONGAN</v>
          </cell>
          <cell r="T135" t="str">
            <v>TRANSFER</v>
          </cell>
          <cell r="U135" t="str">
            <v>6109060107900041</v>
          </cell>
          <cell r="V135" t="str">
            <v>LOKAL</v>
          </cell>
        </row>
        <row r="136">
          <cell r="B136" t="str">
            <v>GM-00141</v>
          </cell>
          <cell r="C136" t="str">
            <v>ANAS</v>
          </cell>
          <cell r="E136">
            <v>43349</v>
          </cell>
          <cell r="F136" t="str">
            <v>L</v>
          </cell>
          <cell r="G136" t="str">
            <v>BEMBAN</v>
          </cell>
          <cell r="H136">
            <v>30567</v>
          </cell>
          <cell r="I136" t="str">
            <v>37 TAHUN</v>
          </cell>
          <cell r="J136" t="str">
            <v>KRISTEN</v>
          </cell>
          <cell r="K136" t="str">
            <v>NON KONTRAKTOR</v>
          </cell>
          <cell r="L136">
            <v>3</v>
          </cell>
          <cell r="M136" t="str">
            <v>ANAS</v>
          </cell>
          <cell r="N136">
            <v>386796250</v>
          </cell>
          <cell r="O136" t="str">
            <v>BNI</v>
          </cell>
          <cell r="P136" t="str">
            <v>AKTIF</v>
          </cell>
          <cell r="R136" t="str">
            <v>PANEN</v>
          </cell>
          <cell r="S136" t="str">
            <v>BORONGAN</v>
          </cell>
          <cell r="T136" t="str">
            <v>TRANSFER</v>
          </cell>
          <cell r="U136" t="str">
            <v>6109060809830002</v>
          </cell>
          <cell r="V136" t="str">
            <v>LOKAL</v>
          </cell>
        </row>
        <row r="137">
          <cell r="B137" t="str">
            <v>GM-00142</v>
          </cell>
          <cell r="C137" t="str">
            <v>ANDI</v>
          </cell>
          <cell r="E137">
            <v>43349</v>
          </cell>
          <cell r="F137" t="str">
            <v>L</v>
          </cell>
          <cell r="G137" t="str">
            <v>BASONG</v>
          </cell>
          <cell r="H137">
            <v>33420</v>
          </cell>
          <cell r="I137" t="str">
            <v>29 TAHUN</v>
          </cell>
          <cell r="J137" t="str">
            <v>ISLAM</v>
          </cell>
          <cell r="K137" t="str">
            <v>NON KONTRAKTOR</v>
          </cell>
          <cell r="L137">
            <v>3</v>
          </cell>
          <cell r="M137" t="str">
            <v>ANDI</v>
          </cell>
          <cell r="N137">
            <v>786148759</v>
          </cell>
          <cell r="O137" t="str">
            <v>BNI</v>
          </cell>
          <cell r="P137" t="str">
            <v>AKTIF</v>
          </cell>
          <cell r="R137" t="str">
            <v>PANEN</v>
          </cell>
          <cell r="S137" t="str">
            <v>BORONGAN</v>
          </cell>
          <cell r="T137" t="str">
            <v>TRANSFER</v>
          </cell>
          <cell r="U137" t="str">
            <v>6109060107910043</v>
          </cell>
          <cell r="V137" t="str">
            <v>LOKAL</v>
          </cell>
        </row>
        <row r="138">
          <cell r="B138" t="str">
            <v>GM-00143</v>
          </cell>
          <cell r="C138" t="str">
            <v>ANDIRIUS</v>
          </cell>
          <cell r="E138">
            <v>43349</v>
          </cell>
          <cell r="F138" t="str">
            <v>L</v>
          </cell>
          <cell r="G138" t="str">
            <v>BEMBAN</v>
          </cell>
          <cell r="H138">
            <v>32586</v>
          </cell>
          <cell r="I138" t="str">
            <v>31 TAHUN</v>
          </cell>
          <cell r="J138" t="str">
            <v>KRISTEN</v>
          </cell>
          <cell r="K138" t="str">
            <v>NON KONTRAKTOR</v>
          </cell>
          <cell r="L138">
            <v>3</v>
          </cell>
          <cell r="M138" t="str">
            <v>ANDIRIUS</v>
          </cell>
          <cell r="N138">
            <v>450201330</v>
          </cell>
          <cell r="O138" t="str">
            <v>BNI</v>
          </cell>
          <cell r="P138" t="str">
            <v>AKTIF</v>
          </cell>
          <cell r="R138" t="str">
            <v>PANEN</v>
          </cell>
          <cell r="S138" t="str">
            <v>BORONGAN</v>
          </cell>
          <cell r="T138" t="str">
            <v>TRANSFER</v>
          </cell>
          <cell r="U138" t="str">
            <v>6109061903890002</v>
          </cell>
          <cell r="V138" t="str">
            <v>LOKAL</v>
          </cell>
        </row>
        <row r="139">
          <cell r="B139" t="str">
            <v>GM-00144</v>
          </cell>
          <cell r="C139" t="str">
            <v>ASON</v>
          </cell>
          <cell r="E139">
            <v>43349</v>
          </cell>
          <cell r="F139" t="str">
            <v>L</v>
          </cell>
          <cell r="G139" t="str">
            <v>DANDI</v>
          </cell>
          <cell r="H139">
            <v>30142</v>
          </cell>
          <cell r="I139" t="str">
            <v>38 TAHUN</v>
          </cell>
          <cell r="J139" t="str">
            <v>KRISTEN</v>
          </cell>
          <cell r="K139" t="str">
            <v>NON KONTRAKTOR</v>
          </cell>
          <cell r="L139">
            <v>3</v>
          </cell>
          <cell r="M139" t="str">
            <v>ASON</v>
          </cell>
          <cell r="N139">
            <v>359566104</v>
          </cell>
          <cell r="O139" t="str">
            <v>BNI</v>
          </cell>
          <cell r="P139" t="str">
            <v>AKTIF</v>
          </cell>
          <cell r="R139" t="str">
            <v>PANEN</v>
          </cell>
          <cell r="S139" t="str">
            <v>BORONGAN</v>
          </cell>
          <cell r="T139" t="str">
            <v>TRANSFER</v>
          </cell>
          <cell r="U139" t="str">
            <v>6109061007820001</v>
          </cell>
          <cell r="V139" t="str">
            <v>LOKAL</v>
          </cell>
        </row>
        <row r="140">
          <cell r="B140" t="str">
            <v>GM-00145</v>
          </cell>
          <cell r="C140" t="str">
            <v>AYANG</v>
          </cell>
          <cell r="E140">
            <v>43349</v>
          </cell>
          <cell r="F140" t="str">
            <v>P</v>
          </cell>
          <cell r="I140" t="str">
            <v>121 TAHUN</v>
          </cell>
          <cell r="J140" t="str">
            <v>KRISTEN</v>
          </cell>
          <cell r="K140" t="str">
            <v>NON KONTRAKTOR</v>
          </cell>
          <cell r="L140">
            <v>3</v>
          </cell>
          <cell r="P140" t="str">
            <v>AKTIF</v>
          </cell>
          <cell r="R140" t="str">
            <v>PERAWATAN</v>
          </cell>
          <cell r="S140" t="str">
            <v>BORONGAN</v>
          </cell>
          <cell r="T140" t="str">
            <v>TUNAI</v>
          </cell>
          <cell r="V140" t="str">
            <v>LOKAL</v>
          </cell>
        </row>
        <row r="141">
          <cell r="B141" t="str">
            <v>GM-00146</v>
          </cell>
          <cell r="C141" t="str">
            <v>BAMBANG IRAWAN</v>
          </cell>
          <cell r="E141">
            <v>43349</v>
          </cell>
          <cell r="F141" t="str">
            <v>L</v>
          </cell>
          <cell r="I141" t="str">
            <v>121 TAHUN</v>
          </cell>
          <cell r="J141" t="str">
            <v>KRISTEN</v>
          </cell>
          <cell r="K141" t="str">
            <v>NON KONTRAKTOR</v>
          </cell>
          <cell r="L141">
            <v>3</v>
          </cell>
          <cell r="M141" t="str">
            <v>BAMBANG IRAWAN</v>
          </cell>
          <cell r="N141">
            <v>386796421</v>
          </cell>
          <cell r="O141" t="str">
            <v>BNI</v>
          </cell>
          <cell r="P141" t="str">
            <v>AKTIF</v>
          </cell>
          <cell r="R141" t="str">
            <v>PANEN</v>
          </cell>
          <cell r="S141" t="str">
            <v>BORONGAN</v>
          </cell>
          <cell r="T141" t="str">
            <v>TRANSFER</v>
          </cell>
          <cell r="V141" t="str">
            <v>LOKAL</v>
          </cell>
        </row>
        <row r="142">
          <cell r="B142" t="str">
            <v>GM-00147</v>
          </cell>
          <cell r="C142" t="str">
            <v>BASRI A.</v>
          </cell>
          <cell r="E142">
            <v>43349</v>
          </cell>
          <cell r="F142" t="str">
            <v>L</v>
          </cell>
          <cell r="I142" t="str">
            <v>121 TAHUN</v>
          </cell>
          <cell r="J142" t="str">
            <v>ISLAM</v>
          </cell>
          <cell r="K142" t="str">
            <v>NON KONTRAKTOR</v>
          </cell>
          <cell r="L142">
            <v>3</v>
          </cell>
          <cell r="P142" t="str">
            <v>AKTIF</v>
          </cell>
          <cell r="R142" t="str">
            <v>PERAWATAN</v>
          </cell>
          <cell r="S142" t="str">
            <v>BORONGAN</v>
          </cell>
          <cell r="T142" t="str">
            <v>TUNAI</v>
          </cell>
          <cell r="V142" t="str">
            <v>LOKAL</v>
          </cell>
        </row>
        <row r="143">
          <cell r="B143" t="str">
            <v>GM-00148</v>
          </cell>
          <cell r="C143" t="str">
            <v>DANI</v>
          </cell>
          <cell r="E143">
            <v>43349</v>
          </cell>
          <cell r="F143" t="str">
            <v>L</v>
          </cell>
          <cell r="I143" t="str">
            <v>121 TAHUN</v>
          </cell>
          <cell r="J143" t="str">
            <v>KRISTEN</v>
          </cell>
          <cell r="K143" t="str">
            <v>NON KONTRAKTOR</v>
          </cell>
          <cell r="L143">
            <v>3</v>
          </cell>
          <cell r="P143" t="str">
            <v>AKTIF</v>
          </cell>
          <cell r="R143" t="str">
            <v>PERAWATAN</v>
          </cell>
          <cell r="S143" t="str">
            <v>BORONGAN</v>
          </cell>
          <cell r="T143" t="str">
            <v>TUNAI</v>
          </cell>
          <cell r="V143" t="str">
            <v>LOKAL</v>
          </cell>
        </row>
        <row r="144">
          <cell r="B144" t="str">
            <v>GM-00149</v>
          </cell>
          <cell r="C144" t="str">
            <v>DARMAWAN</v>
          </cell>
          <cell r="E144">
            <v>43349</v>
          </cell>
          <cell r="F144" t="str">
            <v>L</v>
          </cell>
          <cell r="G144" t="str">
            <v>BEMBAN</v>
          </cell>
          <cell r="H144">
            <v>30133</v>
          </cell>
          <cell r="I144" t="str">
            <v>38 TAHUN</v>
          </cell>
          <cell r="J144" t="str">
            <v>KRISTEN</v>
          </cell>
          <cell r="K144" t="str">
            <v>NON KONTRAKTOR</v>
          </cell>
          <cell r="L144">
            <v>3</v>
          </cell>
          <cell r="M144" t="str">
            <v>DARMAWAN</v>
          </cell>
          <cell r="N144">
            <v>386795983</v>
          </cell>
          <cell r="O144" t="str">
            <v>BNI</v>
          </cell>
          <cell r="P144" t="str">
            <v>AKTIF</v>
          </cell>
          <cell r="R144" t="str">
            <v>PANEN</v>
          </cell>
          <cell r="S144" t="str">
            <v>BORONGAN</v>
          </cell>
          <cell r="T144" t="str">
            <v>TRANSFER</v>
          </cell>
          <cell r="U144" t="str">
            <v>6109060107820054</v>
          </cell>
          <cell r="V144" t="str">
            <v>LOKAL</v>
          </cell>
        </row>
        <row r="145">
          <cell r="B145" t="str">
            <v>GM-00150</v>
          </cell>
          <cell r="C145" t="str">
            <v>DEDI</v>
          </cell>
          <cell r="E145">
            <v>43349</v>
          </cell>
          <cell r="F145" t="str">
            <v>L</v>
          </cell>
          <cell r="G145" t="str">
            <v>BATUK</v>
          </cell>
          <cell r="H145">
            <v>36142</v>
          </cell>
          <cell r="I145" t="str">
            <v>22 TAHUN</v>
          </cell>
          <cell r="J145" t="str">
            <v>ISLAM</v>
          </cell>
          <cell r="K145" t="str">
            <v>NON KONTRAKTOR</v>
          </cell>
          <cell r="L145">
            <v>3</v>
          </cell>
          <cell r="M145" t="str">
            <v>DEDI</v>
          </cell>
          <cell r="N145">
            <v>495808808</v>
          </cell>
          <cell r="O145" t="str">
            <v>BNI</v>
          </cell>
          <cell r="P145" t="str">
            <v>AKTIF</v>
          </cell>
          <cell r="R145" t="str">
            <v>PANEN</v>
          </cell>
          <cell r="S145" t="str">
            <v>BORONGAN</v>
          </cell>
          <cell r="T145" t="str">
            <v>TRANSFER</v>
          </cell>
          <cell r="V145" t="str">
            <v>LOKAL</v>
          </cell>
        </row>
        <row r="146">
          <cell r="B146" t="str">
            <v>GM-00151</v>
          </cell>
          <cell r="C146" t="str">
            <v>DIKI EMAN</v>
          </cell>
          <cell r="E146">
            <v>43349</v>
          </cell>
          <cell r="F146" t="str">
            <v>L</v>
          </cell>
          <cell r="G146" t="str">
            <v>SUNGAI ANTU RANGAH</v>
          </cell>
          <cell r="H146">
            <v>32122</v>
          </cell>
          <cell r="I146" t="str">
            <v>33 TAHUN</v>
          </cell>
          <cell r="J146" t="str">
            <v>KRISTEN</v>
          </cell>
          <cell r="K146" t="str">
            <v>NON KONTRAKTOR</v>
          </cell>
          <cell r="L146">
            <v>3</v>
          </cell>
          <cell r="M146" t="str">
            <v>DIKI EMAN</v>
          </cell>
          <cell r="N146">
            <v>386796169</v>
          </cell>
          <cell r="O146" t="str">
            <v>BNI</v>
          </cell>
          <cell r="P146" t="str">
            <v>AKTIF</v>
          </cell>
          <cell r="R146" t="str">
            <v>PANEN</v>
          </cell>
          <cell r="S146" t="str">
            <v>BORONGAN</v>
          </cell>
          <cell r="T146" t="str">
            <v>TRANSFER</v>
          </cell>
          <cell r="U146" t="str">
            <v>6109061112870005</v>
          </cell>
          <cell r="V146" t="str">
            <v>LOKAL</v>
          </cell>
        </row>
        <row r="147">
          <cell r="B147" t="str">
            <v>GM-00152</v>
          </cell>
          <cell r="C147" t="str">
            <v>DIMAN</v>
          </cell>
          <cell r="E147">
            <v>43349</v>
          </cell>
          <cell r="F147" t="str">
            <v>L</v>
          </cell>
          <cell r="I147" t="str">
            <v>121 TAHUN</v>
          </cell>
          <cell r="J147" t="str">
            <v>KRISTEN</v>
          </cell>
          <cell r="K147" t="str">
            <v>NON KONTRAKTOR</v>
          </cell>
          <cell r="L147">
            <v>3</v>
          </cell>
          <cell r="M147" t="str">
            <v>DIMAN</v>
          </cell>
          <cell r="N147">
            <v>450189752</v>
          </cell>
          <cell r="O147" t="str">
            <v>BNI</v>
          </cell>
          <cell r="P147" t="str">
            <v>AKTIF</v>
          </cell>
          <cell r="R147" t="str">
            <v>PANEN</v>
          </cell>
          <cell r="S147" t="str">
            <v>BORONGAN</v>
          </cell>
          <cell r="T147" t="str">
            <v>TRANSFER</v>
          </cell>
          <cell r="V147" t="str">
            <v>LOKAL</v>
          </cell>
        </row>
        <row r="148">
          <cell r="B148" t="str">
            <v>GM-00153</v>
          </cell>
          <cell r="C148" t="str">
            <v>DONATUS</v>
          </cell>
          <cell r="E148">
            <v>43349</v>
          </cell>
          <cell r="F148" t="str">
            <v>L</v>
          </cell>
          <cell r="G148" t="str">
            <v>RANSA</v>
          </cell>
          <cell r="H148">
            <v>27580</v>
          </cell>
          <cell r="I148" t="str">
            <v>45 TAHUN</v>
          </cell>
          <cell r="J148" t="str">
            <v>KRISTEN</v>
          </cell>
          <cell r="K148" t="str">
            <v>NON KONTRAKTOR</v>
          </cell>
          <cell r="L148">
            <v>3</v>
          </cell>
          <cell r="M148" t="str">
            <v>NATUS</v>
          </cell>
          <cell r="N148">
            <v>386796227</v>
          </cell>
          <cell r="O148" t="str">
            <v>BNI</v>
          </cell>
          <cell r="P148" t="str">
            <v>AKTIF</v>
          </cell>
          <cell r="R148" t="str">
            <v>PANEN</v>
          </cell>
          <cell r="S148" t="str">
            <v>BORONGAN</v>
          </cell>
          <cell r="T148" t="str">
            <v>TRANSFER</v>
          </cell>
          <cell r="V148" t="str">
            <v>LOKAL</v>
          </cell>
        </row>
        <row r="149">
          <cell r="B149" t="str">
            <v>GM-00154</v>
          </cell>
          <cell r="C149" t="str">
            <v>DONI</v>
          </cell>
          <cell r="E149">
            <v>43349</v>
          </cell>
          <cell r="F149" t="str">
            <v>L</v>
          </cell>
          <cell r="I149" t="str">
            <v>121 TAHUN</v>
          </cell>
          <cell r="J149" t="str">
            <v>KRISTEN</v>
          </cell>
          <cell r="K149" t="str">
            <v>NON KONTRAKTOR</v>
          </cell>
          <cell r="L149">
            <v>3</v>
          </cell>
          <cell r="M149" t="str">
            <v>DONI</v>
          </cell>
          <cell r="N149">
            <v>911010436</v>
          </cell>
          <cell r="O149" t="str">
            <v>BNI</v>
          </cell>
          <cell r="P149" t="str">
            <v>AKTIF</v>
          </cell>
          <cell r="R149" t="str">
            <v>PANEN</v>
          </cell>
          <cell r="S149" t="str">
            <v>BORONGAN</v>
          </cell>
          <cell r="T149" t="str">
            <v>TRANSFER</v>
          </cell>
          <cell r="V149" t="str">
            <v>LOKAL</v>
          </cell>
        </row>
        <row r="150">
          <cell r="B150" t="str">
            <v>GM-00155</v>
          </cell>
          <cell r="C150" t="str">
            <v>EDISON. A</v>
          </cell>
          <cell r="E150">
            <v>43349</v>
          </cell>
          <cell r="F150" t="str">
            <v>L</v>
          </cell>
          <cell r="G150" t="str">
            <v>DANDI</v>
          </cell>
          <cell r="H150">
            <v>27580</v>
          </cell>
          <cell r="I150" t="str">
            <v>45 TAHUN</v>
          </cell>
          <cell r="J150" t="str">
            <v>KRISTEN</v>
          </cell>
          <cell r="K150" t="str">
            <v>NON KONTRAKTOR</v>
          </cell>
          <cell r="L150">
            <v>3</v>
          </cell>
          <cell r="M150" t="str">
            <v>EDISON. A</v>
          </cell>
          <cell r="N150">
            <v>362420570</v>
          </cell>
          <cell r="O150" t="str">
            <v>BNI</v>
          </cell>
          <cell r="P150" t="str">
            <v>AKTIF</v>
          </cell>
          <cell r="R150" t="str">
            <v>PANEN</v>
          </cell>
          <cell r="S150" t="str">
            <v>BORONGAN</v>
          </cell>
          <cell r="T150" t="str">
            <v>TRANSFER</v>
          </cell>
          <cell r="U150" t="str">
            <v>6109060507750005</v>
          </cell>
          <cell r="V150" t="str">
            <v>LOKAL</v>
          </cell>
        </row>
        <row r="151">
          <cell r="B151" t="str">
            <v>GM-00156</v>
          </cell>
          <cell r="C151" t="str">
            <v>EMILIA</v>
          </cell>
          <cell r="E151">
            <v>43349</v>
          </cell>
          <cell r="F151" t="str">
            <v>P</v>
          </cell>
          <cell r="G151" t="str">
            <v>DANDI</v>
          </cell>
          <cell r="H151">
            <v>30205</v>
          </cell>
          <cell r="I151" t="str">
            <v>38 TAHUN</v>
          </cell>
          <cell r="J151" t="str">
            <v>KRISTEN</v>
          </cell>
          <cell r="K151" t="str">
            <v>NON KONTRAKTOR</v>
          </cell>
          <cell r="L151">
            <v>3</v>
          </cell>
          <cell r="P151" t="str">
            <v>AKTIF</v>
          </cell>
          <cell r="R151" t="str">
            <v>PERAWATAN</v>
          </cell>
          <cell r="S151" t="str">
            <v>BORONGAN</v>
          </cell>
          <cell r="T151" t="str">
            <v>TUNAI</v>
          </cell>
          <cell r="U151" t="str">
            <v>6109065109820002</v>
          </cell>
          <cell r="V151" t="str">
            <v>LOKAL</v>
          </cell>
        </row>
        <row r="152">
          <cell r="B152" t="str">
            <v>GM-00157</v>
          </cell>
          <cell r="C152" t="str">
            <v>ENDANG MASHUD HARDIANSYAH</v>
          </cell>
          <cell r="E152">
            <v>43349</v>
          </cell>
          <cell r="F152" t="str">
            <v>L</v>
          </cell>
          <cell r="G152" t="str">
            <v>BATUK</v>
          </cell>
          <cell r="H152">
            <v>35493</v>
          </cell>
          <cell r="I152" t="str">
            <v>23 TAHUN</v>
          </cell>
          <cell r="J152" t="str">
            <v>ISLAM</v>
          </cell>
          <cell r="K152" t="str">
            <v>NON KONTRAKTOR</v>
          </cell>
          <cell r="L152">
            <v>3</v>
          </cell>
          <cell r="M152" t="str">
            <v>ENDANG MASHUD HARDIANSYAH</v>
          </cell>
          <cell r="N152">
            <v>450199613</v>
          </cell>
          <cell r="O152" t="str">
            <v>BNI</v>
          </cell>
          <cell r="P152" t="str">
            <v>AKTIF</v>
          </cell>
          <cell r="R152" t="str">
            <v>PANEN</v>
          </cell>
          <cell r="S152" t="str">
            <v>BORONGAN</v>
          </cell>
          <cell r="T152" t="str">
            <v>TRANSFER</v>
          </cell>
          <cell r="U152" t="str">
            <v>6109060403970002</v>
          </cell>
          <cell r="V152" t="str">
            <v>LOKAL</v>
          </cell>
        </row>
        <row r="153">
          <cell r="B153" t="str">
            <v>GM-00158</v>
          </cell>
          <cell r="C153" t="str">
            <v>ESRA. E</v>
          </cell>
          <cell r="E153">
            <v>43349</v>
          </cell>
          <cell r="F153" t="str">
            <v>L</v>
          </cell>
          <cell r="G153" t="str">
            <v>PAKIT MULAU</v>
          </cell>
          <cell r="H153">
            <v>25541</v>
          </cell>
          <cell r="I153" t="str">
            <v>51 TAHUN</v>
          </cell>
          <cell r="J153" t="str">
            <v>KRISTEN</v>
          </cell>
          <cell r="K153" t="str">
            <v>NON KONTRAKTOR</v>
          </cell>
          <cell r="L153">
            <v>3</v>
          </cell>
          <cell r="M153" t="str">
            <v>ESRA. E</v>
          </cell>
          <cell r="N153">
            <v>386796657</v>
          </cell>
          <cell r="O153" t="str">
            <v>BNI</v>
          </cell>
          <cell r="P153" t="str">
            <v>AKTIF</v>
          </cell>
          <cell r="R153" t="str">
            <v>PANEN</v>
          </cell>
          <cell r="S153" t="str">
            <v>BORONGAN</v>
          </cell>
          <cell r="T153" t="str">
            <v>TRANSFER</v>
          </cell>
          <cell r="U153" t="str">
            <v>6109060412690001</v>
          </cell>
          <cell r="V153" t="str">
            <v>LOKAL</v>
          </cell>
        </row>
        <row r="154">
          <cell r="B154" t="str">
            <v>GM-00159</v>
          </cell>
          <cell r="C154" t="str">
            <v>FILIPUS SAPUTRA</v>
          </cell>
          <cell r="E154">
            <v>43349</v>
          </cell>
          <cell r="F154" t="str">
            <v>L</v>
          </cell>
          <cell r="G154" t="str">
            <v>BEMBAN</v>
          </cell>
          <cell r="H154">
            <v>31774</v>
          </cell>
          <cell r="I154" t="str">
            <v>34 TAHUN</v>
          </cell>
          <cell r="J154" t="str">
            <v>KRISTEN</v>
          </cell>
          <cell r="K154" t="str">
            <v>NON KONTRAKTOR</v>
          </cell>
          <cell r="L154">
            <v>3</v>
          </cell>
          <cell r="M154" t="str">
            <v>FILIPUS SAPUTRA</v>
          </cell>
          <cell r="N154">
            <v>386796012</v>
          </cell>
          <cell r="O154" t="str">
            <v>BNI</v>
          </cell>
          <cell r="P154" t="str">
            <v>AKTIF</v>
          </cell>
          <cell r="R154" t="str">
            <v>PANEN</v>
          </cell>
          <cell r="S154" t="str">
            <v>BORONGAN</v>
          </cell>
          <cell r="T154" t="str">
            <v>TRANSFER</v>
          </cell>
          <cell r="U154" t="str">
            <v>6109062812860001</v>
          </cell>
          <cell r="V154" t="str">
            <v>LOKAL</v>
          </cell>
        </row>
        <row r="155">
          <cell r="B155" t="str">
            <v>GM-00160</v>
          </cell>
          <cell r="C155" t="str">
            <v>FRANCISKUS AMIN</v>
          </cell>
          <cell r="E155">
            <v>43349</v>
          </cell>
          <cell r="F155" t="str">
            <v>L</v>
          </cell>
          <cell r="G155" t="str">
            <v>SEBURUK PUTIH</v>
          </cell>
          <cell r="H155">
            <v>33557</v>
          </cell>
          <cell r="I155" t="str">
            <v>29 TAHUN</v>
          </cell>
          <cell r="J155" t="str">
            <v>KRISTEN</v>
          </cell>
          <cell r="K155" t="str">
            <v>NON KONTRAKTOR</v>
          </cell>
          <cell r="L155">
            <v>3</v>
          </cell>
          <cell r="M155" t="str">
            <v>FRANCISKUS AMIN</v>
          </cell>
          <cell r="N155">
            <v>786120233</v>
          </cell>
          <cell r="O155" t="str">
            <v>BNI</v>
          </cell>
          <cell r="P155" t="str">
            <v>AKTIF</v>
          </cell>
          <cell r="R155" t="str">
            <v>PANEN</v>
          </cell>
          <cell r="S155" t="str">
            <v>BORONGAN</v>
          </cell>
          <cell r="T155" t="str">
            <v>TRANSFER</v>
          </cell>
          <cell r="U155" t="str">
            <v>6109061511910006</v>
          </cell>
          <cell r="V155" t="str">
            <v>LOKAL</v>
          </cell>
        </row>
        <row r="156">
          <cell r="B156" t="str">
            <v>GM-00161</v>
          </cell>
          <cell r="C156" t="str">
            <v>HARIANDI</v>
          </cell>
          <cell r="E156">
            <v>43349</v>
          </cell>
          <cell r="F156" t="str">
            <v>L</v>
          </cell>
          <cell r="G156" t="str">
            <v>DANDI</v>
          </cell>
          <cell r="H156">
            <v>35570</v>
          </cell>
          <cell r="I156" t="str">
            <v>23 TAHUN</v>
          </cell>
          <cell r="J156" t="str">
            <v>KRISTEN</v>
          </cell>
          <cell r="K156" t="str">
            <v>NON KONTRAKTOR</v>
          </cell>
          <cell r="L156">
            <v>3</v>
          </cell>
          <cell r="M156" t="str">
            <v>HARIANDI</v>
          </cell>
          <cell r="N156">
            <v>469704312</v>
          </cell>
          <cell r="O156" t="str">
            <v>BNI</v>
          </cell>
          <cell r="P156" t="str">
            <v>AKTIF</v>
          </cell>
          <cell r="R156" t="str">
            <v>PANEN</v>
          </cell>
          <cell r="S156" t="str">
            <v>BORONGAN</v>
          </cell>
          <cell r="T156" t="str">
            <v>TRANSFER</v>
          </cell>
          <cell r="U156" t="str">
            <v>6109062006770001</v>
          </cell>
          <cell r="V156" t="str">
            <v>LOKAL</v>
          </cell>
        </row>
        <row r="157">
          <cell r="B157" t="str">
            <v>GM-00162</v>
          </cell>
          <cell r="C157" t="str">
            <v>RIANSYAH KUDAI</v>
          </cell>
          <cell r="E157">
            <v>43349</v>
          </cell>
          <cell r="F157" t="str">
            <v>L</v>
          </cell>
          <cell r="G157" t="str">
            <v>SINGKAM</v>
          </cell>
          <cell r="H157">
            <v>29409</v>
          </cell>
          <cell r="I157" t="str">
            <v>40 TAHUN</v>
          </cell>
          <cell r="J157" t="str">
            <v>ISLAM</v>
          </cell>
          <cell r="K157" t="str">
            <v>NON KONTRAKTOR</v>
          </cell>
          <cell r="L157">
            <v>3</v>
          </cell>
          <cell r="M157" t="str">
            <v>RIANSYAH KUDAI</v>
          </cell>
          <cell r="N157">
            <v>386796216</v>
          </cell>
          <cell r="O157" t="str">
            <v>BNI</v>
          </cell>
          <cell r="P157" t="str">
            <v>AKTIF</v>
          </cell>
          <cell r="R157" t="str">
            <v>PANEN</v>
          </cell>
          <cell r="S157" t="str">
            <v>BORONGAN</v>
          </cell>
          <cell r="T157" t="str">
            <v>TRANSFER</v>
          </cell>
          <cell r="U157" t="str">
            <v>6109060707800004</v>
          </cell>
          <cell r="V157" t="str">
            <v>LOKAL</v>
          </cell>
        </row>
        <row r="158">
          <cell r="B158" t="str">
            <v>GM-00163</v>
          </cell>
          <cell r="C158" t="str">
            <v>HENNOH. M</v>
          </cell>
          <cell r="E158">
            <v>43349</v>
          </cell>
          <cell r="F158" t="str">
            <v>L</v>
          </cell>
          <cell r="G158" t="str">
            <v>DANDI</v>
          </cell>
          <cell r="H158">
            <v>29381</v>
          </cell>
          <cell r="I158" t="str">
            <v>40 TAHUN</v>
          </cell>
          <cell r="J158" t="str">
            <v>KRISTEN</v>
          </cell>
          <cell r="K158" t="str">
            <v>NON KONTRAKTOR</v>
          </cell>
          <cell r="L158">
            <v>3</v>
          </cell>
          <cell r="M158" t="str">
            <v>HENNOH. M</v>
          </cell>
          <cell r="N158">
            <v>459139247</v>
          </cell>
          <cell r="O158" t="str">
            <v>BNI</v>
          </cell>
          <cell r="P158" t="str">
            <v>AKTIF</v>
          </cell>
          <cell r="R158" t="str">
            <v>PANEN</v>
          </cell>
          <cell r="S158" t="str">
            <v>BORONGAN</v>
          </cell>
          <cell r="T158" t="str">
            <v>TRANSFER</v>
          </cell>
          <cell r="U158" t="str">
            <v>6109060906800001</v>
          </cell>
          <cell r="V158" t="str">
            <v>LOKAL</v>
          </cell>
        </row>
        <row r="159">
          <cell r="B159" t="str">
            <v>GM-00164</v>
          </cell>
          <cell r="C159" t="str">
            <v>HERMANTO DULUB</v>
          </cell>
          <cell r="E159">
            <v>43349</v>
          </cell>
          <cell r="F159" t="str">
            <v>L</v>
          </cell>
          <cell r="G159" t="str">
            <v>RANSA</v>
          </cell>
          <cell r="H159">
            <v>32230</v>
          </cell>
          <cell r="I159" t="str">
            <v>32 TAHUN</v>
          </cell>
          <cell r="J159" t="str">
            <v>KRISTEN</v>
          </cell>
          <cell r="K159" t="str">
            <v>NON KONTRAKTOR</v>
          </cell>
          <cell r="L159">
            <v>3</v>
          </cell>
          <cell r="M159" t="str">
            <v>HERMANTO DULUB</v>
          </cell>
          <cell r="N159">
            <v>386796125</v>
          </cell>
          <cell r="O159" t="str">
            <v>BNI</v>
          </cell>
          <cell r="P159" t="str">
            <v>AKTIF</v>
          </cell>
          <cell r="R159" t="str">
            <v>PANEN</v>
          </cell>
          <cell r="S159" t="str">
            <v>BORONGAN</v>
          </cell>
          <cell r="T159" t="str">
            <v>TRANSFER</v>
          </cell>
          <cell r="U159" t="str">
            <v>6109062803880001</v>
          </cell>
          <cell r="V159" t="str">
            <v>LOKAL</v>
          </cell>
        </row>
        <row r="160">
          <cell r="B160" t="str">
            <v>GM-00165</v>
          </cell>
          <cell r="C160" t="str">
            <v>HERO</v>
          </cell>
          <cell r="E160">
            <v>43349</v>
          </cell>
          <cell r="F160" t="str">
            <v>L</v>
          </cell>
          <cell r="G160" t="str">
            <v>BEMBAN</v>
          </cell>
          <cell r="H160">
            <v>32361</v>
          </cell>
          <cell r="I160" t="str">
            <v>32 TAHUN</v>
          </cell>
          <cell r="J160" t="str">
            <v>KRISTEN</v>
          </cell>
          <cell r="K160" t="str">
            <v>NON KONTRAKTOR</v>
          </cell>
          <cell r="L160">
            <v>3</v>
          </cell>
          <cell r="M160" t="str">
            <v>HERO</v>
          </cell>
          <cell r="N160">
            <v>359564797</v>
          </cell>
          <cell r="O160" t="str">
            <v>BNI</v>
          </cell>
          <cell r="P160" t="str">
            <v>AKTIF</v>
          </cell>
          <cell r="R160" t="str">
            <v>PANEN</v>
          </cell>
          <cell r="S160" t="str">
            <v>BORONGAN</v>
          </cell>
          <cell r="T160" t="str">
            <v>TRANSFER</v>
          </cell>
          <cell r="U160" t="str">
            <v>6109060608880003</v>
          </cell>
          <cell r="V160" t="str">
            <v>LOKAL</v>
          </cell>
        </row>
        <row r="161">
          <cell r="B161" t="str">
            <v>GM-00166</v>
          </cell>
          <cell r="C161" t="str">
            <v>HERON WISATA</v>
          </cell>
          <cell r="E161">
            <v>43349</v>
          </cell>
          <cell r="F161" t="str">
            <v>L</v>
          </cell>
          <cell r="G161" t="str">
            <v>RANDAU</v>
          </cell>
          <cell r="H161">
            <v>32105</v>
          </cell>
          <cell r="I161" t="str">
            <v>33 TAHUN</v>
          </cell>
          <cell r="J161" t="str">
            <v>ISLAM</v>
          </cell>
          <cell r="K161" t="str">
            <v>NON KONTRAKTOR</v>
          </cell>
          <cell r="L161">
            <v>3</v>
          </cell>
          <cell r="M161" t="str">
            <v>HERON WISATA</v>
          </cell>
          <cell r="N161">
            <v>538564240</v>
          </cell>
          <cell r="O161" t="str">
            <v>BNI</v>
          </cell>
          <cell r="P161" t="str">
            <v>AKTIF</v>
          </cell>
          <cell r="R161" t="str">
            <v>PANEN</v>
          </cell>
          <cell r="S161" t="str">
            <v>BORONGAN</v>
          </cell>
          <cell r="T161" t="str">
            <v>TRANSFER</v>
          </cell>
          <cell r="U161" t="str">
            <v>6109062411870001</v>
          </cell>
          <cell r="V161" t="str">
            <v>LOKAL</v>
          </cell>
        </row>
        <row r="162">
          <cell r="B162" t="str">
            <v>GM-00167</v>
          </cell>
          <cell r="C162" t="str">
            <v>IDA PARIDA</v>
          </cell>
          <cell r="E162">
            <v>43349</v>
          </cell>
          <cell r="F162" t="str">
            <v>P</v>
          </cell>
          <cell r="I162" t="str">
            <v>121 TAHUN</v>
          </cell>
          <cell r="J162" t="str">
            <v>ISLAM</v>
          </cell>
          <cell r="K162" t="str">
            <v>NON KONTRAKTOR</v>
          </cell>
          <cell r="L162">
            <v>3</v>
          </cell>
          <cell r="P162" t="str">
            <v>AKTIF</v>
          </cell>
          <cell r="R162" t="str">
            <v>PERAWATAN</v>
          </cell>
          <cell r="S162" t="str">
            <v>BORONGAN</v>
          </cell>
          <cell r="T162" t="str">
            <v>TUNAI</v>
          </cell>
          <cell r="V162" t="str">
            <v>LOKAL</v>
          </cell>
        </row>
        <row r="163">
          <cell r="B163" t="str">
            <v>GM-00168</v>
          </cell>
          <cell r="C163" t="str">
            <v>INDI</v>
          </cell>
          <cell r="E163">
            <v>43349</v>
          </cell>
          <cell r="F163" t="str">
            <v>L</v>
          </cell>
          <cell r="G163" t="str">
            <v>BEMBAN</v>
          </cell>
          <cell r="H163">
            <v>29092</v>
          </cell>
          <cell r="I163" t="str">
            <v>41 TAHUN</v>
          </cell>
          <cell r="J163" t="str">
            <v>KRISTEN</v>
          </cell>
          <cell r="K163" t="str">
            <v>NON KONTRAKTOR</v>
          </cell>
          <cell r="L163">
            <v>3</v>
          </cell>
          <cell r="M163" t="str">
            <v>INDI</v>
          </cell>
          <cell r="N163">
            <v>386796136</v>
          </cell>
          <cell r="O163" t="str">
            <v>BNI</v>
          </cell>
          <cell r="P163" t="str">
            <v>AKTIF</v>
          </cell>
          <cell r="R163" t="str">
            <v>PANEN</v>
          </cell>
          <cell r="S163" t="str">
            <v>BORONGAN</v>
          </cell>
          <cell r="T163" t="str">
            <v>TRANSFER</v>
          </cell>
          <cell r="U163" t="str">
            <v>6109062506790001</v>
          </cell>
          <cell r="V163" t="str">
            <v>LOKAL</v>
          </cell>
        </row>
        <row r="164">
          <cell r="B164" t="str">
            <v>GM-00169</v>
          </cell>
          <cell r="C164" t="str">
            <v>JAUWADI</v>
          </cell>
          <cell r="E164">
            <v>43349</v>
          </cell>
          <cell r="F164" t="str">
            <v>L</v>
          </cell>
          <cell r="G164" t="str">
            <v>BATUK</v>
          </cell>
          <cell r="H164">
            <v>30546</v>
          </cell>
          <cell r="I164" t="str">
            <v>37 TAHUN</v>
          </cell>
          <cell r="J164" t="str">
            <v>ISLAM</v>
          </cell>
          <cell r="K164" t="str">
            <v>NON KONTRAKTOR</v>
          </cell>
          <cell r="L164">
            <v>3</v>
          </cell>
          <cell r="M164" t="str">
            <v>JAUWADI</v>
          </cell>
          <cell r="N164">
            <v>386796726</v>
          </cell>
          <cell r="O164" t="str">
            <v>BNI</v>
          </cell>
          <cell r="P164" t="str">
            <v>AKTIF</v>
          </cell>
          <cell r="R164" t="str">
            <v>PANEN</v>
          </cell>
          <cell r="S164" t="str">
            <v>BORONGAN</v>
          </cell>
          <cell r="T164" t="str">
            <v>TRANSFER</v>
          </cell>
          <cell r="U164" t="str">
            <v>6109061808830001</v>
          </cell>
          <cell r="V164" t="str">
            <v>LOKAL</v>
          </cell>
        </row>
        <row r="165">
          <cell r="B165" t="str">
            <v>GM-00170</v>
          </cell>
          <cell r="C165" t="str">
            <v>JAYA KUSUMA</v>
          </cell>
          <cell r="E165">
            <v>43349</v>
          </cell>
          <cell r="F165" t="str">
            <v>L</v>
          </cell>
          <cell r="G165" t="str">
            <v>DANDI</v>
          </cell>
          <cell r="H165">
            <v>35541</v>
          </cell>
          <cell r="I165" t="str">
            <v>23 TAHUN</v>
          </cell>
          <cell r="J165" t="str">
            <v>KRISTEN</v>
          </cell>
          <cell r="K165" t="str">
            <v>NON KONTRAKTOR</v>
          </cell>
          <cell r="L165">
            <v>3</v>
          </cell>
          <cell r="M165" t="str">
            <v>JAYA KUSUMA</v>
          </cell>
          <cell r="N165">
            <v>786132578</v>
          </cell>
          <cell r="O165" t="str">
            <v>BNI</v>
          </cell>
          <cell r="P165" t="str">
            <v>AKTIF</v>
          </cell>
          <cell r="R165" t="str">
            <v>PANEN</v>
          </cell>
          <cell r="S165" t="str">
            <v>BORONGAN</v>
          </cell>
          <cell r="T165" t="str">
            <v>TRANSFER</v>
          </cell>
          <cell r="U165" t="str">
            <v>6109062104970001</v>
          </cell>
          <cell r="V165" t="str">
            <v>LOKAL</v>
          </cell>
        </row>
        <row r="166">
          <cell r="B166" t="str">
            <v>GM-00171</v>
          </cell>
          <cell r="C166" t="str">
            <v>JIKI SUMARNO</v>
          </cell>
          <cell r="E166">
            <v>43349</v>
          </cell>
          <cell r="F166" t="str">
            <v>L</v>
          </cell>
          <cell r="I166" t="str">
            <v>121 TAHUN</v>
          </cell>
          <cell r="J166" t="str">
            <v>KRISTEN</v>
          </cell>
          <cell r="K166" t="str">
            <v>NON KONTRAKTOR</v>
          </cell>
          <cell r="L166">
            <v>3</v>
          </cell>
          <cell r="P166" t="str">
            <v>AKTIF</v>
          </cell>
          <cell r="R166" t="str">
            <v>PANEN</v>
          </cell>
          <cell r="S166" t="str">
            <v>BORONGAN</v>
          </cell>
          <cell r="T166" t="str">
            <v>TUNAI</v>
          </cell>
          <cell r="V166" t="str">
            <v>LOKAL</v>
          </cell>
        </row>
        <row r="167">
          <cell r="B167" t="str">
            <v>GM-00172</v>
          </cell>
          <cell r="C167" t="str">
            <v>JOKO SUPRIYANTO</v>
          </cell>
          <cell r="E167">
            <v>43349</v>
          </cell>
          <cell r="F167" t="str">
            <v>L</v>
          </cell>
          <cell r="G167" t="str">
            <v>JAKARTA PUSAT</v>
          </cell>
          <cell r="H167">
            <v>26948</v>
          </cell>
          <cell r="I167" t="str">
            <v>47 TAHUN</v>
          </cell>
          <cell r="J167" t="str">
            <v>ISLAM</v>
          </cell>
          <cell r="K167" t="str">
            <v>NON KONTRAKTOR</v>
          </cell>
          <cell r="L167">
            <v>3</v>
          </cell>
          <cell r="M167" t="str">
            <v>JOKO SUPRIYANTO</v>
          </cell>
          <cell r="N167">
            <v>754463711</v>
          </cell>
          <cell r="O167" t="str">
            <v>BNI</v>
          </cell>
          <cell r="P167" t="str">
            <v>AKTIF</v>
          </cell>
          <cell r="R167" t="str">
            <v>PERAWATAN</v>
          </cell>
          <cell r="S167" t="str">
            <v>BORONGAN</v>
          </cell>
          <cell r="T167" t="str">
            <v>TRANSFER</v>
          </cell>
          <cell r="U167" t="str">
            <v>3216211110730007</v>
          </cell>
          <cell r="V167" t="str">
            <v>LOKAL</v>
          </cell>
        </row>
        <row r="168">
          <cell r="B168" t="str">
            <v>GM-00173</v>
          </cell>
          <cell r="C168" t="str">
            <v>KALPEN</v>
          </cell>
          <cell r="E168">
            <v>43349</v>
          </cell>
          <cell r="F168" t="str">
            <v>L</v>
          </cell>
          <cell r="G168" t="str">
            <v>DANDI</v>
          </cell>
          <cell r="H168">
            <v>30692</v>
          </cell>
          <cell r="I168" t="str">
            <v>37 TAHUN</v>
          </cell>
          <cell r="J168" t="str">
            <v>KRISTEN</v>
          </cell>
          <cell r="K168" t="str">
            <v>NON KONTRAKTOR</v>
          </cell>
          <cell r="L168">
            <v>3</v>
          </cell>
          <cell r="M168" t="str">
            <v>KALPEN</v>
          </cell>
          <cell r="N168">
            <v>969747382</v>
          </cell>
          <cell r="O168" t="str">
            <v>BNI</v>
          </cell>
          <cell r="P168" t="str">
            <v>AKTIF</v>
          </cell>
          <cell r="R168" t="str">
            <v>PANEN</v>
          </cell>
          <cell r="S168" t="str">
            <v>BORONGAN</v>
          </cell>
          <cell r="T168" t="str">
            <v>TRANSFER</v>
          </cell>
          <cell r="U168" t="str">
            <v>6109061101840005</v>
          </cell>
          <cell r="V168" t="str">
            <v>LOKAL</v>
          </cell>
        </row>
        <row r="169">
          <cell r="B169" t="str">
            <v>GM-00174</v>
          </cell>
          <cell r="C169" t="str">
            <v>KAPLEN</v>
          </cell>
          <cell r="E169">
            <v>43349</v>
          </cell>
          <cell r="F169" t="str">
            <v>P</v>
          </cell>
          <cell r="G169" t="str">
            <v>RANSA</v>
          </cell>
          <cell r="H169">
            <v>27158</v>
          </cell>
          <cell r="I169" t="str">
            <v>46 TAHUN</v>
          </cell>
          <cell r="J169" t="str">
            <v>KRISTEN</v>
          </cell>
          <cell r="K169" t="str">
            <v>NON KONTRAKTOR</v>
          </cell>
          <cell r="L169">
            <v>3</v>
          </cell>
          <cell r="P169" t="str">
            <v>AKTIF</v>
          </cell>
          <cell r="R169" t="str">
            <v>PERAWATAN</v>
          </cell>
          <cell r="S169" t="str">
            <v>BORONGAN</v>
          </cell>
          <cell r="T169" t="str">
            <v>TUNAI</v>
          </cell>
          <cell r="U169" t="str">
            <v>6109064905740002</v>
          </cell>
          <cell r="V169" t="str">
            <v>LOKAL</v>
          </cell>
        </row>
        <row r="170">
          <cell r="B170" t="str">
            <v>GM-00176</v>
          </cell>
          <cell r="C170" t="str">
            <v>LANDI</v>
          </cell>
          <cell r="E170">
            <v>43349</v>
          </cell>
          <cell r="F170" t="str">
            <v>L</v>
          </cell>
          <cell r="G170" t="str">
            <v>SEPAUH</v>
          </cell>
          <cell r="H170">
            <v>28638</v>
          </cell>
          <cell r="I170" t="str">
            <v>42 TAHUN</v>
          </cell>
          <cell r="J170" t="str">
            <v>KRISTEN</v>
          </cell>
          <cell r="K170" t="str">
            <v>NON KONTRAKTOR</v>
          </cell>
          <cell r="L170">
            <v>3</v>
          </cell>
          <cell r="M170" t="str">
            <v>LANDI</v>
          </cell>
          <cell r="N170">
            <v>583242978</v>
          </cell>
          <cell r="O170" t="str">
            <v>BNI</v>
          </cell>
          <cell r="P170" t="str">
            <v>AKTIF</v>
          </cell>
          <cell r="R170" t="str">
            <v>PANEN</v>
          </cell>
          <cell r="S170" t="str">
            <v>BORONGAN</v>
          </cell>
          <cell r="T170" t="str">
            <v>TRANSFER</v>
          </cell>
          <cell r="U170" t="str">
            <v>6109062805780002</v>
          </cell>
          <cell r="V170" t="str">
            <v>LOKAL</v>
          </cell>
        </row>
        <row r="171">
          <cell r="B171" t="str">
            <v>GM-00177</v>
          </cell>
          <cell r="C171" t="str">
            <v>LAPOK</v>
          </cell>
          <cell r="E171">
            <v>43349</v>
          </cell>
          <cell r="F171" t="str">
            <v>L</v>
          </cell>
          <cell r="G171" t="str">
            <v>SUNGAI AYAK</v>
          </cell>
          <cell r="H171">
            <v>27766</v>
          </cell>
          <cell r="I171" t="str">
            <v>45 TAHUN</v>
          </cell>
          <cell r="J171" t="str">
            <v>ISLAM</v>
          </cell>
          <cell r="K171" t="str">
            <v>NON KONTRAKTOR</v>
          </cell>
          <cell r="L171">
            <v>3</v>
          </cell>
          <cell r="M171" t="str">
            <v>LAPOK</v>
          </cell>
          <cell r="N171">
            <v>386796307</v>
          </cell>
          <cell r="O171" t="str">
            <v>BNI</v>
          </cell>
          <cell r="P171" t="str">
            <v>AKTIF</v>
          </cell>
          <cell r="R171" t="str">
            <v>PANEN</v>
          </cell>
          <cell r="S171" t="str">
            <v>BORONGAN</v>
          </cell>
          <cell r="T171" t="str">
            <v>TRANSFER</v>
          </cell>
          <cell r="U171" t="str">
            <v>6109060701760002</v>
          </cell>
          <cell r="V171" t="str">
            <v>LOKAL</v>
          </cell>
        </row>
        <row r="172">
          <cell r="B172" t="str">
            <v>GM-00178</v>
          </cell>
          <cell r="C172" t="str">
            <v>LASARUS. S</v>
          </cell>
          <cell r="E172">
            <v>43349</v>
          </cell>
          <cell r="F172" t="str">
            <v>L</v>
          </cell>
          <cell r="G172" t="str">
            <v>SEPAUH</v>
          </cell>
          <cell r="H172">
            <v>29560</v>
          </cell>
          <cell r="I172" t="str">
            <v>40 TAHUN</v>
          </cell>
          <cell r="J172" t="str">
            <v>KRISTEN</v>
          </cell>
          <cell r="K172" t="str">
            <v>NON KONTRAKTOR</v>
          </cell>
          <cell r="L172">
            <v>3</v>
          </cell>
          <cell r="M172" t="str">
            <v>LASARUS. S</v>
          </cell>
          <cell r="N172">
            <v>359618394</v>
          </cell>
          <cell r="O172" t="str">
            <v>BNI</v>
          </cell>
          <cell r="P172" t="str">
            <v>AKTIF</v>
          </cell>
          <cell r="R172" t="str">
            <v>PANEN</v>
          </cell>
          <cell r="S172" t="str">
            <v>BORONGAN</v>
          </cell>
          <cell r="T172" t="str">
            <v>TRANSFER</v>
          </cell>
          <cell r="U172" t="str">
            <v>61090605128000003</v>
          </cell>
          <cell r="V172" t="str">
            <v>LOKAL</v>
          </cell>
        </row>
        <row r="173">
          <cell r="B173" t="str">
            <v>GM-00179</v>
          </cell>
          <cell r="C173" t="str">
            <v>LIAP MUSTAPA</v>
          </cell>
          <cell r="E173">
            <v>43349</v>
          </cell>
          <cell r="F173" t="str">
            <v>L</v>
          </cell>
          <cell r="G173" t="str">
            <v>BEMBAN</v>
          </cell>
          <cell r="H173">
            <v>24181</v>
          </cell>
          <cell r="I173" t="str">
            <v>54 TAHUN</v>
          </cell>
          <cell r="J173" t="str">
            <v>KRISTEN</v>
          </cell>
          <cell r="K173" t="str">
            <v>NON KONTRAKTOR</v>
          </cell>
          <cell r="L173">
            <v>3</v>
          </cell>
          <cell r="M173" t="str">
            <v>LIAP MUSTAPA</v>
          </cell>
          <cell r="N173">
            <v>386796192</v>
          </cell>
          <cell r="O173" t="str">
            <v>BNI</v>
          </cell>
          <cell r="P173" t="str">
            <v>AKTIF</v>
          </cell>
          <cell r="R173" t="str">
            <v>PANEN</v>
          </cell>
          <cell r="S173" t="str">
            <v>BORONGAN</v>
          </cell>
          <cell r="T173" t="str">
            <v>TRANSFER</v>
          </cell>
          <cell r="U173" t="str">
            <v>6109061503660001</v>
          </cell>
          <cell r="V173" t="str">
            <v>LOKAL</v>
          </cell>
        </row>
        <row r="174">
          <cell r="B174" t="str">
            <v>GM-00180</v>
          </cell>
          <cell r="C174" t="str">
            <v>MAGDALENA L.</v>
          </cell>
          <cell r="E174">
            <v>43349</v>
          </cell>
          <cell r="F174" t="str">
            <v>P</v>
          </cell>
          <cell r="I174" t="str">
            <v>121 TAHUN</v>
          </cell>
          <cell r="J174" t="str">
            <v>KRISTEN</v>
          </cell>
          <cell r="K174" t="str">
            <v>NON KONTRAKTOR</v>
          </cell>
          <cell r="L174">
            <v>3</v>
          </cell>
          <cell r="P174" t="str">
            <v>AKTIF</v>
          </cell>
          <cell r="R174" t="str">
            <v>PERAWATAN</v>
          </cell>
          <cell r="S174" t="str">
            <v>BORONGAN</v>
          </cell>
          <cell r="T174" t="str">
            <v>TUNAI</v>
          </cell>
          <cell r="V174" t="str">
            <v>LOKAL</v>
          </cell>
        </row>
        <row r="175">
          <cell r="B175" t="str">
            <v>GM-00181</v>
          </cell>
          <cell r="C175" t="str">
            <v>MARDISAH</v>
          </cell>
          <cell r="E175">
            <v>43349</v>
          </cell>
          <cell r="F175" t="str">
            <v>L</v>
          </cell>
          <cell r="I175" t="str">
            <v>121 TAHUN</v>
          </cell>
          <cell r="J175" t="str">
            <v>ISLAM</v>
          </cell>
          <cell r="K175" t="str">
            <v>NON KONTRAKTOR</v>
          </cell>
          <cell r="L175">
            <v>3</v>
          </cell>
          <cell r="P175" t="str">
            <v>AKTIF</v>
          </cell>
          <cell r="R175" t="str">
            <v>PERAWATAN</v>
          </cell>
          <cell r="S175" t="str">
            <v>BORONGAN</v>
          </cell>
          <cell r="T175" t="str">
            <v>TUNAI</v>
          </cell>
          <cell r="V175" t="str">
            <v>LOKAL</v>
          </cell>
        </row>
        <row r="176">
          <cell r="B176" t="str">
            <v>GM-00182</v>
          </cell>
          <cell r="C176" t="str">
            <v>MIKUI JEMAT</v>
          </cell>
          <cell r="E176">
            <v>43349</v>
          </cell>
          <cell r="F176" t="str">
            <v>L</v>
          </cell>
          <cell r="I176" t="str">
            <v>121 TAHUN</v>
          </cell>
          <cell r="J176" t="str">
            <v>ISLAM</v>
          </cell>
          <cell r="K176" t="str">
            <v>NON KONTRAKTOR</v>
          </cell>
          <cell r="L176">
            <v>3</v>
          </cell>
          <cell r="M176" t="str">
            <v>MIKUI JEMAT</v>
          </cell>
          <cell r="N176">
            <v>954802318</v>
          </cell>
          <cell r="O176" t="str">
            <v>BNI</v>
          </cell>
          <cell r="P176" t="str">
            <v>AKTIF</v>
          </cell>
          <cell r="R176" t="str">
            <v>PANEN</v>
          </cell>
          <cell r="S176" t="str">
            <v>BORONGAN</v>
          </cell>
          <cell r="T176" t="str">
            <v>TRANSFER</v>
          </cell>
          <cell r="V176" t="str">
            <v>LOKAL</v>
          </cell>
        </row>
        <row r="177">
          <cell r="B177" t="str">
            <v>GM-00183</v>
          </cell>
          <cell r="C177" t="str">
            <v>MUDI</v>
          </cell>
          <cell r="E177">
            <v>43349</v>
          </cell>
          <cell r="F177" t="str">
            <v>L</v>
          </cell>
          <cell r="G177" t="str">
            <v>BEMBAN</v>
          </cell>
          <cell r="H177">
            <v>30504</v>
          </cell>
          <cell r="I177" t="str">
            <v>37 TAHUN</v>
          </cell>
          <cell r="J177" t="str">
            <v>KRISTEN</v>
          </cell>
          <cell r="K177" t="str">
            <v>NON KONTRAKTOR</v>
          </cell>
          <cell r="L177">
            <v>3</v>
          </cell>
          <cell r="M177" t="str">
            <v>MUDI</v>
          </cell>
          <cell r="N177">
            <v>386796249</v>
          </cell>
          <cell r="O177" t="str">
            <v>BNI</v>
          </cell>
          <cell r="P177" t="str">
            <v>AKTIF</v>
          </cell>
          <cell r="R177" t="str">
            <v>PANEN</v>
          </cell>
          <cell r="S177" t="str">
            <v>BORONGAN</v>
          </cell>
          <cell r="T177" t="str">
            <v>TRANSFER</v>
          </cell>
          <cell r="U177" t="str">
            <v>6109060707830003</v>
          </cell>
          <cell r="V177" t="str">
            <v>LOKAL</v>
          </cell>
        </row>
        <row r="178">
          <cell r="B178" t="str">
            <v>GM-00184</v>
          </cell>
          <cell r="C178" t="str">
            <v>M SUFIRMAN</v>
          </cell>
          <cell r="E178">
            <v>43349</v>
          </cell>
          <cell r="F178" t="str">
            <v>L</v>
          </cell>
          <cell r="I178" t="str">
            <v>121 TAHUN</v>
          </cell>
          <cell r="J178" t="str">
            <v>ISLAM</v>
          </cell>
          <cell r="K178" t="str">
            <v>NON KONTRAKTOR</v>
          </cell>
          <cell r="L178">
            <v>3</v>
          </cell>
          <cell r="M178" t="str">
            <v>M SUFIRMAN</v>
          </cell>
          <cell r="N178">
            <v>754114396</v>
          </cell>
          <cell r="O178" t="str">
            <v>BNI</v>
          </cell>
          <cell r="P178" t="str">
            <v>AKTIF</v>
          </cell>
          <cell r="R178" t="str">
            <v>PERAWATAN</v>
          </cell>
          <cell r="S178" t="str">
            <v>BORONGAN</v>
          </cell>
          <cell r="T178" t="str">
            <v>TRANSFER</v>
          </cell>
          <cell r="V178" t="str">
            <v>LOKAL</v>
          </cell>
        </row>
        <row r="179">
          <cell r="B179" t="str">
            <v>GM-00185</v>
          </cell>
          <cell r="C179" t="str">
            <v>MUHAMADDIN</v>
          </cell>
          <cell r="E179">
            <v>43349</v>
          </cell>
          <cell r="F179" t="str">
            <v>L</v>
          </cell>
          <cell r="G179" t="str">
            <v>SINGKAM</v>
          </cell>
          <cell r="H179">
            <v>33170</v>
          </cell>
          <cell r="I179" t="str">
            <v>30 TAHUN</v>
          </cell>
          <cell r="J179" t="str">
            <v>ISLAM</v>
          </cell>
          <cell r="K179" t="str">
            <v>NON KONTRAKTOR</v>
          </cell>
          <cell r="L179">
            <v>3</v>
          </cell>
          <cell r="M179" t="str">
            <v>MUHAMADDIN</v>
          </cell>
          <cell r="N179">
            <v>386796329</v>
          </cell>
          <cell r="O179" t="str">
            <v>BNI</v>
          </cell>
          <cell r="P179" t="str">
            <v>AKTIF</v>
          </cell>
          <cell r="R179" t="str">
            <v>PANEN</v>
          </cell>
          <cell r="S179" t="str">
            <v>BORONGAN</v>
          </cell>
          <cell r="T179" t="str">
            <v>TRANSFER</v>
          </cell>
          <cell r="V179" t="str">
            <v>LOKAL</v>
          </cell>
        </row>
        <row r="180">
          <cell r="B180" t="str">
            <v>GM-00186</v>
          </cell>
          <cell r="C180" t="str">
            <v>NIKODIMUS</v>
          </cell>
          <cell r="E180">
            <v>43349</v>
          </cell>
          <cell r="F180" t="str">
            <v>L</v>
          </cell>
          <cell r="G180" t="str">
            <v>BEMBAN</v>
          </cell>
          <cell r="H180">
            <v>33937</v>
          </cell>
          <cell r="I180" t="str">
            <v>28 TAHUN</v>
          </cell>
          <cell r="J180" t="str">
            <v>KRISTEN</v>
          </cell>
          <cell r="K180" t="str">
            <v>NON KONTRAKTOR</v>
          </cell>
          <cell r="L180">
            <v>3</v>
          </cell>
          <cell r="M180" t="str">
            <v>NIKODIMUS</v>
          </cell>
          <cell r="N180">
            <v>386796760</v>
          </cell>
          <cell r="O180" t="str">
            <v>BNI</v>
          </cell>
          <cell r="P180" t="str">
            <v>AKTIF</v>
          </cell>
          <cell r="R180" t="str">
            <v>PANEN</v>
          </cell>
          <cell r="S180" t="str">
            <v>BORONGAN</v>
          </cell>
          <cell r="T180" t="str">
            <v>TRANSFER</v>
          </cell>
          <cell r="U180" t="str">
            <v>6109062911920003</v>
          </cell>
          <cell r="V180" t="str">
            <v>LOKAL</v>
          </cell>
        </row>
        <row r="181">
          <cell r="B181" t="str">
            <v>GM-00187</v>
          </cell>
          <cell r="C181" t="str">
            <v>NIKOLAOS NYIMBANG</v>
          </cell>
          <cell r="E181">
            <v>43349</v>
          </cell>
          <cell r="F181" t="str">
            <v>L</v>
          </cell>
          <cell r="I181" t="str">
            <v>121 TAHUN</v>
          </cell>
          <cell r="J181" t="str">
            <v>KRISTEN</v>
          </cell>
          <cell r="K181" t="str">
            <v>NON KONTRAKTOR</v>
          </cell>
          <cell r="L181">
            <v>3</v>
          </cell>
          <cell r="M181" t="str">
            <v>NIKOLAUS NYIMBANG</v>
          </cell>
          <cell r="N181">
            <v>1157762826</v>
          </cell>
          <cell r="O181" t="str">
            <v>BNI</v>
          </cell>
          <cell r="P181" t="str">
            <v>AKTIF</v>
          </cell>
          <cell r="R181" t="str">
            <v>PANEN</v>
          </cell>
          <cell r="S181" t="str">
            <v>BORONGAN</v>
          </cell>
          <cell r="T181" t="str">
            <v>TRANSFER</v>
          </cell>
          <cell r="V181" t="str">
            <v>LOKAL</v>
          </cell>
        </row>
        <row r="182">
          <cell r="B182" t="str">
            <v>GM-00188</v>
          </cell>
          <cell r="C182" t="str">
            <v>PASTRO TIRENG</v>
          </cell>
          <cell r="E182">
            <v>43349</v>
          </cell>
          <cell r="F182" t="str">
            <v>L</v>
          </cell>
          <cell r="G182" t="str">
            <v>RANSA</v>
          </cell>
          <cell r="H182">
            <v>31710</v>
          </cell>
          <cell r="I182" t="str">
            <v>34 TAHUN</v>
          </cell>
          <cell r="J182" t="str">
            <v>KRISTEN</v>
          </cell>
          <cell r="K182" t="str">
            <v>NON KONTRAKTOR</v>
          </cell>
          <cell r="L182">
            <v>3</v>
          </cell>
          <cell r="M182" t="str">
            <v>PASTRO TIRENG</v>
          </cell>
          <cell r="N182">
            <v>386796023</v>
          </cell>
          <cell r="O182" t="str">
            <v>BNI</v>
          </cell>
          <cell r="P182" t="str">
            <v>AKTIF</v>
          </cell>
          <cell r="R182" t="str">
            <v>PANEN</v>
          </cell>
          <cell r="S182" t="str">
            <v>BORONGAN</v>
          </cell>
          <cell r="T182" t="str">
            <v>TRANSFER</v>
          </cell>
          <cell r="U182" t="str">
            <v>6109062510860003</v>
          </cell>
          <cell r="V182" t="str">
            <v>LOKAL</v>
          </cell>
        </row>
        <row r="183">
          <cell r="B183" t="str">
            <v>GM-00189</v>
          </cell>
          <cell r="C183" t="str">
            <v>PETRUS</v>
          </cell>
          <cell r="E183">
            <v>43349</v>
          </cell>
          <cell r="F183" t="str">
            <v>L</v>
          </cell>
          <cell r="G183" t="str">
            <v>DANDI</v>
          </cell>
          <cell r="H183">
            <v>25210</v>
          </cell>
          <cell r="I183" t="str">
            <v>52 TAHUN</v>
          </cell>
          <cell r="J183" t="str">
            <v>KRISTEN</v>
          </cell>
          <cell r="K183" t="str">
            <v>NON KONTRAKTOR</v>
          </cell>
          <cell r="L183">
            <v>3</v>
          </cell>
          <cell r="M183" t="str">
            <v>PETRUS</v>
          </cell>
          <cell r="N183">
            <v>359565995</v>
          </cell>
          <cell r="O183" t="str">
            <v>BNI</v>
          </cell>
          <cell r="P183" t="str">
            <v>AKTIF</v>
          </cell>
          <cell r="R183" t="str">
            <v>PANEN</v>
          </cell>
          <cell r="S183" t="str">
            <v>BORONGAN</v>
          </cell>
          <cell r="T183" t="str">
            <v>TRANSFER</v>
          </cell>
          <cell r="U183" t="str">
            <v>6109060701690001</v>
          </cell>
          <cell r="V183" t="str">
            <v>LOKAL</v>
          </cell>
        </row>
        <row r="184">
          <cell r="B184" t="str">
            <v>GM-00190</v>
          </cell>
          <cell r="C184" t="str">
            <v>PIKAN LOSLIANG</v>
          </cell>
          <cell r="E184">
            <v>43349</v>
          </cell>
          <cell r="F184" t="str">
            <v>L</v>
          </cell>
          <cell r="I184" t="str">
            <v>121 TAHUN</v>
          </cell>
          <cell r="J184" t="str">
            <v>KRISTEN</v>
          </cell>
          <cell r="K184" t="str">
            <v>NON KONTRAKTOR</v>
          </cell>
          <cell r="L184">
            <v>3</v>
          </cell>
          <cell r="P184" t="str">
            <v>AKTIF</v>
          </cell>
          <cell r="R184" t="str">
            <v>PANEN</v>
          </cell>
          <cell r="S184" t="str">
            <v>BORONGAN</v>
          </cell>
          <cell r="T184" t="str">
            <v>TUNAI</v>
          </cell>
          <cell r="V184" t="str">
            <v>LOKAL</v>
          </cell>
        </row>
        <row r="185">
          <cell r="B185" t="str">
            <v>GM-00191</v>
          </cell>
          <cell r="C185" t="str">
            <v>RAMA</v>
          </cell>
          <cell r="E185">
            <v>43349</v>
          </cell>
          <cell r="F185" t="str">
            <v>L</v>
          </cell>
          <cell r="I185" t="str">
            <v>121 TAHUN</v>
          </cell>
          <cell r="J185" t="str">
            <v>ISLAM</v>
          </cell>
          <cell r="K185" t="str">
            <v>NON KONTRAKTOR</v>
          </cell>
          <cell r="L185">
            <v>3</v>
          </cell>
          <cell r="M185" t="str">
            <v>RAMA</v>
          </cell>
          <cell r="N185">
            <v>954802385</v>
          </cell>
          <cell r="O185" t="str">
            <v>BNI</v>
          </cell>
          <cell r="P185" t="str">
            <v>AKTIF</v>
          </cell>
          <cell r="R185" t="str">
            <v>PANEN</v>
          </cell>
          <cell r="S185" t="str">
            <v>BORONGAN</v>
          </cell>
          <cell r="T185" t="str">
            <v>TRANSFER</v>
          </cell>
          <cell r="V185" t="str">
            <v>LOKAL</v>
          </cell>
        </row>
        <row r="186">
          <cell r="B186" t="str">
            <v>GM-00193</v>
          </cell>
          <cell r="C186" t="str">
            <v>RIJIMAN</v>
          </cell>
          <cell r="E186">
            <v>43349</v>
          </cell>
          <cell r="F186" t="str">
            <v>L</v>
          </cell>
          <cell r="G186" t="str">
            <v>K/2</v>
          </cell>
          <cell r="H186">
            <v>27474</v>
          </cell>
          <cell r="I186" t="str">
            <v>45 TAHUN</v>
          </cell>
          <cell r="J186" t="str">
            <v>KRISTEN</v>
          </cell>
          <cell r="K186" t="str">
            <v>NON KONTRAKTOR</v>
          </cell>
          <cell r="L186">
            <v>3</v>
          </cell>
          <cell r="M186" t="str">
            <v>RIJIMAN</v>
          </cell>
          <cell r="N186">
            <v>386796170</v>
          </cell>
          <cell r="O186" t="str">
            <v>BNI</v>
          </cell>
          <cell r="P186" t="str">
            <v>AKTIF</v>
          </cell>
          <cell r="R186" t="str">
            <v>PANEN</v>
          </cell>
          <cell r="S186" t="str">
            <v>BORONGAN</v>
          </cell>
          <cell r="T186" t="str">
            <v>TRANSFER</v>
          </cell>
          <cell r="U186" t="str">
            <v>6109062103750003</v>
          </cell>
          <cell r="V186" t="str">
            <v>LOKAL</v>
          </cell>
        </row>
        <row r="187">
          <cell r="B187" t="str">
            <v>GM-00194</v>
          </cell>
          <cell r="C187" t="str">
            <v>RIKI SUBAGIA</v>
          </cell>
          <cell r="E187">
            <v>43349</v>
          </cell>
          <cell r="F187" t="str">
            <v>L</v>
          </cell>
          <cell r="G187" t="str">
            <v>JELIMPAU</v>
          </cell>
          <cell r="H187">
            <v>36048</v>
          </cell>
          <cell r="I187" t="str">
            <v>22 TAHUN</v>
          </cell>
          <cell r="J187" t="str">
            <v>ISLAM</v>
          </cell>
          <cell r="K187" t="str">
            <v>NON KONTRAKTOR</v>
          </cell>
          <cell r="L187">
            <v>3</v>
          </cell>
          <cell r="P187" t="str">
            <v>AKTIF</v>
          </cell>
          <cell r="R187" t="str">
            <v>PANEN</v>
          </cell>
          <cell r="S187" t="str">
            <v>BORONGAN</v>
          </cell>
          <cell r="T187" t="str">
            <v>TUNAI</v>
          </cell>
          <cell r="U187" t="str">
            <v>6105021009980001</v>
          </cell>
          <cell r="V187" t="str">
            <v>LOKAL</v>
          </cell>
        </row>
        <row r="188">
          <cell r="B188" t="str">
            <v>GM-00195</v>
          </cell>
          <cell r="C188" t="str">
            <v>ROSTIANA</v>
          </cell>
          <cell r="E188">
            <v>43349</v>
          </cell>
          <cell r="F188" t="str">
            <v>P</v>
          </cell>
          <cell r="G188" t="str">
            <v>BALAU MILOT</v>
          </cell>
          <cell r="H188">
            <v>30790</v>
          </cell>
          <cell r="I188" t="str">
            <v>36 TAHUN</v>
          </cell>
          <cell r="J188" t="str">
            <v>KRISTEN</v>
          </cell>
          <cell r="K188" t="str">
            <v>NON KONTRAKTOR</v>
          </cell>
          <cell r="L188">
            <v>3</v>
          </cell>
          <cell r="P188" t="str">
            <v>AKTIF</v>
          </cell>
          <cell r="R188" t="str">
            <v>PERAWATAN</v>
          </cell>
          <cell r="S188" t="str">
            <v>BORONGAN</v>
          </cell>
          <cell r="T188" t="str">
            <v>TUNAI</v>
          </cell>
          <cell r="U188" t="str">
            <v>6109065804840001</v>
          </cell>
          <cell r="V188" t="str">
            <v>LOKAL</v>
          </cell>
        </row>
        <row r="189">
          <cell r="B189" t="str">
            <v>GM-00197</v>
          </cell>
          <cell r="C189" t="str">
            <v>SANTI</v>
          </cell>
          <cell r="E189">
            <v>43349</v>
          </cell>
          <cell r="F189" t="str">
            <v>L</v>
          </cell>
          <cell r="G189" t="str">
            <v>BEMBAN</v>
          </cell>
          <cell r="H189">
            <v>30946</v>
          </cell>
          <cell r="I189" t="str">
            <v>36 TAHUN</v>
          </cell>
          <cell r="J189" t="str">
            <v>KRISTEN</v>
          </cell>
          <cell r="K189" t="str">
            <v>NON KONTRAKTOR</v>
          </cell>
          <cell r="L189">
            <v>3</v>
          </cell>
          <cell r="M189" t="str">
            <v>SANTI</v>
          </cell>
          <cell r="N189">
            <v>386796056</v>
          </cell>
          <cell r="O189" t="str">
            <v>BNI</v>
          </cell>
          <cell r="P189" t="str">
            <v>AKTIF</v>
          </cell>
          <cell r="R189" t="str">
            <v>PANEN</v>
          </cell>
          <cell r="S189" t="str">
            <v>BORONGAN</v>
          </cell>
          <cell r="T189" t="str">
            <v>TRANSFER</v>
          </cell>
          <cell r="U189" t="str">
            <v>6109062109840001</v>
          </cell>
          <cell r="V189" t="str">
            <v>LOKAL</v>
          </cell>
        </row>
        <row r="190">
          <cell r="B190" t="str">
            <v>GM-00198</v>
          </cell>
          <cell r="C190" t="str">
            <v>SARWAYAH</v>
          </cell>
          <cell r="E190">
            <v>43349</v>
          </cell>
          <cell r="F190" t="str">
            <v>P</v>
          </cell>
          <cell r="I190" t="str">
            <v>121 TAHUN</v>
          </cell>
          <cell r="J190" t="str">
            <v>ISLAM</v>
          </cell>
          <cell r="K190" t="str">
            <v>NON KONTRAKTOR</v>
          </cell>
          <cell r="L190">
            <v>3</v>
          </cell>
          <cell r="P190" t="str">
            <v>AKTIF</v>
          </cell>
          <cell r="R190" t="str">
            <v>PERAWATAN</v>
          </cell>
          <cell r="S190" t="str">
            <v>BORONGAN</v>
          </cell>
          <cell r="T190" t="str">
            <v>TUNAI</v>
          </cell>
          <cell r="V190" t="str">
            <v>LOKAL</v>
          </cell>
        </row>
        <row r="191">
          <cell r="B191" t="str">
            <v>GM-00199</v>
          </cell>
          <cell r="C191" t="str">
            <v>SAUL/VERI KARUT</v>
          </cell>
          <cell r="E191">
            <v>43349</v>
          </cell>
          <cell r="F191" t="str">
            <v>L</v>
          </cell>
          <cell r="G191" t="str">
            <v>EMPIT</v>
          </cell>
          <cell r="H191">
            <v>33958</v>
          </cell>
          <cell r="I191" t="str">
            <v>28 TAHUN</v>
          </cell>
          <cell r="J191" t="str">
            <v>KRISTEN</v>
          </cell>
          <cell r="K191" t="str">
            <v>NON KONTRAKTOR</v>
          </cell>
          <cell r="L191">
            <v>3</v>
          </cell>
          <cell r="M191" t="str">
            <v>SAUL/VERI KARUT</v>
          </cell>
          <cell r="N191">
            <v>386795994</v>
          </cell>
          <cell r="O191" t="str">
            <v>BNI</v>
          </cell>
          <cell r="P191" t="str">
            <v>AKTIF</v>
          </cell>
          <cell r="R191" t="str">
            <v>PANEN</v>
          </cell>
          <cell r="S191" t="str">
            <v>BORONGAN</v>
          </cell>
          <cell r="T191" t="str">
            <v>TRANSFER</v>
          </cell>
          <cell r="V191" t="str">
            <v>LOKAL</v>
          </cell>
        </row>
        <row r="192">
          <cell r="B192" t="str">
            <v>GM-00200</v>
          </cell>
          <cell r="C192" t="str">
            <v>SEPIA</v>
          </cell>
          <cell r="E192">
            <v>43349</v>
          </cell>
          <cell r="F192" t="str">
            <v>L</v>
          </cell>
          <cell r="G192" t="str">
            <v>SENGKABANG KIARAK</v>
          </cell>
          <cell r="H192">
            <v>31757</v>
          </cell>
          <cell r="I192" t="str">
            <v>34 TAHUN</v>
          </cell>
          <cell r="J192" t="str">
            <v>KRISTEN</v>
          </cell>
          <cell r="K192" t="str">
            <v>NON KONTRAKTOR</v>
          </cell>
          <cell r="L192">
            <v>3</v>
          </cell>
          <cell r="M192" t="str">
            <v>SEPIA</v>
          </cell>
          <cell r="N192">
            <v>450213992</v>
          </cell>
          <cell r="O192" t="str">
            <v>BNI</v>
          </cell>
          <cell r="P192" t="str">
            <v>AKTIF</v>
          </cell>
          <cell r="R192" t="str">
            <v>PANEN</v>
          </cell>
          <cell r="S192" t="str">
            <v>BORONGAN</v>
          </cell>
          <cell r="T192" t="str">
            <v>TRANSFER</v>
          </cell>
          <cell r="V192" t="str">
            <v>LOKAL</v>
          </cell>
        </row>
        <row r="193">
          <cell r="B193" t="str">
            <v>GM-00201</v>
          </cell>
          <cell r="C193" t="str">
            <v>SERLY</v>
          </cell>
          <cell r="E193">
            <v>43349</v>
          </cell>
          <cell r="F193" t="str">
            <v>L</v>
          </cell>
          <cell r="G193" t="str">
            <v>PENITI DALAM DUA</v>
          </cell>
          <cell r="H193">
            <v>23900</v>
          </cell>
          <cell r="I193" t="str">
            <v>55 TAHUN</v>
          </cell>
          <cell r="J193" t="str">
            <v>ISLAM</v>
          </cell>
          <cell r="K193" t="str">
            <v>NON KONTRAKTOR</v>
          </cell>
          <cell r="L193">
            <v>3</v>
          </cell>
          <cell r="P193" t="str">
            <v>AKTIF</v>
          </cell>
          <cell r="R193" t="str">
            <v>PANEN</v>
          </cell>
          <cell r="S193" t="str">
            <v>BORONGAN</v>
          </cell>
          <cell r="T193" t="str">
            <v>TUNAI</v>
          </cell>
          <cell r="V193" t="str">
            <v>LOKAL</v>
          </cell>
        </row>
        <row r="194">
          <cell r="B194" t="str">
            <v>GM-00202</v>
          </cell>
          <cell r="C194" t="str">
            <v>SION</v>
          </cell>
          <cell r="E194">
            <v>43349</v>
          </cell>
          <cell r="F194" t="str">
            <v>L</v>
          </cell>
          <cell r="G194" t="str">
            <v>BEMBAN</v>
          </cell>
          <cell r="H194">
            <v>27337</v>
          </cell>
          <cell r="I194" t="str">
            <v>46 TAHUN</v>
          </cell>
          <cell r="J194" t="str">
            <v>KRISTEN</v>
          </cell>
          <cell r="K194" t="str">
            <v>NON KONTRAKTOR</v>
          </cell>
          <cell r="L194">
            <v>3</v>
          </cell>
          <cell r="M194" t="str">
            <v>SION</v>
          </cell>
          <cell r="N194">
            <v>386796147</v>
          </cell>
          <cell r="O194" t="str">
            <v>BNI</v>
          </cell>
          <cell r="P194" t="str">
            <v>AKTIF</v>
          </cell>
          <cell r="R194" t="str">
            <v>PANEN</v>
          </cell>
          <cell r="S194" t="str">
            <v>BORONGAN</v>
          </cell>
          <cell r="T194" t="str">
            <v>TRANSFER</v>
          </cell>
          <cell r="U194" t="str">
            <v>6109060411740001</v>
          </cell>
          <cell r="V194" t="str">
            <v>LOKAL</v>
          </cell>
        </row>
        <row r="195">
          <cell r="B195" t="str">
            <v>GM-00203</v>
          </cell>
          <cell r="C195" t="str">
            <v>SODIKIN</v>
          </cell>
          <cell r="E195">
            <v>43349</v>
          </cell>
          <cell r="F195" t="str">
            <v>L</v>
          </cell>
          <cell r="I195" t="str">
            <v>121 TAHUN</v>
          </cell>
          <cell r="J195" t="str">
            <v>ISLAM</v>
          </cell>
          <cell r="K195" t="str">
            <v>NON KONTRAKTOR</v>
          </cell>
          <cell r="L195">
            <v>3</v>
          </cell>
          <cell r="P195" t="str">
            <v>AKTIF</v>
          </cell>
          <cell r="R195" t="str">
            <v>PANEN</v>
          </cell>
          <cell r="S195" t="str">
            <v>BORONGAN</v>
          </cell>
          <cell r="T195" t="str">
            <v>TUNAI</v>
          </cell>
          <cell r="V195" t="str">
            <v>LOKAL</v>
          </cell>
        </row>
        <row r="196">
          <cell r="B196" t="str">
            <v>GM-00204</v>
          </cell>
          <cell r="C196" t="str">
            <v>SUHARDI</v>
          </cell>
          <cell r="E196">
            <v>43349</v>
          </cell>
          <cell r="F196" t="str">
            <v>L</v>
          </cell>
          <cell r="G196" t="str">
            <v>BATUK</v>
          </cell>
          <cell r="H196">
            <v>32703</v>
          </cell>
          <cell r="I196" t="str">
            <v>31 TAHUN</v>
          </cell>
          <cell r="J196" t="str">
            <v>ISLAM</v>
          </cell>
          <cell r="K196" t="str">
            <v>NON KONTRAKTOR</v>
          </cell>
          <cell r="L196">
            <v>3</v>
          </cell>
          <cell r="M196" t="str">
            <v>SUHARDI</v>
          </cell>
          <cell r="N196">
            <v>381807939</v>
          </cell>
          <cell r="O196" t="str">
            <v>BNI</v>
          </cell>
          <cell r="P196" t="str">
            <v>AKTIF</v>
          </cell>
          <cell r="R196" t="str">
            <v>PANEN</v>
          </cell>
          <cell r="S196" t="str">
            <v>BORONGAN</v>
          </cell>
          <cell r="T196" t="str">
            <v>TRANSFER</v>
          </cell>
          <cell r="V196" t="str">
            <v>LOKAL</v>
          </cell>
        </row>
        <row r="197">
          <cell r="B197" t="str">
            <v>GM-00205</v>
          </cell>
          <cell r="C197" t="str">
            <v>SUPERNO</v>
          </cell>
          <cell r="E197">
            <v>43349</v>
          </cell>
          <cell r="F197" t="str">
            <v>L</v>
          </cell>
          <cell r="G197" t="str">
            <v>DANDI</v>
          </cell>
          <cell r="H197">
            <v>33118</v>
          </cell>
          <cell r="I197" t="str">
            <v>30 TAHUN</v>
          </cell>
          <cell r="J197" t="str">
            <v>KRISTEN</v>
          </cell>
          <cell r="K197" t="str">
            <v>NURSAIL</v>
          </cell>
          <cell r="L197">
            <v>3</v>
          </cell>
          <cell r="M197" t="str">
            <v>SUPERNO</v>
          </cell>
          <cell r="N197">
            <v>386796590</v>
          </cell>
          <cell r="O197" t="str">
            <v>BNI</v>
          </cell>
          <cell r="P197" t="str">
            <v>AKTIF</v>
          </cell>
          <cell r="R197" t="str">
            <v>PANEN</v>
          </cell>
          <cell r="S197" t="str">
            <v>BORONGAN</v>
          </cell>
          <cell r="T197" t="str">
            <v>TRANSFER</v>
          </cell>
          <cell r="U197" t="str">
            <v>6109060209900004</v>
          </cell>
          <cell r="V197" t="str">
            <v>LOKAL</v>
          </cell>
        </row>
        <row r="198">
          <cell r="B198" t="str">
            <v>GM-00206</v>
          </cell>
          <cell r="C198" t="str">
            <v>SURYATI</v>
          </cell>
          <cell r="E198">
            <v>43349</v>
          </cell>
          <cell r="F198" t="str">
            <v>P</v>
          </cell>
          <cell r="G198" t="str">
            <v>DANDI</v>
          </cell>
          <cell r="H198">
            <v>27885</v>
          </cell>
          <cell r="I198" t="str">
            <v>44 TAHUN</v>
          </cell>
          <cell r="J198" t="str">
            <v>KRISTEN</v>
          </cell>
          <cell r="K198" t="str">
            <v>NON KONTRAKTOR</v>
          </cell>
          <cell r="L198">
            <v>3</v>
          </cell>
          <cell r="P198" t="str">
            <v>AKTIF</v>
          </cell>
          <cell r="R198" t="str">
            <v>PERAWATAN</v>
          </cell>
          <cell r="S198" t="str">
            <v>BORONGAN</v>
          </cell>
          <cell r="T198" t="str">
            <v>TUNAI</v>
          </cell>
          <cell r="V198" t="str">
            <v>LOKAL</v>
          </cell>
        </row>
        <row r="199">
          <cell r="B199" t="str">
            <v>GM-00207</v>
          </cell>
          <cell r="C199" t="str">
            <v>SUSANA CENG</v>
          </cell>
          <cell r="E199">
            <v>43349</v>
          </cell>
          <cell r="F199" t="str">
            <v>P</v>
          </cell>
          <cell r="G199" t="str">
            <v>SUNGAI MANG</v>
          </cell>
          <cell r="H199">
            <v>23693</v>
          </cell>
          <cell r="I199" t="str">
            <v>56 TAHUN</v>
          </cell>
          <cell r="J199" t="str">
            <v>KRISTEN</v>
          </cell>
          <cell r="K199" t="str">
            <v>NON KONTRAKTOR</v>
          </cell>
          <cell r="L199">
            <v>3</v>
          </cell>
          <cell r="P199" t="str">
            <v>AKTIF</v>
          </cell>
          <cell r="R199" t="str">
            <v>PERAWATAN</v>
          </cell>
          <cell r="S199" t="str">
            <v>BORONGAN</v>
          </cell>
          <cell r="T199" t="str">
            <v>TUNAI</v>
          </cell>
          <cell r="U199" t="str">
            <v>6109065211640002</v>
          </cell>
          <cell r="V199" t="str">
            <v>LOKAL</v>
          </cell>
        </row>
        <row r="200">
          <cell r="B200" t="str">
            <v>GM-00208</v>
          </cell>
          <cell r="C200" t="str">
            <v>SUTIKNO</v>
          </cell>
          <cell r="E200">
            <v>43349</v>
          </cell>
          <cell r="F200" t="str">
            <v>L</v>
          </cell>
          <cell r="G200" t="str">
            <v>BATUK</v>
          </cell>
          <cell r="H200">
            <v>29221</v>
          </cell>
          <cell r="I200" t="str">
            <v>41 TAHUN</v>
          </cell>
          <cell r="J200" t="str">
            <v>ISLAM</v>
          </cell>
          <cell r="K200" t="str">
            <v>NON KONTRAKTOR</v>
          </cell>
          <cell r="L200">
            <v>3</v>
          </cell>
          <cell r="M200" t="str">
            <v>SUTIKNO</v>
          </cell>
          <cell r="N200">
            <v>386796737</v>
          </cell>
          <cell r="O200" t="str">
            <v>BNI</v>
          </cell>
          <cell r="P200" t="str">
            <v>AKTIF</v>
          </cell>
          <cell r="R200" t="str">
            <v>PANEN</v>
          </cell>
          <cell r="S200" t="str">
            <v>BORONGAN</v>
          </cell>
          <cell r="T200" t="str">
            <v>TRANSFER</v>
          </cell>
          <cell r="U200" t="str">
            <v>6109060101800001</v>
          </cell>
          <cell r="V200" t="str">
            <v>LOKAL</v>
          </cell>
        </row>
        <row r="201">
          <cell r="B201" t="str">
            <v>GM-00209</v>
          </cell>
          <cell r="C201" t="str">
            <v>TONI</v>
          </cell>
          <cell r="E201">
            <v>43349</v>
          </cell>
          <cell r="F201" t="str">
            <v>L</v>
          </cell>
          <cell r="I201" t="str">
            <v>121 TAHUN</v>
          </cell>
          <cell r="J201" t="str">
            <v>KRISTEN</v>
          </cell>
          <cell r="K201" t="str">
            <v>NON AKTIF</v>
          </cell>
          <cell r="L201">
            <v>3</v>
          </cell>
          <cell r="O201" t="str">
            <v>BNI</v>
          </cell>
          <cell r="P201" t="str">
            <v>NON AKTIF</v>
          </cell>
          <cell r="R201" t="str">
            <v>PANEN</v>
          </cell>
          <cell r="S201" t="str">
            <v>BORONGAN</v>
          </cell>
          <cell r="T201" t="str">
            <v>TUNAI</v>
          </cell>
          <cell r="V201" t="str">
            <v>LOKAL</v>
          </cell>
        </row>
        <row r="202">
          <cell r="B202" t="str">
            <v>GM-00210</v>
          </cell>
          <cell r="C202" t="str">
            <v>URBANUS SILAN</v>
          </cell>
          <cell r="E202">
            <v>43349</v>
          </cell>
          <cell r="F202" t="str">
            <v>L</v>
          </cell>
          <cell r="G202" t="str">
            <v>DANDI</v>
          </cell>
          <cell r="H202">
            <v>27942</v>
          </cell>
          <cell r="I202" t="str">
            <v>44 TAHUN</v>
          </cell>
          <cell r="J202" t="str">
            <v>KRISTEN</v>
          </cell>
          <cell r="K202" t="str">
            <v>NON KONTRAKTOR</v>
          </cell>
          <cell r="L202">
            <v>3</v>
          </cell>
          <cell r="M202" t="str">
            <v>URBANUS SILAN</v>
          </cell>
          <cell r="N202">
            <v>359565973</v>
          </cell>
          <cell r="O202" t="str">
            <v>BNI</v>
          </cell>
          <cell r="P202" t="str">
            <v>AKTIF</v>
          </cell>
          <cell r="R202" t="str">
            <v>PANEN</v>
          </cell>
          <cell r="S202" t="str">
            <v>BORONGAN</v>
          </cell>
          <cell r="T202" t="str">
            <v>TRANSFER</v>
          </cell>
          <cell r="U202" t="str">
            <v>6109060107760043</v>
          </cell>
          <cell r="V202" t="str">
            <v>LOKAL</v>
          </cell>
        </row>
        <row r="203">
          <cell r="B203" t="str">
            <v>GM-00211</v>
          </cell>
          <cell r="C203" t="str">
            <v>VAN AFERO</v>
          </cell>
          <cell r="E203">
            <v>43349</v>
          </cell>
          <cell r="F203" t="str">
            <v>L</v>
          </cell>
          <cell r="G203" t="str">
            <v>DANDI</v>
          </cell>
          <cell r="H203">
            <v>35865</v>
          </cell>
          <cell r="I203" t="str">
            <v>22 TAHUN</v>
          </cell>
          <cell r="J203" t="str">
            <v>KRISTEN</v>
          </cell>
          <cell r="K203" t="str">
            <v>NON KONTRAKTOR</v>
          </cell>
          <cell r="L203">
            <v>3</v>
          </cell>
          <cell r="M203" t="str">
            <v>VAN AFERO</v>
          </cell>
          <cell r="N203">
            <v>786138138</v>
          </cell>
          <cell r="O203" t="str">
            <v>BNI</v>
          </cell>
          <cell r="P203" t="str">
            <v>AKTIF</v>
          </cell>
          <cell r="R203" t="str">
            <v>PANEN</v>
          </cell>
          <cell r="S203" t="str">
            <v>BORONGAN</v>
          </cell>
          <cell r="T203" t="str">
            <v>TRANSFER</v>
          </cell>
          <cell r="U203" t="str">
            <v>6109061103980004</v>
          </cell>
          <cell r="V203" t="str">
            <v>LOKAL</v>
          </cell>
        </row>
        <row r="204">
          <cell r="B204" t="str">
            <v>GM-00212</v>
          </cell>
          <cell r="C204" t="str">
            <v>VIVI DANIATI</v>
          </cell>
          <cell r="E204">
            <v>43349</v>
          </cell>
          <cell r="F204" t="str">
            <v>P</v>
          </cell>
          <cell r="I204" t="str">
            <v>121 TAHUN</v>
          </cell>
          <cell r="J204" t="str">
            <v>KRISTEN</v>
          </cell>
          <cell r="K204" t="str">
            <v>NON KONTRAKTOR</v>
          </cell>
          <cell r="L204">
            <v>3</v>
          </cell>
          <cell r="P204" t="str">
            <v>AKTIF</v>
          </cell>
          <cell r="R204" t="str">
            <v>PERAWATAN</v>
          </cell>
          <cell r="S204" t="str">
            <v>BORONGAN</v>
          </cell>
          <cell r="T204" t="str">
            <v>TUNAI</v>
          </cell>
          <cell r="V204" t="str">
            <v>LOKAL</v>
          </cell>
        </row>
        <row r="205">
          <cell r="B205" t="str">
            <v>GM-00213</v>
          </cell>
          <cell r="C205" t="str">
            <v>WADI HARSONO</v>
          </cell>
          <cell r="E205">
            <v>43349</v>
          </cell>
          <cell r="F205" t="str">
            <v>L</v>
          </cell>
          <cell r="I205" t="str">
            <v>121 TAHUN</v>
          </cell>
          <cell r="J205" t="str">
            <v>KRISTEN</v>
          </cell>
          <cell r="K205" t="str">
            <v>NON KONTRAKTOR</v>
          </cell>
          <cell r="L205">
            <v>3</v>
          </cell>
          <cell r="M205" t="str">
            <v>WADI HARSONO</v>
          </cell>
          <cell r="N205">
            <v>693009730</v>
          </cell>
          <cell r="O205" t="str">
            <v>BNI</v>
          </cell>
          <cell r="P205" t="str">
            <v>AKTIF</v>
          </cell>
          <cell r="R205" t="str">
            <v>PANEN</v>
          </cell>
          <cell r="S205" t="str">
            <v>BORONGAN</v>
          </cell>
          <cell r="T205" t="str">
            <v>TRANSFER</v>
          </cell>
          <cell r="V205" t="str">
            <v>LOKAL</v>
          </cell>
        </row>
        <row r="206">
          <cell r="B206" t="str">
            <v>GM-00214</v>
          </cell>
          <cell r="C206" t="str">
            <v>WARNI</v>
          </cell>
          <cell r="E206">
            <v>43349</v>
          </cell>
          <cell r="F206" t="str">
            <v>P</v>
          </cell>
          <cell r="G206" t="str">
            <v>BASONG</v>
          </cell>
          <cell r="H206">
            <v>30075</v>
          </cell>
          <cell r="I206" t="str">
            <v>38 TAHUN</v>
          </cell>
          <cell r="J206" t="str">
            <v>ISLAM</v>
          </cell>
          <cell r="K206" t="str">
            <v>NON KONTRAKTOR</v>
          </cell>
          <cell r="L206">
            <v>3</v>
          </cell>
          <cell r="P206" t="str">
            <v>AKTIF</v>
          </cell>
          <cell r="R206" t="str">
            <v>PERAWATAN</v>
          </cell>
          <cell r="S206" t="str">
            <v>BORONGAN</v>
          </cell>
          <cell r="T206" t="str">
            <v>TUNAI</v>
          </cell>
          <cell r="U206" t="str">
            <v>6109064405820003</v>
          </cell>
          <cell r="V206" t="str">
            <v>LOKAL</v>
          </cell>
        </row>
        <row r="207">
          <cell r="B207" t="str">
            <v>GM-00215</v>
          </cell>
          <cell r="C207" t="str">
            <v>YAHYA J.</v>
          </cell>
          <cell r="E207">
            <v>43349</v>
          </cell>
          <cell r="F207" t="str">
            <v>L</v>
          </cell>
          <cell r="G207" t="str">
            <v>DANDI</v>
          </cell>
          <cell r="H207">
            <v>24033</v>
          </cell>
          <cell r="I207" t="str">
            <v>55 TAHUN</v>
          </cell>
          <cell r="J207" t="str">
            <v>KRISTEN</v>
          </cell>
          <cell r="K207" t="str">
            <v>NON KONTRAKTOR</v>
          </cell>
          <cell r="L207">
            <v>3</v>
          </cell>
          <cell r="M207" t="str">
            <v>YAHYA J</v>
          </cell>
          <cell r="N207">
            <v>910322468</v>
          </cell>
          <cell r="O207" t="str">
            <v>BNI</v>
          </cell>
          <cell r="P207" t="str">
            <v>AKTIF</v>
          </cell>
          <cell r="R207" t="str">
            <v>PERAWATAN</v>
          </cell>
          <cell r="S207" t="str">
            <v>BORONGAN</v>
          </cell>
          <cell r="T207" t="str">
            <v>TRANSFER</v>
          </cell>
          <cell r="U207" t="str">
            <v>6109061810850005</v>
          </cell>
          <cell r="V207" t="str">
            <v>LOKAL</v>
          </cell>
        </row>
        <row r="208">
          <cell r="B208" t="str">
            <v>GM-00216</v>
          </cell>
          <cell r="C208" t="str">
            <v>YANTO</v>
          </cell>
          <cell r="E208">
            <v>43349</v>
          </cell>
          <cell r="F208" t="str">
            <v>L</v>
          </cell>
          <cell r="G208" t="str">
            <v>BASONG</v>
          </cell>
          <cell r="H208">
            <v>29403</v>
          </cell>
          <cell r="I208" t="str">
            <v>40 TAHUN</v>
          </cell>
          <cell r="J208" t="str">
            <v>ISLAM</v>
          </cell>
          <cell r="K208" t="str">
            <v>NON KONTRAKTOR</v>
          </cell>
          <cell r="L208">
            <v>3</v>
          </cell>
          <cell r="M208" t="str">
            <v>YANTO</v>
          </cell>
          <cell r="N208">
            <v>359566273</v>
          </cell>
          <cell r="O208" t="str">
            <v>BNI</v>
          </cell>
          <cell r="P208" t="str">
            <v>AKTIF</v>
          </cell>
          <cell r="R208" t="str">
            <v>PANEN</v>
          </cell>
          <cell r="S208" t="str">
            <v>BORONGAN</v>
          </cell>
          <cell r="T208" t="str">
            <v>TRANSFER</v>
          </cell>
          <cell r="U208" t="str">
            <v>6109060107800063</v>
          </cell>
          <cell r="V208" t="str">
            <v>LOKAL</v>
          </cell>
        </row>
        <row r="209">
          <cell r="B209" t="str">
            <v>GM-00217</v>
          </cell>
          <cell r="C209" t="str">
            <v>YOHANES</v>
          </cell>
          <cell r="E209">
            <v>43349</v>
          </cell>
          <cell r="F209" t="str">
            <v>L</v>
          </cell>
          <cell r="G209" t="str">
            <v>SUNGAI PERING</v>
          </cell>
          <cell r="H209">
            <v>28437</v>
          </cell>
          <cell r="I209" t="str">
            <v>43 TAHUN</v>
          </cell>
          <cell r="J209" t="str">
            <v>KRISTEN</v>
          </cell>
          <cell r="K209" t="str">
            <v>NON KONTRAKTOR</v>
          </cell>
          <cell r="L209">
            <v>3</v>
          </cell>
          <cell r="M209" t="str">
            <v>YOHANES</v>
          </cell>
          <cell r="N209">
            <v>386797061</v>
          </cell>
          <cell r="O209" t="str">
            <v>BNI</v>
          </cell>
          <cell r="P209" t="str">
            <v>AKTIF</v>
          </cell>
          <cell r="R209" t="str">
            <v>PANEN</v>
          </cell>
          <cell r="S209" t="str">
            <v>BORONGAN</v>
          </cell>
          <cell r="T209" t="str">
            <v>TRANSFER</v>
          </cell>
          <cell r="U209" t="str">
            <v>6109060811770001</v>
          </cell>
          <cell r="V209" t="str">
            <v>LOKAL</v>
          </cell>
        </row>
        <row r="210">
          <cell r="B210" t="str">
            <v>GM-00218</v>
          </cell>
          <cell r="C210" t="str">
            <v>YUSAVAT</v>
          </cell>
          <cell r="E210">
            <v>43349</v>
          </cell>
          <cell r="F210" t="str">
            <v>L</v>
          </cell>
          <cell r="G210" t="str">
            <v>BEMBAN</v>
          </cell>
          <cell r="H210">
            <v>28355</v>
          </cell>
          <cell r="I210" t="str">
            <v>43 TAHUN</v>
          </cell>
          <cell r="J210" t="str">
            <v>KRISTEN</v>
          </cell>
          <cell r="K210" t="str">
            <v>NON KONTRAKTOR</v>
          </cell>
          <cell r="L210">
            <v>3</v>
          </cell>
          <cell r="M210" t="str">
            <v>YUSAVAT</v>
          </cell>
          <cell r="N210">
            <v>583142532</v>
          </cell>
          <cell r="O210" t="str">
            <v>BNI</v>
          </cell>
          <cell r="P210" t="str">
            <v>AKTIF</v>
          </cell>
          <cell r="R210" t="str">
            <v>PANEN</v>
          </cell>
          <cell r="S210" t="str">
            <v>BORONGAN</v>
          </cell>
          <cell r="T210" t="str">
            <v>TRANSFER</v>
          </cell>
          <cell r="U210" t="str">
            <v>6109061708770001</v>
          </cell>
          <cell r="V210" t="str">
            <v>LOKAL</v>
          </cell>
        </row>
        <row r="211">
          <cell r="B211" t="str">
            <v>GM-00219</v>
          </cell>
          <cell r="C211" t="str">
            <v>YUSIA</v>
          </cell>
          <cell r="E211">
            <v>43349</v>
          </cell>
          <cell r="F211" t="str">
            <v>L</v>
          </cell>
          <cell r="G211" t="str">
            <v>BEMBAN</v>
          </cell>
          <cell r="H211">
            <v>28035</v>
          </cell>
          <cell r="I211" t="str">
            <v>44 TAHUN</v>
          </cell>
          <cell r="J211" t="str">
            <v>KRISTEN</v>
          </cell>
          <cell r="K211" t="str">
            <v>NON KONTRAKTOR</v>
          </cell>
          <cell r="L211">
            <v>3</v>
          </cell>
          <cell r="M211" t="str">
            <v>YUSIA</v>
          </cell>
          <cell r="N211">
            <v>386796078</v>
          </cell>
          <cell r="O211" t="str">
            <v>BNI</v>
          </cell>
          <cell r="P211" t="str">
            <v>AKTIF</v>
          </cell>
          <cell r="R211" t="str">
            <v>PANEN</v>
          </cell>
          <cell r="S211" t="str">
            <v>BORONGAN</v>
          </cell>
          <cell r="T211" t="str">
            <v>TRANSFER</v>
          </cell>
          <cell r="U211" t="str">
            <v>6109060210760003</v>
          </cell>
          <cell r="V211" t="str">
            <v>LOKAL</v>
          </cell>
        </row>
        <row r="212">
          <cell r="B212" t="str">
            <v>GM-00220</v>
          </cell>
          <cell r="C212" t="str">
            <v>ADI</v>
          </cell>
          <cell r="E212">
            <v>43349</v>
          </cell>
          <cell r="F212" t="str">
            <v>L</v>
          </cell>
          <cell r="I212" t="str">
            <v>121 TAHUN</v>
          </cell>
          <cell r="J212" t="str">
            <v>KRISTEN</v>
          </cell>
          <cell r="K212" t="str">
            <v>NON KONTRAKTOR</v>
          </cell>
          <cell r="L212">
            <v>4</v>
          </cell>
          <cell r="M212" t="str">
            <v>ADI</v>
          </cell>
          <cell r="N212">
            <v>362420955</v>
          </cell>
          <cell r="O212" t="str">
            <v>BNI</v>
          </cell>
          <cell r="P212" t="str">
            <v>AKTIF</v>
          </cell>
          <cell r="R212" t="str">
            <v>PERAWATAN</v>
          </cell>
          <cell r="S212" t="str">
            <v>BORONGAN</v>
          </cell>
          <cell r="T212" t="str">
            <v>TRANSFER</v>
          </cell>
          <cell r="V212" t="str">
            <v>LOKAL</v>
          </cell>
        </row>
        <row r="213">
          <cell r="B213" t="str">
            <v>GM-00221</v>
          </cell>
          <cell r="C213" t="str">
            <v>AGUSTINUS RENO KRISTANTO</v>
          </cell>
          <cell r="E213">
            <v>43349</v>
          </cell>
          <cell r="F213" t="str">
            <v>L</v>
          </cell>
          <cell r="I213" t="str">
            <v>121 TAHUN</v>
          </cell>
          <cell r="J213" t="str">
            <v>KRISTEN</v>
          </cell>
          <cell r="K213" t="str">
            <v>NON KONTRAKTOR</v>
          </cell>
          <cell r="L213">
            <v>4</v>
          </cell>
          <cell r="M213" t="str">
            <v>AGUSTINUS RENO KRISTANTO</v>
          </cell>
          <cell r="N213">
            <v>470683239</v>
          </cell>
          <cell r="O213" t="str">
            <v>BNI</v>
          </cell>
          <cell r="P213" t="str">
            <v>AKTIF</v>
          </cell>
          <cell r="R213" t="str">
            <v>PANEN</v>
          </cell>
          <cell r="S213" t="str">
            <v>BORONGAN</v>
          </cell>
          <cell r="T213" t="str">
            <v>TRANSFER</v>
          </cell>
          <cell r="V213" t="str">
            <v>LOKAL</v>
          </cell>
        </row>
        <row r="214">
          <cell r="B214" t="str">
            <v>GM-00222</v>
          </cell>
          <cell r="C214" t="str">
            <v>AKOP. B</v>
          </cell>
          <cell r="E214">
            <v>43349</v>
          </cell>
          <cell r="F214" t="str">
            <v>L</v>
          </cell>
          <cell r="I214" t="str">
            <v>121 TAHUN</v>
          </cell>
          <cell r="J214" t="str">
            <v>KRISTEN</v>
          </cell>
          <cell r="K214" t="str">
            <v>NON KONTRAKTOR</v>
          </cell>
          <cell r="L214">
            <v>4</v>
          </cell>
          <cell r="M214" t="str">
            <v>AKOP. B</v>
          </cell>
          <cell r="N214">
            <v>526011709</v>
          </cell>
          <cell r="O214" t="str">
            <v>BNI</v>
          </cell>
          <cell r="P214" t="str">
            <v>AKTIF</v>
          </cell>
          <cell r="R214" t="str">
            <v>PANEN</v>
          </cell>
          <cell r="S214" t="str">
            <v>BORONGAN</v>
          </cell>
          <cell r="T214" t="str">
            <v>TRANSFER</v>
          </cell>
          <cell r="V214" t="str">
            <v>LOKAL</v>
          </cell>
        </row>
        <row r="215">
          <cell r="B215" t="str">
            <v>GM-00223</v>
          </cell>
          <cell r="C215" t="str">
            <v>ALBRET</v>
          </cell>
          <cell r="E215">
            <v>43349</v>
          </cell>
          <cell r="F215" t="str">
            <v>L</v>
          </cell>
          <cell r="I215" t="str">
            <v>121 TAHUN</v>
          </cell>
          <cell r="J215" t="str">
            <v>KRISTEN</v>
          </cell>
          <cell r="K215" t="str">
            <v>NON KONTRAKTOR</v>
          </cell>
          <cell r="L215">
            <v>4</v>
          </cell>
          <cell r="M215" t="str">
            <v>ALBRET</v>
          </cell>
          <cell r="N215">
            <v>526011710</v>
          </cell>
          <cell r="O215" t="str">
            <v>BNI</v>
          </cell>
          <cell r="P215" t="str">
            <v>AKTIF</v>
          </cell>
          <cell r="R215" t="str">
            <v>PANEN</v>
          </cell>
          <cell r="S215" t="str">
            <v>BORONGAN</v>
          </cell>
          <cell r="T215" t="str">
            <v>TRANSFER</v>
          </cell>
          <cell r="V215" t="str">
            <v>LOKAL</v>
          </cell>
        </row>
        <row r="216">
          <cell r="B216" t="str">
            <v>GM-00224</v>
          </cell>
          <cell r="C216" t="str">
            <v>ALPONSUS</v>
          </cell>
          <cell r="E216">
            <v>43349</v>
          </cell>
          <cell r="F216" t="str">
            <v>L</v>
          </cell>
          <cell r="G216" t="str">
            <v>RANDAU</v>
          </cell>
          <cell r="H216">
            <v>32402</v>
          </cell>
          <cell r="I216" t="str">
            <v>32 TAHUN</v>
          </cell>
          <cell r="J216" t="str">
            <v>KRISTEN</v>
          </cell>
          <cell r="K216" t="str">
            <v>NON KONTRAKTOR</v>
          </cell>
          <cell r="L216">
            <v>4</v>
          </cell>
          <cell r="M216" t="str">
            <v>ALPONSUS</v>
          </cell>
          <cell r="N216">
            <v>526011630</v>
          </cell>
          <cell r="O216" t="str">
            <v>BNI</v>
          </cell>
          <cell r="P216" t="str">
            <v>AKTIF</v>
          </cell>
          <cell r="R216" t="str">
            <v>PANEN</v>
          </cell>
          <cell r="S216" t="str">
            <v>BORONGAN</v>
          </cell>
          <cell r="T216" t="str">
            <v>TRANSFER</v>
          </cell>
          <cell r="U216" t="str">
            <v>6109061609880002</v>
          </cell>
          <cell r="V216" t="str">
            <v>LOKAL</v>
          </cell>
        </row>
        <row r="217">
          <cell r="B217" t="str">
            <v>GM-00225</v>
          </cell>
          <cell r="C217" t="str">
            <v>ANDERSON</v>
          </cell>
          <cell r="E217">
            <v>43349</v>
          </cell>
          <cell r="F217" t="str">
            <v>L</v>
          </cell>
          <cell r="G217" t="str">
            <v>SEBETUNG</v>
          </cell>
          <cell r="H217">
            <v>28303</v>
          </cell>
          <cell r="I217" t="str">
            <v>43 TAHUN</v>
          </cell>
          <cell r="J217" t="str">
            <v>KRISTEN</v>
          </cell>
          <cell r="K217" t="str">
            <v>NON KONTRAKTOR</v>
          </cell>
          <cell r="L217">
            <v>4</v>
          </cell>
          <cell r="M217" t="str">
            <v>ANDERSON</v>
          </cell>
          <cell r="N217">
            <v>386797196</v>
          </cell>
          <cell r="O217" t="str">
            <v>BNI</v>
          </cell>
          <cell r="P217" t="str">
            <v>AKTIF</v>
          </cell>
          <cell r="R217" t="str">
            <v>PANEN</v>
          </cell>
          <cell r="S217" t="str">
            <v>BORONGAN</v>
          </cell>
          <cell r="T217" t="str">
            <v>TRANSFER</v>
          </cell>
          <cell r="V217" t="str">
            <v>LOKAL</v>
          </cell>
        </row>
        <row r="218">
          <cell r="B218" t="str">
            <v>GM-00226</v>
          </cell>
          <cell r="C218" t="str">
            <v>ANDI</v>
          </cell>
          <cell r="E218">
            <v>43349</v>
          </cell>
          <cell r="F218" t="str">
            <v>L</v>
          </cell>
          <cell r="I218" t="str">
            <v>121 TAHUN</v>
          </cell>
          <cell r="J218" t="str">
            <v>KRISTEN</v>
          </cell>
          <cell r="K218" t="str">
            <v>NON KONTRAKTOR</v>
          </cell>
          <cell r="L218">
            <v>4</v>
          </cell>
          <cell r="P218" t="str">
            <v>AKTIF</v>
          </cell>
          <cell r="R218" t="str">
            <v>PERAWATAN</v>
          </cell>
          <cell r="S218" t="str">
            <v>BORONGAN</v>
          </cell>
          <cell r="T218" t="str">
            <v>TUNAI</v>
          </cell>
          <cell r="V218" t="str">
            <v>LOKAL</v>
          </cell>
        </row>
        <row r="219">
          <cell r="B219" t="str">
            <v>GM-00227</v>
          </cell>
          <cell r="C219" t="str">
            <v>ANSELMUS</v>
          </cell>
          <cell r="E219">
            <v>43349</v>
          </cell>
          <cell r="F219" t="str">
            <v>L</v>
          </cell>
          <cell r="G219" t="str">
            <v>PAKIT MULAU</v>
          </cell>
          <cell r="H219">
            <v>28517</v>
          </cell>
          <cell r="I219" t="str">
            <v>43 TAHUN</v>
          </cell>
          <cell r="J219" t="str">
            <v>KRISTEN</v>
          </cell>
          <cell r="K219" t="str">
            <v>NON KONTRAKTOR</v>
          </cell>
          <cell r="L219">
            <v>4</v>
          </cell>
          <cell r="M219" t="str">
            <v>ANSELMUS</v>
          </cell>
          <cell r="N219">
            <v>445358164</v>
          </cell>
          <cell r="O219" t="str">
            <v>BNI</v>
          </cell>
          <cell r="P219" t="str">
            <v>AKTIF</v>
          </cell>
          <cell r="R219" t="str">
            <v>PANEN</v>
          </cell>
          <cell r="S219" t="str">
            <v>BORONGAN</v>
          </cell>
          <cell r="T219" t="str">
            <v>TRANSFER</v>
          </cell>
          <cell r="U219" t="str">
            <v>6109062701780002</v>
          </cell>
          <cell r="V219" t="str">
            <v>LOKAL</v>
          </cell>
        </row>
        <row r="220">
          <cell r="B220" t="str">
            <v>GM-00228</v>
          </cell>
          <cell r="C220" t="str">
            <v>ANTONIUS RIKI</v>
          </cell>
          <cell r="E220">
            <v>43349</v>
          </cell>
          <cell r="F220" t="str">
            <v>L</v>
          </cell>
          <cell r="G220" t="str">
            <v>AMOH</v>
          </cell>
          <cell r="H220">
            <v>33379</v>
          </cell>
          <cell r="I220" t="str">
            <v>29 TAHUN</v>
          </cell>
          <cell r="J220" t="str">
            <v>KRISTEN</v>
          </cell>
          <cell r="K220" t="str">
            <v>NON KONTRAKTOR</v>
          </cell>
          <cell r="L220">
            <v>4</v>
          </cell>
          <cell r="M220" t="str">
            <v>ANTONIUS RIKI</v>
          </cell>
          <cell r="N220">
            <v>442389480</v>
          </cell>
          <cell r="O220" t="str">
            <v>BNI</v>
          </cell>
          <cell r="P220" t="str">
            <v>AKTIF</v>
          </cell>
          <cell r="R220" t="str">
            <v>PANEN</v>
          </cell>
          <cell r="S220" t="str">
            <v>BORONGAN</v>
          </cell>
          <cell r="T220" t="str">
            <v>TRANSFER</v>
          </cell>
          <cell r="U220" t="str">
            <v>6109062105910002</v>
          </cell>
          <cell r="V220" t="str">
            <v>LOKAL</v>
          </cell>
        </row>
        <row r="221">
          <cell r="B221" t="str">
            <v>GM-00229</v>
          </cell>
          <cell r="C221" t="str">
            <v>BORNEO</v>
          </cell>
          <cell r="E221">
            <v>43349</v>
          </cell>
          <cell r="F221" t="str">
            <v>L</v>
          </cell>
          <cell r="G221" t="str">
            <v>DANDI</v>
          </cell>
          <cell r="H221">
            <v>29201</v>
          </cell>
          <cell r="I221" t="str">
            <v>41 TAHUN</v>
          </cell>
          <cell r="J221" t="str">
            <v>KRISTEN</v>
          </cell>
          <cell r="K221" t="str">
            <v>NON KONTRAKTOR</v>
          </cell>
          <cell r="L221">
            <v>4</v>
          </cell>
          <cell r="M221" t="str">
            <v>BORNEO</v>
          </cell>
          <cell r="N221">
            <v>386797174</v>
          </cell>
          <cell r="O221" t="str">
            <v>BNI</v>
          </cell>
          <cell r="P221" t="str">
            <v>AKTIF</v>
          </cell>
          <cell r="R221" t="str">
            <v>PANEN</v>
          </cell>
          <cell r="S221" t="str">
            <v>BORONGAN</v>
          </cell>
          <cell r="T221" t="str">
            <v>TRANSFER</v>
          </cell>
          <cell r="U221" t="str">
            <v>6109061212790007</v>
          </cell>
          <cell r="V221" t="str">
            <v>LOKAL</v>
          </cell>
        </row>
        <row r="222">
          <cell r="B222" t="str">
            <v>GM-00230</v>
          </cell>
          <cell r="C222" t="str">
            <v>BUDI GUNAWAN</v>
          </cell>
          <cell r="E222">
            <v>43349</v>
          </cell>
          <cell r="F222" t="str">
            <v>L</v>
          </cell>
          <cell r="G222" t="str">
            <v>KEDANG LENGKAM</v>
          </cell>
          <cell r="H222">
            <v>31607</v>
          </cell>
          <cell r="I222" t="str">
            <v>34 TAHUN</v>
          </cell>
          <cell r="J222" t="str">
            <v>KRISTEN</v>
          </cell>
          <cell r="K222" t="str">
            <v>NON KONTRAKTOR</v>
          </cell>
          <cell r="L222">
            <v>4</v>
          </cell>
          <cell r="M222" t="str">
            <v>BUDI GUNAWAN</v>
          </cell>
          <cell r="N222">
            <v>386797094</v>
          </cell>
          <cell r="O222" t="str">
            <v>BNI</v>
          </cell>
          <cell r="P222" t="str">
            <v>AKTIF</v>
          </cell>
          <cell r="R222" t="str">
            <v>PANEN</v>
          </cell>
          <cell r="S222" t="str">
            <v>BORONGAN</v>
          </cell>
          <cell r="T222" t="str">
            <v>TRANSFER</v>
          </cell>
          <cell r="V222" t="str">
            <v>LOKAL</v>
          </cell>
        </row>
        <row r="223">
          <cell r="B223" t="str">
            <v>GM-00231</v>
          </cell>
          <cell r="C223" t="str">
            <v>BUDI ARYANTO</v>
          </cell>
          <cell r="E223">
            <v>43349</v>
          </cell>
          <cell r="F223" t="str">
            <v>L</v>
          </cell>
          <cell r="I223" t="str">
            <v>121 TAHUN</v>
          </cell>
          <cell r="J223" t="str">
            <v>KRISTEN</v>
          </cell>
          <cell r="K223" t="str">
            <v>NON KONTRAKTOR</v>
          </cell>
          <cell r="L223">
            <v>4</v>
          </cell>
          <cell r="M223" t="str">
            <v>BUDI ARYANTO</v>
          </cell>
          <cell r="N223">
            <v>413958501</v>
          </cell>
          <cell r="O223" t="str">
            <v>BNI</v>
          </cell>
          <cell r="P223" t="str">
            <v>AKTIF</v>
          </cell>
          <cell r="R223" t="str">
            <v>PANEN</v>
          </cell>
          <cell r="S223" t="str">
            <v>BORONGAN</v>
          </cell>
          <cell r="T223" t="str">
            <v>TRANSFER</v>
          </cell>
          <cell r="V223" t="str">
            <v>LOKAL</v>
          </cell>
        </row>
        <row r="224">
          <cell r="B224" t="str">
            <v>GM-00232</v>
          </cell>
          <cell r="C224" t="str">
            <v>DANIL SINTUK</v>
          </cell>
          <cell r="E224">
            <v>43349</v>
          </cell>
          <cell r="F224" t="str">
            <v>L</v>
          </cell>
          <cell r="G224" t="str">
            <v>SEBURUK</v>
          </cell>
          <cell r="H224">
            <v>27220</v>
          </cell>
          <cell r="I224" t="str">
            <v>46 TAHUN</v>
          </cell>
          <cell r="J224" t="str">
            <v>KRISTEN</v>
          </cell>
          <cell r="K224" t="str">
            <v>NON KONTRAKTOR</v>
          </cell>
          <cell r="L224">
            <v>4</v>
          </cell>
          <cell r="M224" t="str">
            <v>DANIL SINTUK</v>
          </cell>
          <cell r="N224">
            <v>386797049</v>
          </cell>
          <cell r="O224" t="str">
            <v>BNI</v>
          </cell>
          <cell r="P224" t="str">
            <v>AKTIF</v>
          </cell>
          <cell r="R224" t="str">
            <v>PANEN</v>
          </cell>
          <cell r="S224" t="str">
            <v>BORONGAN</v>
          </cell>
          <cell r="T224" t="str">
            <v>TRANSFER</v>
          </cell>
          <cell r="U224" t="str">
            <v>6109061007740003</v>
          </cell>
          <cell r="V224" t="str">
            <v>LOKAL</v>
          </cell>
        </row>
        <row r="225">
          <cell r="B225" t="str">
            <v>GM-00233</v>
          </cell>
          <cell r="C225" t="str">
            <v>DAVID</v>
          </cell>
          <cell r="E225">
            <v>43497</v>
          </cell>
          <cell r="F225" t="str">
            <v>L</v>
          </cell>
          <cell r="G225" t="str">
            <v>KEMANTAN</v>
          </cell>
          <cell r="H225">
            <v>33400</v>
          </cell>
          <cell r="I225" t="str">
            <v>29 TAHUN</v>
          </cell>
          <cell r="J225" t="str">
            <v>KRISTEN</v>
          </cell>
          <cell r="K225" t="str">
            <v>NON KONTRAKTOR</v>
          </cell>
          <cell r="L225">
            <v>4</v>
          </cell>
          <cell r="M225" t="str">
            <v>DAVID</v>
          </cell>
          <cell r="N225">
            <v>386797118</v>
          </cell>
          <cell r="O225" t="str">
            <v>BNI</v>
          </cell>
          <cell r="P225" t="str">
            <v>AKTIF</v>
          </cell>
          <cell r="R225" t="str">
            <v>PANEN</v>
          </cell>
          <cell r="S225" t="str">
            <v>BORONGAN</v>
          </cell>
          <cell r="T225" t="str">
            <v>TRANSFER</v>
          </cell>
          <cell r="U225" t="str">
            <v>6109061106910001</v>
          </cell>
          <cell r="V225" t="str">
            <v>LOKAL</v>
          </cell>
        </row>
        <row r="226">
          <cell r="B226" t="str">
            <v>GM-00234</v>
          </cell>
          <cell r="C226" t="str">
            <v>DAWAN</v>
          </cell>
          <cell r="E226">
            <v>43349</v>
          </cell>
          <cell r="F226" t="str">
            <v>L</v>
          </cell>
          <cell r="I226" t="str">
            <v>121 TAHUN</v>
          </cell>
          <cell r="J226" t="str">
            <v>KRISTEN</v>
          </cell>
          <cell r="K226" t="str">
            <v>NON KONTRAKTOR</v>
          </cell>
          <cell r="L226">
            <v>4</v>
          </cell>
          <cell r="M226" t="str">
            <v>DAWAN</v>
          </cell>
          <cell r="N226">
            <v>526011696</v>
          </cell>
          <cell r="O226" t="str">
            <v>BNI</v>
          </cell>
          <cell r="P226" t="str">
            <v>AKTIF</v>
          </cell>
          <cell r="R226" t="str">
            <v>PANEN</v>
          </cell>
          <cell r="S226" t="str">
            <v>BORONGAN</v>
          </cell>
          <cell r="T226" t="str">
            <v>TRANSFER</v>
          </cell>
          <cell r="V226" t="str">
            <v>LOKAL</v>
          </cell>
        </row>
        <row r="227">
          <cell r="B227" t="str">
            <v>GM-00235</v>
          </cell>
          <cell r="C227" t="str">
            <v>DEMAS WANI SEMUEL</v>
          </cell>
          <cell r="E227">
            <v>43349</v>
          </cell>
          <cell r="F227" t="str">
            <v>L</v>
          </cell>
          <cell r="G227" t="str">
            <v>DANDI</v>
          </cell>
          <cell r="H227">
            <v>26076</v>
          </cell>
          <cell r="I227" t="str">
            <v>49 TAHUN</v>
          </cell>
          <cell r="J227" t="str">
            <v>KRISTEN</v>
          </cell>
          <cell r="K227" t="str">
            <v>NON KONTRAKTOR</v>
          </cell>
          <cell r="L227">
            <v>4</v>
          </cell>
          <cell r="M227" t="str">
            <v>DEMAS WANI SEMUEL</v>
          </cell>
          <cell r="N227">
            <v>359565940</v>
          </cell>
          <cell r="O227" t="str">
            <v>BNI</v>
          </cell>
          <cell r="P227" t="str">
            <v>AKTIF</v>
          </cell>
          <cell r="R227" t="str">
            <v>PANEN</v>
          </cell>
          <cell r="S227" t="str">
            <v>BORONGAN</v>
          </cell>
          <cell r="T227" t="str">
            <v>TRANSFER</v>
          </cell>
          <cell r="U227" t="str">
            <v>6109062305710004</v>
          </cell>
          <cell r="V227" t="str">
            <v>LOKAL</v>
          </cell>
        </row>
        <row r="228">
          <cell r="B228" t="str">
            <v>GM-00236</v>
          </cell>
          <cell r="C228" t="str">
            <v>DERMADI</v>
          </cell>
          <cell r="E228">
            <v>43349</v>
          </cell>
          <cell r="F228" t="str">
            <v>L</v>
          </cell>
          <cell r="G228" t="str">
            <v>SUNGAI ANTU RANGAH</v>
          </cell>
          <cell r="H228">
            <v>27237</v>
          </cell>
          <cell r="I228" t="str">
            <v>46 TAHUN</v>
          </cell>
          <cell r="J228" t="str">
            <v>KRISTEN</v>
          </cell>
          <cell r="K228" t="str">
            <v>NON KONTRAKTOR</v>
          </cell>
          <cell r="L228">
            <v>4</v>
          </cell>
          <cell r="M228" t="str">
            <v>DERMADI</v>
          </cell>
          <cell r="N228">
            <v>388035099</v>
          </cell>
          <cell r="O228" t="str">
            <v>BNI</v>
          </cell>
          <cell r="P228" t="str">
            <v>AKTIF</v>
          </cell>
          <cell r="R228" t="str">
            <v>PANEN</v>
          </cell>
          <cell r="S228" t="str">
            <v>BORONGAN</v>
          </cell>
          <cell r="T228" t="str">
            <v>TRANSFER</v>
          </cell>
          <cell r="V228" t="str">
            <v>LOKAL</v>
          </cell>
        </row>
        <row r="229">
          <cell r="B229" t="str">
            <v>GM-00238</v>
          </cell>
          <cell r="C229" t="str">
            <v>DINO</v>
          </cell>
          <cell r="E229">
            <v>43349</v>
          </cell>
          <cell r="F229" t="str">
            <v>L</v>
          </cell>
          <cell r="G229" t="str">
            <v>AMOH</v>
          </cell>
          <cell r="H229">
            <v>35232</v>
          </cell>
          <cell r="I229" t="str">
            <v>24 TAHUN</v>
          </cell>
          <cell r="J229" t="str">
            <v>KRISTEN</v>
          </cell>
          <cell r="K229" t="str">
            <v>NON KONTRAKTOR</v>
          </cell>
          <cell r="L229">
            <v>4</v>
          </cell>
          <cell r="M229" t="str">
            <v>DINO</v>
          </cell>
          <cell r="N229">
            <v>388035102</v>
          </cell>
          <cell r="O229" t="str">
            <v>BNI</v>
          </cell>
          <cell r="P229" t="str">
            <v>AKTIF</v>
          </cell>
          <cell r="R229" t="str">
            <v>PANEN</v>
          </cell>
          <cell r="S229" t="str">
            <v>BORONGAN</v>
          </cell>
          <cell r="T229" t="str">
            <v>TRANSFER</v>
          </cell>
          <cell r="V229" t="str">
            <v>LOKAL</v>
          </cell>
        </row>
        <row r="230">
          <cell r="B230" t="str">
            <v>GM-00239</v>
          </cell>
          <cell r="C230" t="str">
            <v>EKO HARMOKO</v>
          </cell>
          <cell r="E230">
            <v>43349</v>
          </cell>
          <cell r="F230" t="str">
            <v>L</v>
          </cell>
          <cell r="G230" t="str">
            <v>DANDI</v>
          </cell>
          <cell r="H230">
            <v>34824</v>
          </cell>
          <cell r="I230" t="str">
            <v>25 TAHUN</v>
          </cell>
          <cell r="J230" t="str">
            <v>KRISTEN</v>
          </cell>
          <cell r="K230" t="str">
            <v>NON KONTRAKTOR</v>
          </cell>
          <cell r="L230">
            <v>3</v>
          </cell>
          <cell r="M230" t="str">
            <v>EKO HARMOKO</v>
          </cell>
          <cell r="N230">
            <v>386797038</v>
          </cell>
          <cell r="O230" t="str">
            <v>BNI</v>
          </cell>
          <cell r="P230" t="str">
            <v>AKTIF</v>
          </cell>
          <cell r="R230" t="str">
            <v>PANEN</v>
          </cell>
          <cell r="S230" t="str">
            <v>BORONGAN</v>
          </cell>
          <cell r="T230" t="str">
            <v>TRANSFER</v>
          </cell>
          <cell r="U230" t="str">
            <v>6109060505950010</v>
          </cell>
          <cell r="V230" t="str">
            <v>LOKAL</v>
          </cell>
        </row>
        <row r="231">
          <cell r="B231" t="str">
            <v>GM-00240</v>
          </cell>
          <cell r="C231" t="str">
            <v>FILATUS</v>
          </cell>
          <cell r="E231">
            <v>43349</v>
          </cell>
          <cell r="F231" t="str">
            <v>L</v>
          </cell>
          <cell r="G231" t="str">
            <v>PAKIT MULAU</v>
          </cell>
          <cell r="H231">
            <v>28265</v>
          </cell>
          <cell r="I231" t="str">
            <v>43 TAHUN</v>
          </cell>
          <cell r="J231" t="str">
            <v>KRISTEN</v>
          </cell>
          <cell r="K231" t="str">
            <v>NON KONTRAKTOR</v>
          </cell>
          <cell r="L231">
            <v>4</v>
          </cell>
          <cell r="M231" t="str">
            <v>FILATUS</v>
          </cell>
          <cell r="N231">
            <v>445951303</v>
          </cell>
          <cell r="O231" t="str">
            <v>BNI</v>
          </cell>
          <cell r="P231" t="str">
            <v>AKTIF</v>
          </cell>
          <cell r="R231" t="str">
            <v>PANEN</v>
          </cell>
          <cell r="S231" t="str">
            <v>BORONGAN</v>
          </cell>
          <cell r="T231" t="str">
            <v>TRANSFER</v>
          </cell>
          <cell r="U231" t="str">
            <v>6107082005770003</v>
          </cell>
          <cell r="V231" t="str">
            <v>LOKAL</v>
          </cell>
        </row>
        <row r="232">
          <cell r="B232" t="str">
            <v>GM-00241</v>
          </cell>
          <cell r="C232" t="str">
            <v>FINSINSIUS</v>
          </cell>
          <cell r="E232">
            <v>43349</v>
          </cell>
          <cell r="F232" t="str">
            <v>L</v>
          </cell>
          <cell r="I232" t="str">
            <v>121 TAHUN</v>
          </cell>
          <cell r="J232" t="str">
            <v>KRISTEN</v>
          </cell>
          <cell r="K232" t="str">
            <v>NON KONTRAKTOR</v>
          </cell>
          <cell r="L232">
            <v>4</v>
          </cell>
          <cell r="M232" t="str">
            <v>FINSINSIUS</v>
          </cell>
          <cell r="N232">
            <v>526011743</v>
          </cell>
          <cell r="O232" t="str">
            <v>BNI</v>
          </cell>
          <cell r="P232" t="str">
            <v>AKTIF</v>
          </cell>
          <cell r="R232" t="str">
            <v>PANEN</v>
          </cell>
          <cell r="S232" t="str">
            <v>BORONGAN</v>
          </cell>
          <cell r="T232" t="str">
            <v>TRANSFER</v>
          </cell>
          <cell r="V232" t="str">
            <v>LOKAL</v>
          </cell>
        </row>
        <row r="233">
          <cell r="B233" t="str">
            <v>GM-00242</v>
          </cell>
          <cell r="C233" t="str">
            <v>GUNAWAN</v>
          </cell>
          <cell r="E233">
            <v>43349</v>
          </cell>
          <cell r="F233" t="str">
            <v>L</v>
          </cell>
          <cell r="I233" t="str">
            <v>121 TAHUN</v>
          </cell>
          <cell r="J233" t="str">
            <v>KRISTEN</v>
          </cell>
          <cell r="K233" t="str">
            <v>NON KONTRAKTOR</v>
          </cell>
          <cell r="L233">
            <v>4</v>
          </cell>
          <cell r="M233" t="str">
            <v>GUNAWAN</v>
          </cell>
          <cell r="N233">
            <v>526011721</v>
          </cell>
          <cell r="O233" t="str">
            <v>BNI</v>
          </cell>
          <cell r="P233" t="str">
            <v>AKTIF</v>
          </cell>
          <cell r="R233" t="str">
            <v>PANEN</v>
          </cell>
          <cell r="S233" t="str">
            <v>BORONGAN</v>
          </cell>
          <cell r="T233" t="str">
            <v>TRANSFER</v>
          </cell>
          <cell r="V233" t="str">
            <v>LOKAL</v>
          </cell>
        </row>
        <row r="234">
          <cell r="B234" t="str">
            <v>GM-00243</v>
          </cell>
          <cell r="C234" t="str">
            <v>HENDRI DAITON</v>
          </cell>
          <cell r="E234">
            <v>43349</v>
          </cell>
          <cell r="F234" t="str">
            <v>L</v>
          </cell>
          <cell r="G234" t="str">
            <v>DAMPAK</v>
          </cell>
          <cell r="H234">
            <v>27375</v>
          </cell>
          <cell r="I234" t="str">
            <v>46 TAHUN</v>
          </cell>
          <cell r="J234" t="str">
            <v>KRISTEN</v>
          </cell>
          <cell r="K234" t="str">
            <v>NON KONTRAKTOR</v>
          </cell>
          <cell r="L234">
            <v>4</v>
          </cell>
          <cell r="M234" t="str">
            <v>HENDRI DAITON</v>
          </cell>
          <cell r="N234">
            <v>413958181</v>
          </cell>
          <cell r="O234" t="str">
            <v>BNI</v>
          </cell>
          <cell r="P234" t="str">
            <v>AKTIF</v>
          </cell>
          <cell r="R234" t="str">
            <v>PANEN</v>
          </cell>
          <cell r="S234" t="str">
            <v>BORONGAN</v>
          </cell>
          <cell r="T234" t="str">
            <v>TRANSFER</v>
          </cell>
          <cell r="V234" t="str">
            <v>LOKAL</v>
          </cell>
        </row>
        <row r="235">
          <cell r="B235" t="str">
            <v>GM-00244</v>
          </cell>
          <cell r="C235" t="str">
            <v>HENDRI SOSILO</v>
          </cell>
          <cell r="E235">
            <v>43349</v>
          </cell>
          <cell r="F235" t="str">
            <v>L</v>
          </cell>
          <cell r="I235" t="str">
            <v>121 TAHUN</v>
          </cell>
          <cell r="J235" t="str">
            <v>KRISTEN</v>
          </cell>
          <cell r="K235" t="str">
            <v>NON KONTRAKTOR</v>
          </cell>
          <cell r="L235">
            <v>4</v>
          </cell>
          <cell r="M235" t="str">
            <v>HENDRI SOSILO</v>
          </cell>
          <cell r="N235">
            <v>386796997</v>
          </cell>
          <cell r="O235" t="str">
            <v>BNI</v>
          </cell>
          <cell r="P235" t="str">
            <v>AKTIF</v>
          </cell>
          <cell r="R235" t="str">
            <v>PANEN</v>
          </cell>
          <cell r="S235" t="str">
            <v>BORONGAN</v>
          </cell>
          <cell r="T235" t="str">
            <v>TRANSFER</v>
          </cell>
          <cell r="V235" t="str">
            <v>LOKAL</v>
          </cell>
        </row>
        <row r="236">
          <cell r="B236" t="str">
            <v>GM-00245</v>
          </cell>
          <cell r="C236" t="str">
            <v>HERDIMAS RONI</v>
          </cell>
          <cell r="E236">
            <v>43349</v>
          </cell>
          <cell r="F236" t="str">
            <v>L</v>
          </cell>
          <cell r="I236" t="str">
            <v>121 TAHUN</v>
          </cell>
          <cell r="J236" t="str">
            <v>KRISTEN</v>
          </cell>
          <cell r="K236" t="str">
            <v>NON KONTRAKTOR</v>
          </cell>
          <cell r="L236">
            <v>4</v>
          </cell>
          <cell r="M236" t="str">
            <v>HERDIMAS RONI</v>
          </cell>
          <cell r="N236">
            <v>386796920</v>
          </cell>
          <cell r="O236" t="str">
            <v>BNI</v>
          </cell>
          <cell r="P236" t="str">
            <v>AKTIF</v>
          </cell>
          <cell r="R236" t="str">
            <v>PANEN</v>
          </cell>
          <cell r="S236" t="str">
            <v>BORONGAN</v>
          </cell>
          <cell r="T236" t="str">
            <v>TRANSFER</v>
          </cell>
          <cell r="V236" t="str">
            <v>LOKAL</v>
          </cell>
        </row>
        <row r="237">
          <cell r="B237" t="str">
            <v>GM-00246</v>
          </cell>
          <cell r="C237" t="str">
            <v>HERMANUS</v>
          </cell>
          <cell r="E237">
            <v>43349</v>
          </cell>
          <cell r="F237" t="str">
            <v>L</v>
          </cell>
          <cell r="I237" t="str">
            <v>121 TAHUN</v>
          </cell>
          <cell r="J237" t="str">
            <v>KRISTEN</v>
          </cell>
          <cell r="K237" t="str">
            <v>NON KONTRAKTOR</v>
          </cell>
          <cell r="L237">
            <v>4</v>
          </cell>
          <cell r="M237" t="str">
            <v>HERMANUS</v>
          </cell>
          <cell r="N237">
            <v>526011732</v>
          </cell>
          <cell r="O237" t="str">
            <v>BNI</v>
          </cell>
          <cell r="P237" t="str">
            <v>AKTIF</v>
          </cell>
          <cell r="R237" t="str">
            <v>PANEN</v>
          </cell>
          <cell r="S237" t="str">
            <v>BORONGAN</v>
          </cell>
          <cell r="T237" t="str">
            <v>TRANSFER</v>
          </cell>
          <cell r="V237" t="str">
            <v>LOKAL</v>
          </cell>
        </row>
        <row r="238">
          <cell r="B238" t="str">
            <v>GM-00247</v>
          </cell>
          <cell r="C238" t="str">
            <v>HERMANUS JALAK</v>
          </cell>
          <cell r="E238">
            <v>43349</v>
          </cell>
          <cell r="F238" t="str">
            <v>L</v>
          </cell>
          <cell r="I238" t="str">
            <v>121 TAHUN</v>
          </cell>
          <cell r="J238" t="str">
            <v>KRISTEN</v>
          </cell>
          <cell r="K238" t="str">
            <v>NON KONTRAKTOR</v>
          </cell>
          <cell r="L238">
            <v>4</v>
          </cell>
          <cell r="M238" t="str">
            <v>HERMANUS JALAK</v>
          </cell>
          <cell r="N238">
            <v>445358222</v>
          </cell>
          <cell r="O238" t="str">
            <v>BNI</v>
          </cell>
          <cell r="P238" t="str">
            <v>AKTIF</v>
          </cell>
          <cell r="R238" t="str">
            <v>PANEN</v>
          </cell>
          <cell r="S238" t="str">
            <v>BORONGAN</v>
          </cell>
          <cell r="T238" t="str">
            <v>TRANSFER</v>
          </cell>
          <cell r="V238" t="str">
            <v>LOKAL</v>
          </cell>
        </row>
        <row r="239">
          <cell r="B239" t="str">
            <v>GM-00248</v>
          </cell>
          <cell r="C239" t="str">
            <v>IVANDRY</v>
          </cell>
          <cell r="E239">
            <v>43349</v>
          </cell>
          <cell r="F239" t="str">
            <v>L</v>
          </cell>
          <cell r="G239" t="str">
            <v>SEBETUNG</v>
          </cell>
          <cell r="H239">
            <v>30720</v>
          </cell>
          <cell r="I239" t="str">
            <v>36 TAHUN</v>
          </cell>
          <cell r="J239" t="str">
            <v>KRISTEN</v>
          </cell>
          <cell r="K239" t="str">
            <v>NON KONTRAKTOR</v>
          </cell>
          <cell r="L239">
            <v>4</v>
          </cell>
          <cell r="M239" t="str">
            <v>IVANDRY</v>
          </cell>
          <cell r="N239">
            <v>386797232</v>
          </cell>
          <cell r="O239" t="str">
            <v>BNI</v>
          </cell>
          <cell r="P239" t="str">
            <v>AKTIF</v>
          </cell>
          <cell r="R239" t="str">
            <v>PANEN</v>
          </cell>
          <cell r="S239" t="str">
            <v>BORONGAN</v>
          </cell>
          <cell r="T239" t="str">
            <v>TRANSFER</v>
          </cell>
          <cell r="V239" t="str">
            <v>LOKAL</v>
          </cell>
        </row>
        <row r="240">
          <cell r="B240" t="str">
            <v>GM-00249</v>
          </cell>
          <cell r="C240" t="str">
            <v>IVO ATTA ORIGO</v>
          </cell>
          <cell r="E240">
            <v>43517</v>
          </cell>
          <cell r="F240" t="str">
            <v>L</v>
          </cell>
          <cell r="G240" t="str">
            <v>SEI MAWANG</v>
          </cell>
          <cell r="H240">
            <v>33743</v>
          </cell>
          <cell r="I240" t="str">
            <v>28 TAHUN</v>
          </cell>
          <cell r="J240" t="str">
            <v>KATHOLIK</v>
          </cell>
          <cell r="K240" t="str">
            <v>NURSAIL</v>
          </cell>
          <cell r="L240">
            <v>4</v>
          </cell>
          <cell r="P240" t="str">
            <v>AKTIF</v>
          </cell>
          <cell r="R240" t="str">
            <v>PANEN</v>
          </cell>
          <cell r="S240" t="str">
            <v>BORONGAN</v>
          </cell>
          <cell r="T240" t="str">
            <v>TUNAI</v>
          </cell>
          <cell r="U240" t="str">
            <v>6103021905920001</v>
          </cell>
          <cell r="V240" t="str">
            <v>LOKAL</v>
          </cell>
        </row>
        <row r="241">
          <cell r="B241" t="str">
            <v>GM-00250</v>
          </cell>
          <cell r="C241" t="str">
            <v>JAMALUDIN</v>
          </cell>
          <cell r="E241">
            <v>43349</v>
          </cell>
          <cell r="F241" t="str">
            <v>L</v>
          </cell>
          <cell r="G241" t="str">
            <v>NANGA MAU</v>
          </cell>
          <cell r="H241">
            <v>27164</v>
          </cell>
          <cell r="I241" t="str">
            <v>46 TAHUN</v>
          </cell>
          <cell r="J241" t="str">
            <v>KRISTEN</v>
          </cell>
          <cell r="K241" t="str">
            <v>NON KONTRAKTOR</v>
          </cell>
          <cell r="L241">
            <v>4</v>
          </cell>
          <cell r="M241" t="str">
            <v>JAMALUDIN</v>
          </cell>
          <cell r="N241">
            <v>526011674</v>
          </cell>
          <cell r="O241" t="str">
            <v>BNI</v>
          </cell>
          <cell r="P241" t="str">
            <v>AKTIF</v>
          </cell>
          <cell r="R241" t="str">
            <v>PANEN</v>
          </cell>
          <cell r="S241" t="str">
            <v>BORONGAN</v>
          </cell>
          <cell r="T241" t="str">
            <v>TRANSFER</v>
          </cell>
          <cell r="U241" t="str">
            <v>6109061505740003</v>
          </cell>
          <cell r="V241" t="str">
            <v>LOKAL</v>
          </cell>
        </row>
        <row r="242">
          <cell r="B242" t="str">
            <v>GM-00252</v>
          </cell>
          <cell r="C242" t="str">
            <v>JIPI SUNARYO</v>
          </cell>
          <cell r="E242">
            <v>43349</v>
          </cell>
          <cell r="F242" t="str">
            <v>L</v>
          </cell>
          <cell r="I242" t="str">
            <v>121 TAHUN</v>
          </cell>
          <cell r="J242" t="str">
            <v>KRISTEN</v>
          </cell>
          <cell r="K242" t="str">
            <v>NON KONTRAKTOR</v>
          </cell>
          <cell r="L242">
            <v>3</v>
          </cell>
          <cell r="P242" t="str">
            <v>AKTIF</v>
          </cell>
          <cell r="R242" t="str">
            <v>PANEN</v>
          </cell>
          <cell r="S242" t="str">
            <v>BORONGAN</v>
          </cell>
          <cell r="T242" t="str">
            <v>TUNAI</v>
          </cell>
          <cell r="V242" t="str">
            <v>LOKAL</v>
          </cell>
        </row>
        <row r="243">
          <cell r="B243" t="str">
            <v>GM-00253</v>
          </cell>
          <cell r="C243" t="str">
            <v>LABONG</v>
          </cell>
          <cell r="E243">
            <v>43349</v>
          </cell>
          <cell r="F243" t="str">
            <v>L</v>
          </cell>
          <cell r="G243" t="str">
            <v>SUNGAI ANTU</v>
          </cell>
          <cell r="H243">
            <v>31819</v>
          </cell>
          <cell r="I243" t="str">
            <v>33 TAHUN</v>
          </cell>
          <cell r="J243" t="str">
            <v>KRISTEN</v>
          </cell>
          <cell r="K243" t="str">
            <v>NON KONTRAKTOR</v>
          </cell>
          <cell r="L243">
            <v>4</v>
          </cell>
          <cell r="M243" t="str">
            <v>LABONG</v>
          </cell>
          <cell r="N243">
            <v>445358119</v>
          </cell>
          <cell r="O243" t="str">
            <v>BNI</v>
          </cell>
          <cell r="P243" t="str">
            <v>AKTIF</v>
          </cell>
          <cell r="R243" t="str">
            <v>PANEN</v>
          </cell>
          <cell r="S243" t="str">
            <v>BORONGAN</v>
          </cell>
          <cell r="T243" t="str">
            <v>TRANSFER</v>
          </cell>
          <cell r="V243" t="str">
            <v>LOKAL</v>
          </cell>
        </row>
        <row r="244">
          <cell r="B244" t="str">
            <v>GM-00254</v>
          </cell>
          <cell r="C244" t="str">
            <v>LEONARDO SIMANJUNTAK</v>
          </cell>
          <cell r="E244">
            <v>43349</v>
          </cell>
          <cell r="F244" t="str">
            <v>L</v>
          </cell>
          <cell r="I244" t="str">
            <v>121 TAHUN</v>
          </cell>
          <cell r="J244" t="str">
            <v>KRISTEN</v>
          </cell>
          <cell r="K244" t="str">
            <v>NON KONTRAKTOR</v>
          </cell>
          <cell r="L244">
            <v>4</v>
          </cell>
          <cell r="M244" t="str">
            <v>LEONARDO SIMANJUNTAK</v>
          </cell>
          <cell r="N244">
            <v>386796443</v>
          </cell>
          <cell r="O244" t="str">
            <v>BNI</v>
          </cell>
          <cell r="P244" t="str">
            <v>AKTIF</v>
          </cell>
          <cell r="R244" t="str">
            <v>PANEN</v>
          </cell>
          <cell r="S244" t="str">
            <v>BORONGAN</v>
          </cell>
          <cell r="T244" t="str">
            <v>TRANSFER</v>
          </cell>
          <cell r="V244" t="str">
            <v>LOKAL</v>
          </cell>
        </row>
        <row r="245">
          <cell r="B245" t="str">
            <v>GM-00255</v>
          </cell>
          <cell r="C245" t="str">
            <v>LIHUN PRAYUGA</v>
          </cell>
          <cell r="E245">
            <v>43349</v>
          </cell>
          <cell r="F245" t="str">
            <v>L</v>
          </cell>
          <cell r="I245" t="str">
            <v>121 TAHUN</v>
          </cell>
          <cell r="J245" t="str">
            <v>KRISTEN</v>
          </cell>
          <cell r="K245" t="str">
            <v>NON KONTRAKTOR</v>
          </cell>
          <cell r="L245">
            <v>4</v>
          </cell>
          <cell r="M245" t="str">
            <v>LIHUN PRAYUGA</v>
          </cell>
          <cell r="N245">
            <v>381807940</v>
          </cell>
          <cell r="O245" t="str">
            <v>BNI</v>
          </cell>
          <cell r="P245" t="str">
            <v>AKTIF</v>
          </cell>
          <cell r="R245" t="str">
            <v>PANEN</v>
          </cell>
          <cell r="S245" t="str">
            <v>BORONGAN</v>
          </cell>
          <cell r="T245" t="str">
            <v>TRANSFER</v>
          </cell>
          <cell r="V245" t="str">
            <v>LOKAL</v>
          </cell>
        </row>
        <row r="246">
          <cell r="B246" t="str">
            <v>GM-00256</v>
          </cell>
          <cell r="C246" t="str">
            <v>LORENTINUS</v>
          </cell>
          <cell r="E246">
            <v>43349</v>
          </cell>
          <cell r="F246" t="str">
            <v>L</v>
          </cell>
          <cell r="I246" t="str">
            <v>121 TAHUN</v>
          </cell>
          <cell r="J246" t="str">
            <v>KRISTEN</v>
          </cell>
          <cell r="K246" t="str">
            <v>NON KONTRAKTOR</v>
          </cell>
          <cell r="L246">
            <v>4</v>
          </cell>
          <cell r="P246" t="str">
            <v>AKTIF</v>
          </cell>
          <cell r="R246" t="str">
            <v>PANEN</v>
          </cell>
          <cell r="S246" t="str">
            <v>BORONGAN</v>
          </cell>
          <cell r="T246" t="str">
            <v>TUNAI</v>
          </cell>
          <cell r="V246" t="str">
            <v>LOKAL</v>
          </cell>
        </row>
        <row r="247">
          <cell r="B247" t="str">
            <v>GM-00258</v>
          </cell>
          <cell r="C247" t="str">
            <v>MARDINO</v>
          </cell>
          <cell r="E247">
            <v>43349</v>
          </cell>
          <cell r="F247" t="str">
            <v>L</v>
          </cell>
          <cell r="G247" t="str">
            <v>EMPIT</v>
          </cell>
          <cell r="H247">
            <v>33156</v>
          </cell>
          <cell r="I247" t="str">
            <v>30 TAHUN</v>
          </cell>
          <cell r="J247" t="str">
            <v>KRISTEN</v>
          </cell>
          <cell r="K247" t="str">
            <v>NON KONTRAKTOR</v>
          </cell>
          <cell r="L247">
            <v>4</v>
          </cell>
          <cell r="M247" t="str">
            <v>MARDINO</v>
          </cell>
          <cell r="N247">
            <v>388035135</v>
          </cell>
          <cell r="O247" t="str">
            <v>BNI</v>
          </cell>
          <cell r="P247" t="str">
            <v>AKTIF</v>
          </cell>
          <cell r="R247" t="str">
            <v>PANEN</v>
          </cell>
          <cell r="S247" t="str">
            <v>BORONGAN</v>
          </cell>
          <cell r="T247" t="str">
            <v>TRANSFER</v>
          </cell>
          <cell r="V247" t="str">
            <v>LOKAL</v>
          </cell>
        </row>
        <row r="248">
          <cell r="B248" t="str">
            <v>GM-00259</v>
          </cell>
          <cell r="C248" t="str">
            <v>MARSELINUS SELIN</v>
          </cell>
          <cell r="E248">
            <v>43349</v>
          </cell>
          <cell r="F248" t="str">
            <v>L</v>
          </cell>
          <cell r="G248" t="str">
            <v>ENTUMA</v>
          </cell>
          <cell r="H248">
            <v>26187</v>
          </cell>
          <cell r="I248" t="str">
            <v>49 TAHUN</v>
          </cell>
          <cell r="J248" t="str">
            <v>KRISTEN</v>
          </cell>
          <cell r="K248" t="str">
            <v>NON KONTRAKTOR</v>
          </cell>
          <cell r="L248">
            <v>4</v>
          </cell>
          <cell r="M248" t="str">
            <v>MARSELINUS SELIN</v>
          </cell>
          <cell r="N248">
            <v>445358153</v>
          </cell>
          <cell r="O248" t="str">
            <v>BNI</v>
          </cell>
          <cell r="P248" t="str">
            <v>AKTIF</v>
          </cell>
          <cell r="R248" t="str">
            <v>PANEN</v>
          </cell>
          <cell r="S248" t="str">
            <v>BORONGAN</v>
          </cell>
          <cell r="T248" t="str">
            <v>TRANSFER</v>
          </cell>
          <cell r="U248" t="str">
            <v>6109061109710001</v>
          </cell>
          <cell r="V248" t="str">
            <v>LOKAL</v>
          </cell>
        </row>
        <row r="249">
          <cell r="B249" t="str">
            <v>GM-00260</v>
          </cell>
          <cell r="C249" t="str">
            <v>MARSIANUS</v>
          </cell>
          <cell r="E249">
            <v>43349</v>
          </cell>
          <cell r="F249" t="str">
            <v>L</v>
          </cell>
          <cell r="I249" t="str">
            <v>121 TAHUN</v>
          </cell>
          <cell r="J249" t="str">
            <v>KRISTEN</v>
          </cell>
          <cell r="K249" t="str">
            <v>NON KONTRAKTOR</v>
          </cell>
          <cell r="L249">
            <v>4</v>
          </cell>
          <cell r="M249" t="str">
            <v>MARSIANUS</v>
          </cell>
          <cell r="N249">
            <v>386796964</v>
          </cell>
          <cell r="O249" t="str">
            <v>BNI</v>
          </cell>
          <cell r="P249" t="str">
            <v>AKTIF</v>
          </cell>
          <cell r="R249" t="str">
            <v>PANEN</v>
          </cell>
          <cell r="S249" t="str">
            <v>BORONGAN</v>
          </cell>
          <cell r="T249" t="str">
            <v>TRANSFER</v>
          </cell>
          <cell r="V249" t="str">
            <v>LOKAL</v>
          </cell>
        </row>
        <row r="250">
          <cell r="B250" t="str">
            <v>GM-00262</v>
          </cell>
          <cell r="C250" t="str">
            <v>MIRAN</v>
          </cell>
          <cell r="E250">
            <v>43349</v>
          </cell>
          <cell r="F250" t="str">
            <v>L</v>
          </cell>
          <cell r="G250" t="str">
            <v>AMOH</v>
          </cell>
          <cell r="H250">
            <v>32221</v>
          </cell>
          <cell r="I250" t="str">
            <v>32 TAHUN</v>
          </cell>
          <cell r="J250" t="str">
            <v>KRISTEN</v>
          </cell>
          <cell r="K250" t="str">
            <v>NON KONTRAKTOR</v>
          </cell>
          <cell r="L250">
            <v>4</v>
          </cell>
          <cell r="M250" t="str">
            <v>MIRAN</v>
          </cell>
          <cell r="N250">
            <v>388035066</v>
          </cell>
          <cell r="O250" t="str">
            <v>BNI</v>
          </cell>
          <cell r="P250" t="str">
            <v>AKTIF</v>
          </cell>
          <cell r="R250" t="str">
            <v>PANEN</v>
          </cell>
          <cell r="S250" t="str">
            <v>BORONGAN</v>
          </cell>
          <cell r="T250" t="str">
            <v>TRANSFER</v>
          </cell>
          <cell r="V250" t="str">
            <v>LOKAL</v>
          </cell>
        </row>
        <row r="251">
          <cell r="B251" t="str">
            <v>GM-00263</v>
          </cell>
          <cell r="C251" t="str">
            <v>MUSA</v>
          </cell>
          <cell r="E251">
            <v>43349</v>
          </cell>
          <cell r="F251" t="str">
            <v>L</v>
          </cell>
          <cell r="G251" t="str">
            <v>SADUS</v>
          </cell>
          <cell r="H251">
            <v>22133</v>
          </cell>
          <cell r="I251" t="str">
            <v>60 TAHUN</v>
          </cell>
          <cell r="J251" t="str">
            <v>KRISTEN</v>
          </cell>
          <cell r="K251" t="str">
            <v>NON KONTRAKTOR</v>
          </cell>
          <cell r="L251">
            <v>5</v>
          </cell>
          <cell r="M251" t="str">
            <v>MUSA</v>
          </cell>
          <cell r="N251">
            <v>399696535</v>
          </cell>
          <cell r="O251" t="str">
            <v>BNI</v>
          </cell>
          <cell r="P251" t="str">
            <v>AKTIF</v>
          </cell>
          <cell r="R251" t="str">
            <v>PANEN</v>
          </cell>
          <cell r="S251" t="str">
            <v>BORONGAN</v>
          </cell>
          <cell r="T251" t="str">
            <v>TRANSFER</v>
          </cell>
          <cell r="V251" t="str">
            <v>LOKAL</v>
          </cell>
        </row>
        <row r="252">
          <cell r="B252" t="str">
            <v>GM-00264</v>
          </cell>
          <cell r="C252" t="str">
            <v>NATALIS</v>
          </cell>
          <cell r="E252">
            <v>43349</v>
          </cell>
          <cell r="F252" t="str">
            <v>L</v>
          </cell>
          <cell r="G252" t="str">
            <v>SUNGAI ANTU RANGAH</v>
          </cell>
          <cell r="H252">
            <v>27023</v>
          </cell>
          <cell r="I252" t="str">
            <v>47 TAHUN</v>
          </cell>
          <cell r="J252" t="str">
            <v>KRISTEN</v>
          </cell>
          <cell r="K252" t="str">
            <v>NON KONTRAKTOR</v>
          </cell>
          <cell r="L252">
            <v>4</v>
          </cell>
          <cell r="M252" t="str">
            <v>NATALIS</v>
          </cell>
          <cell r="N252">
            <v>445358197</v>
          </cell>
          <cell r="O252" t="str">
            <v>BNI</v>
          </cell>
          <cell r="P252" t="str">
            <v>AKTIF</v>
          </cell>
          <cell r="R252" t="str">
            <v>PANEN</v>
          </cell>
          <cell r="S252" t="str">
            <v>BORONGAN</v>
          </cell>
          <cell r="T252" t="str">
            <v>TRANSFER</v>
          </cell>
          <cell r="V252" t="str">
            <v>LOKAL</v>
          </cell>
        </row>
        <row r="253">
          <cell r="B253" t="str">
            <v>GM-00265</v>
          </cell>
          <cell r="C253" t="str">
            <v>NYIMBANG</v>
          </cell>
          <cell r="E253">
            <v>43349</v>
          </cell>
          <cell r="F253" t="str">
            <v>L</v>
          </cell>
          <cell r="I253" t="str">
            <v>121 TAHUN</v>
          </cell>
          <cell r="J253" t="str">
            <v>KRISTEN</v>
          </cell>
          <cell r="K253" t="str">
            <v>NON KONTRAKTOR</v>
          </cell>
          <cell r="L253">
            <v>4</v>
          </cell>
          <cell r="P253" t="str">
            <v>AKTIF</v>
          </cell>
          <cell r="R253" t="str">
            <v>PERAWATAN</v>
          </cell>
          <cell r="S253" t="str">
            <v>BORONGAN</v>
          </cell>
          <cell r="T253" t="str">
            <v>TUNAI</v>
          </cell>
          <cell r="V253" t="str">
            <v>LOKAL</v>
          </cell>
        </row>
        <row r="254">
          <cell r="B254" t="str">
            <v>GM-00266</v>
          </cell>
          <cell r="C254" t="str">
            <v>AGUSTINUS PINCI</v>
          </cell>
          <cell r="E254">
            <v>43349</v>
          </cell>
          <cell r="F254" t="str">
            <v>L</v>
          </cell>
          <cell r="G254" t="str">
            <v>LUMUT</v>
          </cell>
          <cell r="H254">
            <v>34210</v>
          </cell>
          <cell r="I254" t="str">
            <v>27 TAHUN</v>
          </cell>
          <cell r="J254" t="str">
            <v>KRISTEN</v>
          </cell>
          <cell r="K254" t="str">
            <v>NON KONTRAKTOR</v>
          </cell>
          <cell r="L254">
            <v>4</v>
          </cell>
          <cell r="P254" t="str">
            <v>AKTIF</v>
          </cell>
          <cell r="R254" t="str">
            <v>PANEN</v>
          </cell>
          <cell r="S254" t="str">
            <v>BORONGAN</v>
          </cell>
          <cell r="T254" t="str">
            <v>TUNAI</v>
          </cell>
          <cell r="V254" t="str">
            <v>LOKAL</v>
          </cell>
        </row>
        <row r="255">
          <cell r="B255" t="str">
            <v>GM-00267</v>
          </cell>
          <cell r="C255" t="str">
            <v>RENDI</v>
          </cell>
          <cell r="E255">
            <v>43349</v>
          </cell>
          <cell r="F255" t="str">
            <v>L</v>
          </cell>
          <cell r="I255" t="str">
            <v>121 TAHUN</v>
          </cell>
          <cell r="J255" t="str">
            <v>KRISTEN</v>
          </cell>
          <cell r="K255" t="str">
            <v>NON KONTRAKTOR</v>
          </cell>
          <cell r="L255">
            <v>4</v>
          </cell>
          <cell r="P255" t="str">
            <v>AKTIF</v>
          </cell>
          <cell r="R255" t="str">
            <v>PERAWATAN</v>
          </cell>
          <cell r="S255" t="str">
            <v>BORONGAN</v>
          </cell>
          <cell r="T255" t="str">
            <v>TUNAI</v>
          </cell>
          <cell r="V255" t="str">
            <v>LOKAL</v>
          </cell>
        </row>
        <row r="256">
          <cell r="B256" t="str">
            <v>GM-00268</v>
          </cell>
          <cell r="C256" t="str">
            <v>RINO ADINATA</v>
          </cell>
          <cell r="E256">
            <v>43349</v>
          </cell>
          <cell r="F256" t="str">
            <v>L</v>
          </cell>
          <cell r="I256" t="str">
            <v>121 TAHUN</v>
          </cell>
          <cell r="J256" t="str">
            <v>KRISTEN</v>
          </cell>
          <cell r="K256" t="str">
            <v>NON KONTRAKTOR</v>
          </cell>
          <cell r="L256">
            <v>4</v>
          </cell>
          <cell r="P256" t="str">
            <v>AKTIF</v>
          </cell>
          <cell r="R256" t="str">
            <v>PANEN</v>
          </cell>
          <cell r="S256" t="str">
            <v>BORONGAN</v>
          </cell>
          <cell r="T256" t="str">
            <v>TUNAI</v>
          </cell>
          <cell r="V256" t="str">
            <v>LOKAL</v>
          </cell>
        </row>
        <row r="257">
          <cell r="B257" t="str">
            <v>GM-00269</v>
          </cell>
          <cell r="C257" t="str">
            <v>ROBI</v>
          </cell>
          <cell r="E257">
            <v>43349</v>
          </cell>
          <cell r="F257" t="str">
            <v>L</v>
          </cell>
          <cell r="G257" t="str">
            <v>SUNGAI ANTU RANGAH</v>
          </cell>
          <cell r="H257">
            <v>31767</v>
          </cell>
          <cell r="I257" t="str">
            <v>34 TAHUN</v>
          </cell>
          <cell r="J257" t="str">
            <v>KRISTEN</v>
          </cell>
          <cell r="K257" t="str">
            <v>NON KONTRAKTOR</v>
          </cell>
          <cell r="L257">
            <v>4</v>
          </cell>
          <cell r="M257" t="str">
            <v>ROBI</v>
          </cell>
          <cell r="N257">
            <v>388035000</v>
          </cell>
          <cell r="O257" t="str">
            <v>BNI</v>
          </cell>
          <cell r="P257" t="str">
            <v>AKTIF</v>
          </cell>
          <cell r="R257" t="str">
            <v>PANEN</v>
          </cell>
          <cell r="S257" t="str">
            <v>BORONGAN</v>
          </cell>
          <cell r="T257" t="str">
            <v>TRANSFER</v>
          </cell>
          <cell r="V257" t="str">
            <v>LOKAL</v>
          </cell>
        </row>
        <row r="258">
          <cell r="B258" t="str">
            <v>GM-00270</v>
          </cell>
          <cell r="C258" t="str">
            <v>RONI KAMELSON</v>
          </cell>
          <cell r="E258">
            <v>43349</v>
          </cell>
          <cell r="F258" t="str">
            <v>L</v>
          </cell>
          <cell r="G258" t="str">
            <v>SUNGAI ANTU RANGAH</v>
          </cell>
          <cell r="H258">
            <v>30149</v>
          </cell>
          <cell r="I258" t="str">
            <v>38 TAHUN</v>
          </cell>
          <cell r="J258" t="str">
            <v>KRISTEN</v>
          </cell>
          <cell r="K258" t="str">
            <v>NON KONTRAKTOR</v>
          </cell>
          <cell r="L258">
            <v>4</v>
          </cell>
          <cell r="M258" t="str">
            <v>RONI KAMELSON</v>
          </cell>
          <cell r="N258">
            <v>388035022</v>
          </cell>
          <cell r="O258" t="str">
            <v>BNI</v>
          </cell>
          <cell r="P258" t="str">
            <v>AKTIF</v>
          </cell>
          <cell r="R258" t="str">
            <v>PANEN</v>
          </cell>
          <cell r="S258" t="str">
            <v>BORONGAN</v>
          </cell>
          <cell r="T258" t="str">
            <v>TRANSFER</v>
          </cell>
          <cell r="V258" t="str">
            <v>LOKAL</v>
          </cell>
        </row>
        <row r="259">
          <cell r="B259" t="str">
            <v>GM-00271</v>
          </cell>
          <cell r="C259" t="str">
            <v>SANDANG</v>
          </cell>
          <cell r="E259">
            <v>43349</v>
          </cell>
          <cell r="F259" t="str">
            <v>L</v>
          </cell>
          <cell r="I259" t="str">
            <v>121 TAHUN</v>
          </cell>
          <cell r="J259" t="str">
            <v>KRISTEN</v>
          </cell>
          <cell r="K259" t="str">
            <v>NON KONTRAKTOR</v>
          </cell>
          <cell r="L259">
            <v>4</v>
          </cell>
          <cell r="M259" t="str">
            <v>SANDANG</v>
          </cell>
          <cell r="N259">
            <v>526011652</v>
          </cell>
          <cell r="O259" t="str">
            <v>BNI</v>
          </cell>
          <cell r="P259" t="str">
            <v>AKTIF</v>
          </cell>
          <cell r="R259" t="str">
            <v>PANEN</v>
          </cell>
          <cell r="S259" t="str">
            <v>BORONGAN</v>
          </cell>
          <cell r="T259" t="str">
            <v>TRANSFER</v>
          </cell>
          <cell r="V259" t="str">
            <v>LOKAL</v>
          </cell>
        </row>
        <row r="260">
          <cell r="B260" t="str">
            <v>GM-00272</v>
          </cell>
          <cell r="C260" t="str">
            <v>SEMAN</v>
          </cell>
          <cell r="E260">
            <v>43349</v>
          </cell>
          <cell r="F260" t="str">
            <v>L</v>
          </cell>
          <cell r="G260" t="str">
            <v>AMOH</v>
          </cell>
          <cell r="H260">
            <v>27074</v>
          </cell>
          <cell r="I260" t="str">
            <v>46 TAHUN</v>
          </cell>
          <cell r="J260" t="str">
            <v>KRISTEN</v>
          </cell>
          <cell r="K260" t="str">
            <v>NON KONTRAKTOR</v>
          </cell>
          <cell r="L260">
            <v>4</v>
          </cell>
          <cell r="M260" t="str">
            <v>SEMAN</v>
          </cell>
          <cell r="N260">
            <v>388035088</v>
          </cell>
          <cell r="O260" t="str">
            <v>BNI</v>
          </cell>
          <cell r="P260" t="str">
            <v>AKTIF</v>
          </cell>
          <cell r="R260" t="str">
            <v>PANEN</v>
          </cell>
          <cell r="S260" t="str">
            <v>BORONGAN</v>
          </cell>
          <cell r="T260" t="str">
            <v>TRANSFER</v>
          </cell>
          <cell r="U260" t="str">
            <v>6109061402740001</v>
          </cell>
          <cell r="V260" t="str">
            <v>LOKAL</v>
          </cell>
        </row>
        <row r="261">
          <cell r="B261" t="str">
            <v>GM-00273</v>
          </cell>
          <cell r="C261" t="str">
            <v>SEMBULON</v>
          </cell>
          <cell r="E261">
            <v>43349</v>
          </cell>
          <cell r="F261" t="str">
            <v>L</v>
          </cell>
          <cell r="I261" t="str">
            <v>121 TAHUN</v>
          </cell>
          <cell r="J261" t="str">
            <v>KRISTEN</v>
          </cell>
          <cell r="K261" t="str">
            <v>NON KONTRAKTOR</v>
          </cell>
          <cell r="L261">
            <v>4</v>
          </cell>
          <cell r="M261" t="str">
            <v>SEMBULON</v>
          </cell>
          <cell r="N261">
            <v>359566068</v>
          </cell>
          <cell r="O261" t="str">
            <v>BNI</v>
          </cell>
          <cell r="P261" t="str">
            <v>AKTIF</v>
          </cell>
          <cell r="R261" t="str">
            <v>PANEN</v>
          </cell>
          <cell r="S261" t="str">
            <v>BORONGAN</v>
          </cell>
          <cell r="T261" t="str">
            <v>TRANSFER</v>
          </cell>
          <cell r="V261" t="str">
            <v>LOKAL</v>
          </cell>
        </row>
        <row r="262">
          <cell r="B262" t="str">
            <v>GM-00274</v>
          </cell>
          <cell r="C262" t="str">
            <v>SILA</v>
          </cell>
          <cell r="E262">
            <v>43349</v>
          </cell>
          <cell r="F262" t="str">
            <v>L</v>
          </cell>
          <cell r="G262" t="str">
            <v>SEROSAT</v>
          </cell>
          <cell r="H262">
            <v>31310</v>
          </cell>
          <cell r="I262" t="str">
            <v>35 TAHUN</v>
          </cell>
          <cell r="J262" t="str">
            <v>KRISTEN</v>
          </cell>
          <cell r="K262" t="str">
            <v>NON KONTRAKTOR</v>
          </cell>
          <cell r="L262">
            <v>4</v>
          </cell>
          <cell r="M262" t="str">
            <v>SILA</v>
          </cell>
          <cell r="N262">
            <v>454789949</v>
          </cell>
          <cell r="O262" t="str">
            <v>BNI</v>
          </cell>
          <cell r="P262" t="str">
            <v>AKTIF</v>
          </cell>
          <cell r="R262" t="str">
            <v>PANEN</v>
          </cell>
          <cell r="S262" t="str">
            <v>BORONGAN</v>
          </cell>
          <cell r="T262" t="str">
            <v>TRANSFER</v>
          </cell>
          <cell r="U262" t="str">
            <v>6103092004850002</v>
          </cell>
          <cell r="V262" t="str">
            <v>LOKAL</v>
          </cell>
        </row>
        <row r="263">
          <cell r="B263" t="str">
            <v>GM-00275</v>
          </cell>
          <cell r="C263" t="str">
            <v>SIPA</v>
          </cell>
          <cell r="E263">
            <v>43349</v>
          </cell>
          <cell r="F263" t="str">
            <v>L</v>
          </cell>
          <cell r="G263" t="str">
            <v>AMOH</v>
          </cell>
          <cell r="H263">
            <v>31838</v>
          </cell>
          <cell r="I263" t="str">
            <v>33 TAHUN</v>
          </cell>
          <cell r="J263" t="str">
            <v>KRISTEN</v>
          </cell>
          <cell r="K263" t="str">
            <v>NON KONTRAKTOR</v>
          </cell>
          <cell r="L263">
            <v>5</v>
          </cell>
          <cell r="M263" t="str">
            <v>SIPA</v>
          </cell>
          <cell r="N263">
            <v>904621932</v>
          </cell>
          <cell r="O263" t="str">
            <v>BNI</v>
          </cell>
          <cell r="P263" t="str">
            <v>AKTIF</v>
          </cell>
          <cell r="R263" t="str">
            <v>PANEN</v>
          </cell>
          <cell r="S263" t="str">
            <v>BORONGAN</v>
          </cell>
          <cell r="T263" t="str">
            <v>TRANSFER</v>
          </cell>
          <cell r="V263" t="str">
            <v>LOKAL</v>
          </cell>
        </row>
        <row r="264">
          <cell r="B264" t="str">
            <v>GM-00276</v>
          </cell>
          <cell r="C264" t="str">
            <v>STEBEN</v>
          </cell>
          <cell r="E264">
            <v>43349</v>
          </cell>
          <cell r="F264" t="str">
            <v>L</v>
          </cell>
          <cell r="I264" t="str">
            <v>121 TAHUN</v>
          </cell>
          <cell r="J264" t="str">
            <v>KRISTEN</v>
          </cell>
          <cell r="K264" t="str">
            <v>NON KONTRAKTOR</v>
          </cell>
          <cell r="L264">
            <v>4</v>
          </cell>
          <cell r="M264" t="str">
            <v>STEBEN</v>
          </cell>
          <cell r="N264">
            <v>413957449</v>
          </cell>
          <cell r="O264" t="str">
            <v>BNI</v>
          </cell>
          <cell r="P264" t="str">
            <v>AKTIF</v>
          </cell>
          <cell r="R264" t="str">
            <v>PANEN</v>
          </cell>
          <cell r="S264" t="str">
            <v>BORONGAN</v>
          </cell>
          <cell r="T264" t="str">
            <v>TRANSFER</v>
          </cell>
          <cell r="V264" t="str">
            <v>LOKAL</v>
          </cell>
        </row>
        <row r="265">
          <cell r="B265" t="str">
            <v>GM-00277</v>
          </cell>
          <cell r="C265" t="str">
            <v>SUNJUN</v>
          </cell>
          <cell r="E265">
            <v>43349</v>
          </cell>
          <cell r="F265" t="str">
            <v>L</v>
          </cell>
          <cell r="G265" t="str">
            <v>KEDANG BUNGKANG</v>
          </cell>
          <cell r="H265">
            <v>22940</v>
          </cell>
          <cell r="I265" t="str">
            <v>58 TAHUN</v>
          </cell>
          <cell r="J265" t="str">
            <v>KRISTEN</v>
          </cell>
          <cell r="K265" t="str">
            <v>NON KONTRAKTOR</v>
          </cell>
          <cell r="L265">
            <v>4</v>
          </cell>
          <cell r="M265" t="str">
            <v>SUNJUN</v>
          </cell>
          <cell r="N265">
            <v>445358131</v>
          </cell>
          <cell r="O265" t="str">
            <v>BNI</v>
          </cell>
          <cell r="P265" t="str">
            <v>AKTIF</v>
          </cell>
          <cell r="R265" t="str">
            <v>PANEN</v>
          </cell>
          <cell r="S265" t="str">
            <v>BORONGAN</v>
          </cell>
          <cell r="T265" t="str">
            <v>TRANSFER</v>
          </cell>
          <cell r="U265" t="str">
            <v>6109062110620001</v>
          </cell>
          <cell r="V265" t="str">
            <v>LOKAL</v>
          </cell>
        </row>
        <row r="266">
          <cell r="B266" t="str">
            <v>GM-00278</v>
          </cell>
          <cell r="C266" t="str">
            <v>TINTAU MAJAU</v>
          </cell>
          <cell r="E266">
            <v>43349</v>
          </cell>
          <cell r="F266" t="str">
            <v>L</v>
          </cell>
          <cell r="G266" t="str">
            <v>EMPACI</v>
          </cell>
          <cell r="H266">
            <v>26849</v>
          </cell>
          <cell r="I266" t="str">
            <v>47 TAHUN</v>
          </cell>
          <cell r="J266" t="str">
            <v>KRISTEN</v>
          </cell>
          <cell r="K266" t="str">
            <v>NON KONTRAKTOR</v>
          </cell>
          <cell r="L266">
            <v>4</v>
          </cell>
          <cell r="M266" t="str">
            <v>TINTAU MAJAU</v>
          </cell>
          <cell r="N266">
            <v>386797141</v>
          </cell>
          <cell r="O266" t="str">
            <v>BNI</v>
          </cell>
          <cell r="P266" t="str">
            <v>AKTIF</v>
          </cell>
          <cell r="R266" t="str">
            <v>PANEN</v>
          </cell>
          <cell r="S266" t="str">
            <v>BORONGAN</v>
          </cell>
          <cell r="T266" t="str">
            <v>TRANSFER</v>
          </cell>
          <cell r="U266" t="str">
            <v>6109060407730004</v>
          </cell>
          <cell r="V266" t="str">
            <v>LOKAL</v>
          </cell>
        </row>
        <row r="267">
          <cell r="B267" t="str">
            <v>GM-00279</v>
          </cell>
          <cell r="C267" t="str">
            <v>TONY</v>
          </cell>
          <cell r="E267">
            <v>43349</v>
          </cell>
          <cell r="F267" t="str">
            <v>L</v>
          </cell>
          <cell r="I267" t="str">
            <v>121 TAHUN</v>
          </cell>
          <cell r="J267" t="str">
            <v>KRISTEN</v>
          </cell>
          <cell r="K267" t="str">
            <v>NON KONTRAKTOR</v>
          </cell>
          <cell r="L267">
            <v>4</v>
          </cell>
          <cell r="M267" t="str">
            <v>TONY</v>
          </cell>
          <cell r="N267">
            <v>386796487</v>
          </cell>
          <cell r="O267" t="str">
            <v>BNI</v>
          </cell>
          <cell r="P267" t="str">
            <v>AKTIF</v>
          </cell>
          <cell r="R267" t="str">
            <v>PERAWATAN</v>
          </cell>
          <cell r="S267" t="str">
            <v>BORONGAN</v>
          </cell>
          <cell r="T267" t="str">
            <v>TRANSFER</v>
          </cell>
          <cell r="V267" t="str">
            <v>LOKAL</v>
          </cell>
        </row>
        <row r="268">
          <cell r="B268" t="str">
            <v>GM-00280</v>
          </cell>
          <cell r="C268" t="str">
            <v>WENGKI TERNANDO</v>
          </cell>
          <cell r="E268">
            <v>43349</v>
          </cell>
          <cell r="F268" t="str">
            <v>L</v>
          </cell>
          <cell r="I268" t="str">
            <v>121 TAHUN</v>
          </cell>
          <cell r="J268" t="str">
            <v>KRISTEN</v>
          </cell>
          <cell r="K268" t="str">
            <v>NON KONTRAKTOR</v>
          </cell>
          <cell r="L268">
            <v>4</v>
          </cell>
          <cell r="M268" t="str">
            <v>WENGKI TERNANDO</v>
          </cell>
          <cell r="N268">
            <v>1120517934</v>
          </cell>
          <cell r="O268" t="str">
            <v>BNI</v>
          </cell>
          <cell r="P268" t="str">
            <v>AKTIF</v>
          </cell>
          <cell r="R268" t="str">
            <v>PANEN</v>
          </cell>
          <cell r="S268" t="str">
            <v>BORONGAN</v>
          </cell>
          <cell r="T268" t="str">
            <v>TRANSFER</v>
          </cell>
          <cell r="V268" t="str">
            <v>LOKAL</v>
          </cell>
        </row>
        <row r="269">
          <cell r="B269" t="str">
            <v>GM-00281</v>
          </cell>
          <cell r="C269" t="str">
            <v>YESAYA</v>
          </cell>
          <cell r="E269">
            <v>43349</v>
          </cell>
          <cell r="F269" t="str">
            <v>L</v>
          </cell>
          <cell r="G269" t="str">
            <v>ENGKUDU</v>
          </cell>
          <cell r="H269">
            <v>25632</v>
          </cell>
          <cell r="I269" t="str">
            <v>50 TAHUN</v>
          </cell>
          <cell r="J269" t="str">
            <v>KRISTEN</v>
          </cell>
          <cell r="K269" t="str">
            <v>NON KONTRAKTOR</v>
          </cell>
          <cell r="L269">
            <v>4</v>
          </cell>
          <cell r="M269" t="str">
            <v>YESAYA</v>
          </cell>
          <cell r="N269">
            <v>526011685</v>
          </cell>
          <cell r="O269" t="str">
            <v>BNI</v>
          </cell>
          <cell r="P269" t="str">
            <v>AKTIF</v>
          </cell>
          <cell r="R269" t="str">
            <v>PANEN</v>
          </cell>
          <cell r="S269" t="str">
            <v>BORONGAN</v>
          </cell>
          <cell r="T269" t="str">
            <v>TRANSFER</v>
          </cell>
          <cell r="U269" t="str">
            <v>6109060503700002</v>
          </cell>
          <cell r="V269" t="str">
            <v>LOKAL</v>
          </cell>
        </row>
        <row r="270">
          <cell r="B270" t="str">
            <v>GM-00282</v>
          </cell>
          <cell r="C270" t="str">
            <v>YESAYA BASTIAN</v>
          </cell>
          <cell r="E270">
            <v>43349</v>
          </cell>
          <cell r="F270" t="str">
            <v>L</v>
          </cell>
          <cell r="G270" t="str">
            <v>PAKIT MULAU</v>
          </cell>
          <cell r="H270">
            <v>25919</v>
          </cell>
          <cell r="I270" t="str">
            <v>50 TAHUN</v>
          </cell>
          <cell r="J270" t="str">
            <v>KRISTEN</v>
          </cell>
          <cell r="K270" t="str">
            <v>NON KONTRAKTOR</v>
          </cell>
          <cell r="L270">
            <v>4</v>
          </cell>
          <cell r="M270" t="str">
            <v>YESAYA BASTIAN</v>
          </cell>
          <cell r="N270">
            <v>526348235</v>
          </cell>
          <cell r="O270" t="str">
            <v>BNI</v>
          </cell>
          <cell r="P270" t="str">
            <v>AKTIF</v>
          </cell>
          <cell r="R270" t="str">
            <v>PANEN</v>
          </cell>
          <cell r="S270" t="str">
            <v>BORONGAN</v>
          </cell>
          <cell r="T270" t="str">
            <v>TRANSFER</v>
          </cell>
          <cell r="U270" t="str">
            <v>6109061712700004</v>
          </cell>
          <cell r="V270" t="str">
            <v>LOKAL</v>
          </cell>
        </row>
        <row r="271">
          <cell r="B271" t="str">
            <v>GM-00283</v>
          </cell>
          <cell r="C271" t="str">
            <v>YUNAN</v>
          </cell>
          <cell r="E271">
            <v>43349</v>
          </cell>
          <cell r="F271" t="str">
            <v>L</v>
          </cell>
          <cell r="G271" t="str">
            <v>AMOH</v>
          </cell>
          <cell r="H271">
            <v>27746</v>
          </cell>
          <cell r="I271" t="str">
            <v>45 TAHUN</v>
          </cell>
          <cell r="J271" t="str">
            <v>KRISTEN</v>
          </cell>
          <cell r="K271" t="str">
            <v>NON KONTRAKTOR</v>
          </cell>
          <cell r="L271">
            <v>4</v>
          </cell>
          <cell r="M271" t="str">
            <v>YUNAN</v>
          </cell>
          <cell r="N271">
            <v>388035033</v>
          </cell>
          <cell r="O271" t="str">
            <v>BNI</v>
          </cell>
          <cell r="P271" t="str">
            <v>AKTIF</v>
          </cell>
          <cell r="R271" t="str">
            <v>PANEN</v>
          </cell>
          <cell r="S271" t="str">
            <v>BORONGAN</v>
          </cell>
          <cell r="T271" t="str">
            <v>TRANSFER</v>
          </cell>
          <cell r="U271" t="str">
            <v>6109061812750001</v>
          </cell>
          <cell r="V271" t="str">
            <v>LOKAL</v>
          </cell>
        </row>
        <row r="272">
          <cell r="B272" t="str">
            <v>GM-00284</v>
          </cell>
          <cell r="C272" t="str">
            <v>YULIANUS</v>
          </cell>
          <cell r="E272">
            <v>43349</v>
          </cell>
          <cell r="F272" t="str">
            <v>L</v>
          </cell>
          <cell r="I272" t="str">
            <v>121 TAHUN</v>
          </cell>
          <cell r="J272" t="str">
            <v>KRISTEN</v>
          </cell>
          <cell r="K272" t="str">
            <v>NON KONTRAKTOR</v>
          </cell>
          <cell r="L272">
            <v>4</v>
          </cell>
          <cell r="M272" t="str">
            <v>YULIANUS</v>
          </cell>
          <cell r="N272">
            <v>413957777</v>
          </cell>
          <cell r="O272" t="str">
            <v>BNI</v>
          </cell>
          <cell r="P272" t="str">
            <v>AKTIF</v>
          </cell>
          <cell r="R272" t="str">
            <v>PANEN</v>
          </cell>
          <cell r="S272" t="str">
            <v>BORONGAN</v>
          </cell>
          <cell r="T272" t="str">
            <v>TRANSFER</v>
          </cell>
          <cell r="V272" t="str">
            <v>LOKAL</v>
          </cell>
        </row>
        <row r="273">
          <cell r="B273" t="str">
            <v>GM-00285</v>
          </cell>
          <cell r="C273" t="str">
            <v>ZAKARIA</v>
          </cell>
          <cell r="E273">
            <v>43349</v>
          </cell>
          <cell r="F273" t="str">
            <v>L</v>
          </cell>
          <cell r="G273" t="str">
            <v>GENOK</v>
          </cell>
          <cell r="H273">
            <v>29254</v>
          </cell>
          <cell r="I273" t="str">
            <v>40 TAHUN</v>
          </cell>
          <cell r="J273" t="str">
            <v>KRISTEN</v>
          </cell>
          <cell r="K273" t="str">
            <v>NON KONTRAKTOR</v>
          </cell>
          <cell r="L273">
            <v>4</v>
          </cell>
          <cell r="P273" t="str">
            <v>AKTIF</v>
          </cell>
          <cell r="R273" t="str">
            <v>PANEN</v>
          </cell>
          <cell r="S273" t="str">
            <v>BORONGAN</v>
          </cell>
          <cell r="T273" t="str">
            <v>TUNAI</v>
          </cell>
          <cell r="V273" t="str">
            <v>LOKAL</v>
          </cell>
        </row>
        <row r="274">
          <cell r="B274" t="str">
            <v>GM-00286</v>
          </cell>
          <cell r="C274" t="str">
            <v>SENIN</v>
          </cell>
          <cell r="E274">
            <v>43349</v>
          </cell>
          <cell r="F274" t="str">
            <v>L</v>
          </cell>
          <cell r="I274" t="str">
            <v>121 TAHUN</v>
          </cell>
          <cell r="J274" t="str">
            <v>KRISTEN</v>
          </cell>
          <cell r="K274" t="str">
            <v>NON KONTRAKTOR</v>
          </cell>
          <cell r="L274">
            <v>5</v>
          </cell>
          <cell r="M274" t="str">
            <v>SENIN</v>
          </cell>
          <cell r="N274">
            <v>386800484</v>
          </cell>
          <cell r="O274" t="str">
            <v>BNI</v>
          </cell>
          <cell r="P274" t="str">
            <v>NON AKTIF</v>
          </cell>
          <cell r="R274" t="str">
            <v>PANEN</v>
          </cell>
          <cell r="S274" t="str">
            <v>BORONGAN</v>
          </cell>
          <cell r="T274" t="str">
            <v>TRANSFER</v>
          </cell>
          <cell r="V274" t="str">
            <v>LOKAL</v>
          </cell>
        </row>
        <row r="275">
          <cell r="B275" t="str">
            <v>GM-00287</v>
          </cell>
          <cell r="C275" t="str">
            <v>ADE ANTOS</v>
          </cell>
          <cell r="E275">
            <v>43349</v>
          </cell>
          <cell r="F275" t="str">
            <v>L</v>
          </cell>
          <cell r="G275" t="str">
            <v>SEBINDANG</v>
          </cell>
          <cell r="H275">
            <v>28920</v>
          </cell>
          <cell r="I275" t="str">
            <v>41 TAHUN</v>
          </cell>
          <cell r="J275" t="str">
            <v>KRISTEN</v>
          </cell>
          <cell r="K275" t="str">
            <v>NON KONTRAKTOR</v>
          </cell>
          <cell r="L275">
            <v>5</v>
          </cell>
          <cell r="M275" t="str">
            <v>ADE ANTOS</v>
          </cell>
          <cell r="N275">
            <v>388035293</v>
          </cell>
          <cell r="O275" t="str">
            <v>BNI</v>
          </cell>
          <cell r="P275" t="str">
            <v>NON AKTIF</v>
          </cell>
          <cell r="R275" t="str">
            <v>PANEN</v>
          </cell>
          <cell r="S275" t="str">
            <v>BORONGAN</v>
          </cell>
          <cell r="T275" t="str">
            <v>TRANSFER</v>
          </cell>
          <cell r="V275" t="str">
            <v>LOKAL</v>
          </cell>
        </row>
        <row r="276">
          <cell r="B276" t="str">
            <v>GM-00288</v>
          </cell>
          <cell r="C276" t="str">
            <v>ANASTASIUS</v>
          </cell>
          <cell r="E276">
            <v>43349</v>
          </cell>
          <cell r="F276" t="str">
            <v>L</v>
          </cell>
          <cell r="I276" t="str">
            <v>121 TAHUN</v>
          </cell>
          <cell r="J276" t="str">
            <v>KRISTEN</v>
          </cell>
          <cell r="K276" t="str">
            <v>NON KONTRAKTOR</v>
          </cell>
          <cell r="L276">
            <v>5</v>
          </cell>
          <cell r="P276" t="str">
            <v>NON AKTIF</v>
          </cell>
          <cell r="R276" t="str">
            <v>PANEN</v>
          </cell>
          <cell r="S276" t="str">
            <v>BORONGAN</v>
          </cell>
          <cell r="T276" t="str">
            <v>TUNAI</v>
          </cell>
          <cell r="V276" t="str">
            <v>LOKAL</v>
          </cell>
        </row>
        <row r="277">
          <cell r="B277" t="str">
            <v>GM-00289</v>
          </cell>
          <cell r="C277" t="str">
            <v>ANDRI YANTO JAGUS</v>
          </cell>
          <cell r="E277">
            <v>43349</v>
          </cell>
          <cell r="F277" t="str">
            <v>L</v>
          </cell>
          <cell r="G277" t="str">
            <v>SEBADAK</v>
          </cell>
          <cell r="H277">
            <v>32218</v>
          </cell>
          <cell r="I277" t="str">
            <v>32 TAHUN</v>
          </cell>
          <cell r="J277" t="str">
            <v>KRISTEN</v>
          </cell>
          <cell r="K277" t="str">
            <v>NON KONTRAKTOR</v>
          </cell>
          <cell r="L277">
            <v>5</v>
          </cell>
          <cell r="M277" t="str">
            <v>ANDRI YANTO JAGUS</v>
          </cell>
          <cell r="N277">
            <v>386797561</v>
          </cell>
          <cell r="O277" t="str">
            <v>BNI</v>
          </cell>
          <cell r="P277" t="str">
            <v>NON AKTIF</v>
          </cell>
          <cell r="R277" t="str">
            <v>PANEN</v>
          </cell>
          <cell r="S277" t="str">
            <v>BORONGAN</v>
          </cell>
          <cell r="T277" t="str">
            <v>TRANSFER</v>
          </cell>
          <cell r="V277" t="str">
            <v>LOKAL</v>
          </cell>
        </row>
        <row r="278">
          <cell r="B278" t="str">
            <v>GM-00290</v>
          </cell>
          <cell r="C278" t="str">
            <v>ANTONI PRATAMA PUTRA</v>
          </cell>
          <cell r="E278">
            <v>43517</v>
          </cell>
          <cell r="F278" t="str">
            <v>L</v>
          </cell>
          <cell r="G278" t="str">
            <v>AMOH</v>
          </cell>
          <cell r="H278">
            <v>33664</v>
          </cell>
          <cell r="I278" t="str">
            <v>28 TAHUN</v>
          </cell>
          <cell r="J278" t="str">
            <v>KRISTEN</v>
          </cell>
          <cell r="K278" t="str">
            <v>NON KONTRAKTOR</v>
          </cell>
          <cell r="L278">
            <v>5</v>
          </cell>
          <cell r="M278" t="str">
            <v xml:space="preserve">ANTONI </v>
          </cell>
          <cell r="N278">
            <v>386797538</v>
          </cell>
          <cell r="O278" t="str">
            <v>BNI</v>
          </cell>
          <cell r="P278" t="str">
            <v>AKTIF</v>
          </cell>
          <cell r="R278" t="str">
            <v>PANEN</v>
          </cell>
          <cell r="S278" t="str">
            <v>BORONGAN</v>
          </cell>
          <cell r="T278" t="str">
            <v>TRANSFER</v>
          </cell>
          <cell r="U278" t="str">
            <v>6109060103920001</v>
          </cell>
          <cell r="V278" t="str">
            <v>LOKAL</v>
          </cell>
        </row>
        <row r="279">
          <cell r="B279" t="str">
            <v>GM-00291</v>
          </cell>
          <cell r="C279" t="str">
            <v>ARI PURNAWAN</v>
          </cell>
          <cell r="E279">
            <v>43517</v>
          </cell>
          <cell r="F279" t="str">
            <v>L</v>
          </cell>
          <cell r="G279" t="str">
            <v>TERDUK DAMPAK</v>
          </cell>
          <cell r="H279">
            <v>33762</v>
          </cell>
          <cell r="I279" t="str">
            <v>28 TAHUN</v>
          </cell>
          <cell r="J279" t="str">
            <v>KRISTEN</v>
          </cell>
          <cell r="K279" t="str">
            <v>NON KONTRAKTOR</v>
          </cell>
          <cell r="L279">
            <v>5</v>
          </cell>
          <cell r="M279" t="str">
            <v>ARI PURNAWAN</v>
          </cell>
          <cell r="N279">
            <v>526011776</v>
          </cell>
          <cell r="O279" t="str">
            <v>BNI</v>
          </cell>
          <cell r="P279" t="str">
            <v>AKTIF</v>
          </cell>
          <cell r="R279" t="str">
            <v>PANEN</v>
          </cell>
          <cell r="S279" t="str">
            <v>BORONGAN</v>
          </cell>
          <cell r="T279" t="str">
            <v>TRANSFER</v>
          </cell>
          <cell r="U279" t="str">
            <v>6109060708920006</v>
          </cell>
          <cell r="V279" t="str">
            <v>LOKAL</v>
          </cell>
        </row>
        <row r="280">
          <cell r="B280" t="str">
            <v>GM-00292</v>
          </cell>
          <cell r="C280" t="str">
            <v>ARIL</v>
          </cell>
          <cell r="E280">
            <v>43349</v>
          </cell>
          <cell r="F280" t="str">
            <v>L</v>
          </cell>
          <cell r="I280" t="str">
            <v>121 TAHUN</v>
          </cell>
          <cell r="J280" t="str">
            <v>KRISTEN</v>
          </cell>
          <cell r="K280" t="str">
            <v>NON KONTRAKTOR</v>
          </cell>
          <cell r="L280">
            <v>5</v>
          </cell>
          <cell r="M280" t="str">
            <v>ARIL</v>
          </cell>
          <cell r="N280">
            <v>413958476</v>
          </cell>
          <cell r="O280" t="str">
            <v>BNI</v>
          </cell>
          <cell r="P280" t="str">
            <v>NON AKTIF</v>
          </cell>
          <cell r="R280" t="str">
            <v>PANEN</v>
          </cell>
          <cell r="S280" t="str">
            <v>BORONGAN</v>
          </cell>
          <cell r="T280" t="str">
            <v>TRANSFER</v>
          </cell>
          <cell r="V280" t="str">
            <v>LOKAL</v>
          </cell>
        </row>
        <row r="281">
          <cell r="B281" t="str">
            <v>GM-00293</v>
          </cell>
          <cell r="C281" t="str">
            <v>ASMUNI</v>
          </cell>
          <cell r="E281">
            <v>43349</v>
          </cell>
          <cell r="F281" t="str">
            <v>L</v>
          </cell>
          <cell r="I281" t="str">
            <v>121 TAHUN</v>
          </cell>
          <cell r="J281" t="str">
            <v>KRISTEN</v>
          </cell>
          <cell r="K281" t="str">
            <v>NON KONTRAKTOR</v>
          </cell>
          <cell r="L281">
            <v>5</v>
          </cell>
          <cell r="M281" t="str">
            <v>ASMUNI</v>
          </cell>
          <cell r="N281">
            <v>413959117</v>
          </cell>
          <cell r="O281" t="str">
            <v>BNI</v>
          </cell>
          <cell r="P281" t="str">
            <v>NON AKTIF</v>
          </cell>
          <cell r="R281" t="str">
            <v>PANEN</v>
          </cell>
          <cell r="S281" t="str">
            <v>BORONGAN</v>
          </cell>
          <cell r="T281" t="str">
            <v>TRANSFER</v>
          </cell>
          <cell r="V281" t="str">
            <v>LOKAL</v>
          </cell>
        </row>
        <row r="282">
          <cell r="B282" t="str">
            <v>GM-00294</v>
          </cell>
          <cell r="C282" t="str">
            <v>BUKDI</v>
          </cell>
          <cell r="E282">
            <v>43349</v>
          </cell>
          <cell r="F282" t="str">
            <v>L</v>
          </cell>
          <cell r="I282" t="str">
            <v>121 TAHUN</v>
          </cell>
          <cell r="J282" t="str">
            <v>KRISTEN</v>
          </cell>
          <cell r="K282" t="str">
            <v>NON KONTRAKTOR</v>
          </cell>
          <cell r="L282">
            <v>5</v>
          </cell>
          <cell r="P282" t="str">
            <v>NON AKTIF</v>
          </cell>
          <cell r="R282" t="str">
            <v>PANEN</v>
          </cell>
          <cell r="S282" t="str">
            <v>BORONGAN</v>
          </cell>
          <cell r="T282" t="str">
            <v>TUNAI</v>
          </cell>
          <cell r="V282" t="str">
            <v>LOKAL</v>
          </cell>
        </row>
        <row r="283">
          <cell r="B283" t="str">
            <v>GM-00295</v>
          </cell>
          <cell r="C283" t="str">
            <v>CARLES</v>
          </cell>
          <cell r="E283">
            <v>43517</v>
          </cell>
          <cell r="F283" t="str">
            <v>L</v>
          </cell>
          <cell r="G283" t="str">
            <v>JUNAK</v>
          </cell>
          <cell r="H283">
            <v>30843</v>
          </cell>
          <cell r="I283" t="str">
            <v>36 TAHUN</v>
          </cell>
          <cell r="J283" t="str">
            <v>KRISTEN</v>
          </cell>
          <cell r="K283" t="str">
            <v>NON KONTRAKTOR</v>
          </cell>
          <cell r="L283">
            <v>5</v>
          </cell>
          <cell r="M283" t="str">
            <v>CARLES</v>
          </cell>
          <cell r="N283">
            <v>446371739</v>
          </cell>
          <cell r="O283" t="str">
            <v>BNI</v>
          </cell>
          <cell r="P283" t="str">
            <v>NON AKTIF</v>
          </cell>
          <cell r="R283" t="str">
            <v>PANEN</v>
          </cell>
          <cell r="S283" t="str">
            <v>BORONGAN</v>
          </cell>
          <cell r="T283" t="str">
            <v>TRANSFER</v>
          </cell>
          <cell r="U283" t="str">
            <v>6109061006840001</v>
          </cell>
          <cell r="V283" t="str">
            <v>LOKAL</v>
          </cell>
        </row>
        <row r="284">
          <cell r="B284" t="str">
            <v>GM-00296</v>
          </cell>
          <cell r="C284" t="str">
            <v>DIAN EFESUS</v>
          </cell>
          <cell r="E284">
            <v>43349</v>
          </cell>
          <cell r="F284" t="str">
            <v>L</v>
          </cell>
          <cell r="G284" t="str">
            <v>SEBINDANG</v>
          </cell>
          <cell r="H284">
            <v>32857</v>
          </cell>
          <cell r="I284" t="str">
            <v>31 TAHUN</v>
          </cell>
          <cell r="J284" t="str">
            <v>KRISTEN</v>
          </cell>
          <cell r="K284" t="str">
            <v>NON KONTRAKTOR</v>
          </cell>
          <cell r="L284">
            <v>5</v>
          </cell>
          <cell r="M284" t="str">
            <v>DIAN EFESUS</v>
          </cell>
          <cell r="N284">
            <v>386797572</v>
          </cell>
          <cell r="O284" t="str">
            <v>BNI</v>
          </cell>
          <cell r="P284" t="str">
            <v>NON AKTIF</v>
          </cell>
          <cell r="R284" t="str">
            <v>PANEN</v>
          </cell>
          <cell r="S284" t="str">
            <v>BORONGAN</v>
          </cell>
          <cell r="T284" t="str">
            <v>TRANSFER</v>
          </cell>
          <cell r="V284" t="str">
            <v>LOKAL</v>
          </cell>
        </row>
        <row r="285">
          <cell r="B285" t="str">
            <v>GM-00297</v>
          </cell>
          <cell r="C285" t="str">
            <v>ELKIANUS</v>
          </cell>
          <cell r="E285">
            <v>43517</v>
          </cell>
          <cell r="F285" t="str">
            <v>L</v>
          </cell>
          <cell r="G285" t="str">
            <v>DAMPAK</v>
          </cell>
          <cell r="H285">
            <v>30958</v>
          </cell>
          <cell r="I285" t="str">
            <v>36 TAHUN</v>
          </cell>
          <cell r="J285" t="str">
            <v>KRISTEN</v>
          </cell>
          <cell r="K285" t="str">
            <v>NON KONTRAKTOR</v>
          </cell>
          <cell r="L285">
            <v>5</v>
          </cell>
          <cell r="M285" t="str">
            <v>ELKIANUS</v>
          </cell>
          <cell r="N285">
            <v>442540227</v>
          </cell>
          <cell r="O285" t="str">
            <v>BNI</v>
          </cell>
          <cell r="P285" t="str">
            <v>AKTIF</v>
          </cell>
          <cell r="R285" t="str">
            <v>PANEN</v>
          </cell>
          <cell r="S285" t="str">
            <v>BORONGAN</v>
          </cell>
          <cell r="T285" t="str">
            <v>TRANSFER</v>
          </cell>
          <cell r="U285" t="str">
            <v>6109060909730004</v>
          </cell>
          <cell r="V285" t="str">
            <v>LOKAL</v>
          </cell>
        </row>
        <row r="286">
          <cell r="B286" t="str">
            <v>GM-00298</v>
          </cell>
          <cell r="C286" t="str">
            <v>ENGKO</v>
          </cell>
          <cell r="E286">
            <v>43349</v>
          </cell>
          <cell r="F286" t="str">
            <v>L</v>
          </cell>
          <cell r="I286" t="str">
            <v>121 TAHUN</v>
          </cell>
          <cell r="J286" t="str">
            <v>KRISTEN</v>
          </cell>
          <cell r="K286" t="str">
            <v>NON KONTRAKTOR</v>
          </cell>
          <cell r="L286">
            <v>5</v>
          </cell>
          <cell r="M286" t="str">
            <v>ENGKO</v>
          </cell>
          <cell r="N286">
            <v>413958374</v>
          </cell>
          <cell r="O286" t="str">
            <v>BNI</v>
          </cell>
          <cell r="P286" t="str">
            <v>NON AKTIF</v>
          </cell>
          <cell r="R286" t="str">
            <v>PANEN</v>
          </cell>
          <cell r="S286" t="str">
            <v>BORONGAN</v>
          </cell>
          <cell r="T286" t="str">
            <v>TRANSFER</v>
          </cell>
          <cell r="V286" t="str">
            <v>LOKAL</v>
          </cell>
        </row>
        <row r="287">
          <cell r="B287" t="str">
            <v>GM-00299</v>
          </cell>
          <cell r="C287" t="str">
            <v>ESRA EFENDI</v>
          </cell>
          <cell r="E287">
            <v>43349</v>
          </cell>
          <cell r="F287" t="str">
            <v>L</v>
          </cell>
          <cell r="G287" t="str">
            <v>GENOK</v>
          </cell>
          <cell r="H287">
            <v>26701</v>
          </cell>
          <cell r="I287" t="str">
            <v>47 TAHUN</v>
          </cell>
          <cell r="J287" t="str">
            <v>KRISTEN</v>
          </cell>
          <cell r="K287" t="str">
            <v>NON KONTRAKTOR</v>
          </cell>
          <cell r="L287">
            <v>5</v>
          </cell>
          <cell r="M287" t="str">
            <v>ESRA EFENDI</v>
          </cell>
          <cell r="N287">
            <v>386797505</v>
          </cell>
          <cell r="O287" t="str">
            <v>BNI</v>
          </cell>
          <cell r="P287" t="str">
            <v>NON AKTIF</v>
          </cell>
          <cell r="R287" t="str">
            <v>PANEN</v>
          </cell>
          <cell r="S287" t="str">
            <v>BORONGAN</v>
          </cell>
          <cell r="T287" t="str">
            <v>TRANSFER</v>
          </cell>
          <cell r="V287" t="str">
            <v>LOKAL</v>
          </cell>
        </row>
        <row r="288">
          <cell r="B288" t="str">
            <v>GM-00300</v>
          </cell>
          <cell r="C288" t="str">
            <v>F. PRIDILINUS</v>
          </cell>
          <cell r="E288">
            <v>43517</v>
          </cell>
          <cell r="F288" t="str">
            <v>L</v>
          </cell>
          <cell r="G288" t="str">
            <v>AMOH</v>
          </cell>
          <cell r="H288">
            <v>32867</v>
          </cell>
          <cell r="I288" t="str">
            <v>31 TAHUN</v>
          </cell>
          <cell r="J288" t="str">
            <v>KRISTEN</v>
          </cell>
          <cell r="K288" t="str">
            <v>NON KONTRAKTOR</v>
          </cell>
          <cell r="L288">
            <v>5</v>
          </cell>
          <cell r="M288" t="str">
            <v>F. PRIDILINUS</v>
          </cell>
          <cell r="N288">
            <v>442389491</v>
          </cell>
          <cell r="O288" t="str">
            <v>BNI</v>
          </cell>
          <cell r="P288" t="str">
            <v>AKTIF</v>
          </cell>
          <cell r="R288" t="str">
            <v>PANEN</v>
          </cell>
          <cell r="S288" t="str">
            <v>BORONGAN</v>
          </cell>
          <cell r="T288" t="str">
            <v>TRANSFER</v>
          </cell>
          <cell r="U288" t="str">
            <v>6109062512890006</v>
          </cell>
          <cell r="V288" t="str">
            <v>LOKAL</v>
          </cell>
        </row>
        <row r="289">
          <cell r="B289" t="str">
            <v>GM-00301</v>
          </cell>
          <cell r="C289" t="str">
            <v>FILIPUS</v>
          </cell>
          <cell r="E289">
            <v>43349</v>
          </cell>
          <cell r="F289" t="str">
            <v>L</v>
          </cell>
          <cell r="G289" t="str">
            <v>NANGA KALON</v>
          </cell>
          <cell r="H289">
            <v>30671</v>
          </cell>
          <cell r="I289" t="str">
            <v>37 TAHUN</v>
          </cell>
          <cell r="J289" t="str">
            <v>KRISTEN</v>
          </cell>
          <cell r="K289" t="str">
            <v>NON KONTRAKTOR</v>
          </cell>
          <cell r="L289">
            <v>5</v>
          </cell>
          <cell r="M289" t="str">
            <v>FILIPUS</v>
          </cell>
          <cell r="N289">
            <v>1148411653</v>
          </cell>
          <cell r="O289" t="str">
            <v>BNI</v>
          </cell>
          <cell r="P289" t="str">
            <v>AKTIF</v>
          </cell>
          <cell r="R289" t="str">
            <v>PANEN</v>
          </cell>
          <cell r="S289" t="str">
            <v>BORONGAN</v>
          </cell>
          <cell r="T289" t="str">
            <v>TRANSFER</v>
          </cell>
          <cell r="U289" t="str">
            <v>6109062112830001</v>
          </cell>
          <cell r="V289" t="str">
            <v>LOKAL</v>
          </cell>
        </row>
        <row r="290">
          <cell r="B290" t="str">
            <v>GM-00302</v>
          </cell>
          <cell r="C290" t="str">
            <v>GISON</v>
          </cell>
          <cell r="E290">
            <v>43517</v>
          </cell>
          <cell r="F290" t="str">
            <v>L</v>
          </cell>
          <cell r="G290" t="str">
            <v>SEPAUH</v>
          </cell>
          <cell r="H290">
            <v>28808</v>
          </cell>
          <cell r="I290" t="str">
            <v>42 TAHUN</v>
          </cell>
          <cell r="J290" t="str">
            <v>KRISTEN</v>
          </cell>
          <cell r="K290" t="str">
            <v>NON KONTRAKTOR</v>
          </cell>
          <cell r="L290">
            <v>5</v>
          </cell>
          <cell r="M290" t="str">
            <v>GISON</v>
          </cell>
          <cell r="N290">
            <v>386797492</v>
          </cell>
          <cell r="O290" t="str">
            <v>BNI</v>
          </cell>
          <cell r="P290" t="str">
            <v>AKTIF</v>
          </cell>
          <cell r="R290" t="str">
            <v>PANEN</v>
          </cell>
          <cell r="S290" t="str">
            <v>BORONGAN</v>
          </cell>
          <cell r="T290" t="str">
            <v>TRANSFER</v>
          </cell>
          <cell r="U290" t="str">
            <v>6109061411780002</v>
          </cell>
          <cell r="V290" t="str">
            <v>LOKAL</v>
          </cell>
        </row>
        <row r="291">
          <cell r="B291" t="str">
            <v>GM-00303</v>
          </cell>
          <cell r="C291" t="str">
            <v>HENDRI</v>
          </cell>
          <cell r="E291">
            <v>43349</v>
          </cell>
          <cell r="F291" t="str">
            <v>L</v>
          </cell>
          <cell r="G291" t="str">
            <v>SEBINDANG</v>
          </cell>
          <cell r="H291">
            <v>33835</v>
          </cell>
          <cell r="I291" t="str">
            <v>28 TAHUN</v>
          </cell>
          <cell r="J291" t="str">
            <v>KRISTEN</v>
          </cell>
          <cell r="K291" t="str">
            <v>NON KONTRAKTOR</v>
          </cell>
          <cell r="L291">
            <v>5</v>
          </cell>
          <cell r="M291" t="str">
            <v>HENDRI</v>
          </cell>
          <cell r="N291">
            <v>386797606</v>
          </cell>
          <cell r="O291" t="str">
            <v>BNI</v>
          </cell>
          <cell r="P291" t="str">
            <v>AKTIF</v>
          </cell>
          <cell r="R291" t="str">
            <v>PANEN</v>
          </cell>
          <cell r="S291" t="str">
            <v>BORONGAN</v>
          </cell>
          <cell r="T291" t="str">
            <v>TRANSFER</v>
          </cell>
          <cell r="V291" t="str">
            <v>LOKAL</v>
          </cell>
        </row>
        <row r="292">
          <cell r="B292" t="str">
            <v>GM-00304</v>
          </cell>
          <cell r="C292" t="str">
            <v>HERIANTO</v>
          </cell>
          <cell r="E292">
            <v>43349</v>
          </cell>
          <cell r="F292" t="str">
            <v>L</v>
          </cell>
          <cell r="I292" t="str">
            <v>121 TAHUN</v>
          </cell>
          <cell r="J292" t="str">
            <v>KRISTEN</v>
          </cell>
          <cell r="K292" t="str">
            <v>NON KONTRAKTOR</v>
          </cell>
          <cell r="L292">
            <v>5</v>
          </cell>
          <cell r="P292" t="str">
            <v>NON AKTIF</v>
          </cell>
          <cell r="R292" t="str">
            <v>PANEN</v>
          </cell>
          <cell r="S292" t="str">
            <v>BORONGAN</v>
          </cell>
          <cell r="T292" t="str">
            <v>TUNAI</v>
          </cell>
          <cell r="V292" t="str">
            <v>LOKAL</v>
          </cell>
        </row>
        <row r="293">
          <cell r="B293" t="str">
            <v>GM-00305</v>
          </cell>
          <cell r="C293" t="str">
            <v>HIKBER</v>
          </cell>
          <cell r="E293">
            <v>43349</v>
          </cell>
          <cell r="F293" t="str">
            <v>L</v>
          </cell>
          <cell r="I293" t="str">
            <v>121 TAHUN</v>
          </cell>
          <cell r="J293" t="str">
            <v>KRISTEN</v>
          </cell>
          <cell r="K293" t="str">
            <v>NON KONTRAKTOR</v>
          </cell>
          <cell r="L293">
            <v>5</v>
          </cell>
          <cell r="M293" t="str">
            <v>HIKBER</v>
          </cell>
          <cell r="N293">
            <v>413959059</v>
          </cell>
          <cell r="O293" t="str">
            <v>BNI</v>
          </cell>
          <cell r="P293" t="str">
            <v>NON AKTIF</v>
          </cell>
          <cell r="R293" t="str">
            <v>PANEN</v>
          </cell>
          <cell r="S293" t="str">
            <v>BORONGAN</v>
          </cell>
          <cell r="T293" t="str">
            <v>TRANSFER</v>
          </cell>
          <cell r="V293" t="str">
            <v>LOKAL</v>
          </cell>
        </row>
        <row r="294">
          <cell r="B294" t="str">
            <v>GM-00306</v>
          </cell>
          <cell r="C294" t="str">
            <v>IMANUEL</v>
          </cell>
          <cell r="E294">
            <v>43349</v>
          </cell>
          <cell r="F294" t="str">
            <v>L</v>
          </cell>
          <cell r="I294" t="str">
            <v>121 TAHUN</v>
          </cell>
          <cell r="J294" t="str">
            <v>KRISTEN</v>
          </cell>
          <cell r="K294" t="str">
            <v>NON KONTRAKTOR</v>
          </cell>
          <cell r="L294">
            <v>5</v>
          </cell>
          <cell r="M294" t="str">
            <v>IMANUEL</v>
          </cell>
          <cell r="N294">
            <v>388035215</v>
          </cell>
          <cell r="O294" t="str">
            <v>BNI</v>
          </cell>
          <cell r="P294" t="str">
            <v>NON AKTIF</v>
          </cell>
          <cell r="R294" t="str">
            <v>PANEN</v>
          </cell>
          <cell r="S294" t="str">
            <v>BORONGAN</v>
          </cell>
          <cell r="T294" t="str">
            <v>TRANSFER</v>
          </cell>
          <cell r="V294" t="str">
            <v>LOKAL</v>
          </cell>
        </row>
        <row r="295">
          <cell r="B295" t="str">
            <v>GM-00307</v>
          </cell>
          <cell r="C295" t="str">
            <v>JASMIN</v>
          </cell>
          <cell r="E295">
            <v>43517</v>
          </cell>
          <cell r="F295" t="str">
            <v>L</v>
          </cell>
          <cell r="G295" t="str">
            <v>SEBETUNG</v>
          </cell>
          <cell r="H295">
            <v>32652</v>
          </cell>
          <cell r="I295" t="str">
            <v>31 TAHUN</v>
          </cell>
          <cell r="J295" t="str">
            <v>KRISTEN</v>
          </cell>
          <cell r="K295" t="str">
            <v>NON KONTRAKTOR</v>
          </cell>
          <cell r="L295">
            <v>5</v>
          </cell>
          <cell r="M295" t="str">
            <v>JASMIN</v>
          </cell>
          <cell r="N295">
            <v>445358186</v>
          </cell>
          <cell r="O295" t="str">
            <v>BNI</v>
          </cell>
          <cell r="P295" t="str">
            <v>AKTIF</v>
          </cell>
          <cell r="R295" t="str">
            <v>PANEN</v>
          </cell>
          <cell r="S295" t="str">
            <v>BORONGAN</v>
          </cell>
          <cell r="T295" t="str">
            <v>TRANSFER</v>
          </cell>
          <cell r="U295" t="str">
            <v>6109062405890004</v>
          </cell>
          <cell r="V295" t="str">
            <v>LOKAL</v>
          </cell>
        </row>
        <row r="296">
          <cell r="B296" t="str">
            <v>GM-00308</v>
          </cell>
          <cell r="C296" t="str">
            <v>JHON BARNES</v>
          </cell>
          <cell r="E296">
            <v>43349</v>
          </cell>
          <cell r="F296" t="str">
            <v>L</v>
          </cell>
          <cell r="I296" t="str">
            <v>121 TAHUN</v>
          </cell>
          <cell r="J296" t="str">
            <v>KRISTEN</v>
          </cell>
          <cell r="K296" t="str">
            <v>NON KONTRAKTOR</v>
          </cell>
          <cell r="L296">
            <v>5</v>
          </cell>
          <cell r="P296" t="str">
            <v>NON AKTIF</v>
          </cell>
          <cell r="R296" t="str">
            <v>PANEN</v>
          </cell>
          <cell r="S296" t="str">
            <v>BORONGAN</v>
          </cell>
          <cell r="T296" t="str">
            <v>TUNAI</v>
          </cell>
          <cell r="V296" t="str">
            <v>LOKAL</v>
          </cell>
        </row>
        <row r="297">
          <cell r="B297" t="str">
            <v>GM-00309</v>
          </cell>
          <cell r="C297" t="str">
            <v>JIMI</v>
          </cell>
          <cell r="E297">
            <v>43349</v>
          </cell>
          <cell r="F297" t="str">
            <v>L</v>
          </cell>
          <cell r="I297" t="str">
            <v>121 TAHUN</v>
          </cell>
          <cell r="J297" t="str">
            <v>KRISTEN</v>
          </cell>
          <cell r="K297" t="str">
            <v>NON KONTRAKTOR</v>
          </cell>
          <cell r="L297">
            <v>5</v>
          </cell>
          <cell r="M297" t="str">
            <v>JIMI</v>
          </cell>
          <cell r="N297">
            <v>442540680</v>
          </cell>
          <cell r="O297" t="str">
            <v>BNI</v>
          </cell>
          <cell r="P297" t="str">
            <v>NON AKTIF</v>
          </cell>
          <cell r="R297" t="str">
            <v>PANEN</v>
          </cell>
          <cell r="S297" t="str">
            <v>BORONGAN</v>
          </cell>
          <cell r="T297" t="str">
            <v>TRANSFER</v>
          </cell>
          <cell r="V297" t="str">
            <v>LOKAL</v>
          </cell>
        </row>
        <row r="298">
          <cell r="B298" t="str">
            <v>GM-00310</v>
          </cell>
          <cell r="C298" t="str">
            <v>KELING</v>
          </cell>
          <cell r="E298">
            <v>43349</v>
          </cell>
          <cell r="F298" t="str">
            <v>L</v>
          </cell>
          <cell r="G298" t="str">
            <v>AMOH</v>
          </cell>
          <cell r="H298">
            <v>27581</v>
          </cell>
          <cell r="I298" t="str">
            <v>45 TAHUN</v>
          </cell>
          <cell r="J298" t="str">
            <v>KRISTEN</v>
          </cell>
          <cell r="K298" t="str">
            <v>NON KONTRAKTOR</v>
          </cell>
          <cell r="L298">
            <v>5</v>
          </cell>
          <cell r="M298" t="str">
            <v>KELING</v>
          </cell>
          <cell r="N298">
            <v>386797527</v>
          </cell>
          <cell r="O298" t="str">
            <v>BNI</v>
          </cell>
          <cell r="P298" t="str">
            <v>NON AKTIF</v>
          </cell>
          <cell r="R298" t="str">
            <v>PANEN</v>
          </cell>
          <cell r="S298" t="str">
            <v>BORONGAN</v>
          </cell>
          <cell r="T298" t="str">
            <v>TRANSFER</v>
          </cell>
          <cell r="V298" t="str">
            <v>LOKAL</v>
          </cell>
        </row>
        <row r="299">
          <cell r="B299" t="str">
            <v>GM-00311</v>
          </cell>
          <cell r="C299" t="str">
            <v>KELLIE</v>
          </cell>
          <cell r="E299">
            <v>43349</v>
          </cell>
          <cell r="F299" t="str">
            <v>L</v>
          </cell>
          <cell r="G299" t="str">
            <v>DAMPAK</v>
          </cell>
          <cell r="H299">
            <v>27489</v>
          </cell>
          <cell r="I299" t="str">
            <v>45 TAHUN</v>
          </cell>
          <cell r="J299" t="str">
            <v>KRISTEN</v>
          </cell>
          <cell r="K299" t="str">
            <v>NON KONTRAKTOR</v>
          </cell>
          <cell r="L299">
            <v>5</v>
          </cell>
          <cell r="M299" t="str">
            <v>KELLIE</v>
          </cell>
          <cell r="N299">
            <v>388035282</v>
          </cell>
          <cell r="O299" t="str">
            <v>BNI</v>
          </cell>
          <cell r="P299" t="str">
            <v>NON AKTIF</v>
          </cell>
          <cell r="R299" t="str">
            <v>PANEN</v>
          </cell>
          <cell r="S299" t="str">
            <v>BORONGAN</v>
          </cell>
          <cell r="T299" t="str">
            <v>TRANSFER</v>
          </cell>
          <cell r="V299" t="str">
            <v>LOKAL</v>
          </cell>
        </row>
        <row r="300">
          <cell r="B300" t="str">
            <v>GM-00312</v>
          </cell>
          <cell r="C300" t="str">
            <v>KRISTIAN</v>
          </cell>
          <cell r="E300">
            <v>43349</v>
          </cell>
          <cell r="F300" t="str">
            <v>L</v>
          </cell>
          <cell r="I300" t="str">
            <v>121 TAHUN</v>
          </cell>
          <cell r="J300" t="str">
            <v>KRISTEN</v>
          </cell>
          <cell r="K300" t="str">
            <v>NON KONTRAKTOR</v>
          </cell>
          <cell r="L300">
            <v>5</v>
          </cell>
          <cell r="P300" t="str">
            <v>NON AKTIF</v>
          </cell>
          <cell r="R300" t="str">
            <v>PANEN</v>
          </cell>
          <cell r="S300" t="str">
            <v>BORONGAN</v>
          </cell>
          <cell r="T300" t="str">
            <v>TUNAI</v>
          </cell>
          <cell r="V300" t="str">
            <v>LOKAL</v>
          </cell>
        </row>
        <row r="301">
          <cell r="B301" t="str">
            <v>GM-00313</v>
          </cell>
          <cell r="C301" t="str">
            <v>LACAY. A</v>
          </cell>
          <cell r="E301">
            <v>43517</v>
          </cell>
          <cell r="F301" t="str">
            <v>L</v>
          </cell>
          <cell r="G301" t="str">
            <v>AMOH</v>
          </cell>
          <cell r="H301">
            <v>23439</v>
          </cell>
          <cell r="I301" t="str">
            <v>56 TAHUN</v>
          </cell>
          <cell r="J301" t="str">
            <v>KRISTEN</v>
          </cell>
          <cell r="K301" t="str">
            <v>NON KONTRAKTOR</v>
          </cell>
          <cell r="L301">
            <v>5</v>
          </cell>
          <cell r="M301" t="str">
            <v>LACAY. A</v>
          </cell>
          <cell r="N301">
            <v>442540487</v>
          </cell>
          <cell r="O301" t="str">
            <v>BNI</v>
          </cell>
          <cell r="P301" t="str">
            <v>AKTIF</v>
          </cell>
          <cell r="R301" t="str">
            <v>PANEN</v>
          </cell>
          <cell r="S301" t="str">
            <v>BORONGAN</v>
          </cell>
          <cell r="T301" t="str">
            <v>TRANSFER</v>
          </cell>
          <cell r="U301" t="str">
            <v>6109060303640001</v>
          </cell>
          <cell r="V301" t="str">
            <v>LOKAL</v>
          </cell>
        </row>
        <row r="302">
          <cell r="B302" t="str">
            <v>GM-00314</v>
          </cell>
          <cell r="C302" t="str">
            <v>LEONARDO</v>
          </cell>
          <cell r="E302">
            <v>43497</v>
          </cell>
          <cell r="F302" t="str">
            <v>L</v>
          </cell>
          <cell r="G302" t="str">
            <v>AMOH</v>
          </cell>
          <cell r="H302">
            <v>31315</v>
          </cell>
          <cell r="I302" t="str">
            <v>35 TAHUN</v>
          </cell>
          <cell r="J302" t="str">
            <v>KRISTEN</v>
          </cell>
          <cell r="K302" t="str">
            <v>NON KONTRAKTOR</v>
          </cell>
          <cell r="L302">
            <v>5</v>
          </cell>
          <cell r="M302" t="str">
            <v>LEONARDO</v>
          </cell>
          <cell r="N302">
            <v>413958363</v>
          </cell>
          <cell r="O302" t="str">
            <v>BNI</v>
          </cell>
          <cell r="P302" t="str">
            <v>AKTIF</v>
          </cell>
          <cell r="R302" t="str">
            <v>PANEN</v>
          </cell>
          <cell r="S302" t="str">
            <v>BORONGAN</v>
          </cell>
          <cell r="T302" t="str">
            <v>TRANSFER</v>
          </cell>
          <cell r="U302" t="str">
            <v>6109062509850003</v>
          </cell>
          <cell r="V302" t="str">
            <v>LOKAL</v>
          </cell>
        </row>
        <row r="303">
          <cell r="B303" t="str">
            <v>GM-00315</v>
          </cell>
          <cell r="C303" t="str">
            <v>LIPI .R</v>
          </cell>
          <cell r="E303">
            <v>43349</v>
          </cell>
          <cell r="F303" t="str">
            <v>L</v>
          </cell>
          <cell r="G303" t="str">
            <v>SEBINDANG</v>
          </cell>
          <cell r="H303">
            <v>31177</v>
          </cell>
          <cell r="I303" t="str">
            <v>35 TAHUN</v>
          </cell>
          <cell r="J303" t="str">
            <v>KRISTEN</v>
          </cell>
          <cell r="K303" t="str">
            <v>NON KONTRAKTOR</v>
          </cell>
          <cell r="L303">
            <v>5</v>
          </cell>
          <cell r="M303" t="str">
            <v>LIPI .R</v>
          </cell>
          <cell r="N303">
            <v>446370622</v>
          </cell>
          <cell r="O303" t="str">
            <v>BNI</v>
          </cell>
          <cell r="P303" t="str">
            <v>NON AKTIF</v>
          </cell>
          <cell r="R303" t="str">
            <v>PANEN</v>
          </cell>
          <cell r="S303" t="str">
            <v>BORONGAN</v>
          </cell>
          <cell r="T303" t="str">
            <v>TRANSFER</v>
          </cell>
          <cell r="V303" t="str">
            <v>LOKAL</v>
          </cell>
        </row>
        <row r="304">
          <cell r="B304" t="str">
            <v>GM-00316</v>
          </cell>
          <cell r="C304" t="str">
            <v>MADI MASTRA</v>
          </cell>
          <cell r="E304">
            <v>43349</v>
          </cell>
          <cell r="F304" t="str">
            <v>L</v>
          </cell>
          <cell r="G304" t="str">
            <v>SINGKUANG</v>
          </cell>
          <cell r="H304">
            <v>29168</v>
          </cell>
          <cell r="I304" t="str">
            <v>41 TAHUN</v>
          </cell>
          <cell r="J304" t="str">
            <v>KRISTEN</v>
          </cell>
          <cell r="K304" t="str">
            <v>NON KONTRAKTOR</v>
          </cell>
          <cell r="L304">
            <v>5</v>
          </cell>
          <cell r="M304" t="str">
            <v>MADI MASTRA</v>
          </cell>
          <cell r="N304">
            <v>386797414</v>
          </cell>
          <cell r="O304" t="str">
            <v>BNI</v>
          </cell>
          <cell r="P304" t="str">
            <v>NON AKTIF</v>
          </cell>
          <cell r="R304" t="str">
            <v>PANEN</v>
          </cell>
          <cell r="S304" t="str">
            <v>BORONGAN</v>
          </cell>
          <cell r="T304" t="str">
            <v>TRANSFER</v>
          </cell>
          <cell r="V304" t="str">
            <v>LOKAL</v>
          </cell>
        </row>
        <row r="305">
          <cell r="B305" t="str">
            <v>GM-00317</v>
          </cell>
          <cell r="C305" t="str">
            <v>MARSELINUS LEO</v>
          </cell>
          <cell r="E305">
            <v>43349</v>
          </cell>
          <cell r="F305" t="str">
            <v>L</v>
          </cell>
          <cell r="G305" t="str">
            <v>KEDANG TEMILAH</v>
          </cell>
          <cell r="H305">
            <v>33923</v>
          </cell>
          <cell r="I305" t="str">
            <v>28 TAHUN</v>
          </cell>
          <cell r="J305" t="str">
            <v>KRISTEN</v>
          </cell>
          <cell r="K305" t="str">
            <v>NON KONTRAKTOR</v>
          </cell>
          <cell r="L305">
            <v>5</v>
          </cell>
          <cell r="M305" t="str">
            <v>MARSELINUS LEO</v>
          </cell>
          <cell r="N305">
            <v>446358800</v>
          </cell>
          <cell r="O305" t="str">
            <v>BNI</v>
          </cell>
          <cell r="P305" t="str">
            <v>NON AKTIF</v>
          </cell>
          <cell r="R305" t="str">
            <v>PANEN</v>
          </cell>
          <cell r="S305" t="str">
            <v>BORONGAN</v>
          </cell>
          <cell r="T305" t="str">
            <v>TRANSFER</v>
          </cell>
          <cell r="V305" t="str">
            <v>LOKAL</v>
          </cell>
        </row>
        <row r="306">
          <cell r="B306" t="str">
            <v>GM-00318</v>
          </cell>
          <cell r="C306" t="str">
            <v>MASWARDI</v>
          </cell>
          <cell r="E306">
            <v>43349</v>
          </cell>
          <cell r="F306" t="str">
            <v>L</v>
          </cell>
          <cell r="I306" t="str">
            <v>121 TAHUN</v>
          </cell>
          <cell r="J306" t="str">
            <v>KRISTEN</v>
          </cell>
          <cell r="K306" t="str">
            <v>NON KONTRAKTOR</v>
          </cell>
          <cell r="L306">
            <v>5</v>
          </cell>
          <cell r="M306" t="str">
            <v>MASWARDI</v>
          </cell>
          <cell r="N306">
            <v>526011787</v>
          </cell>
          <cell r="O306" t="str">
            <v>BNI</v>
          </cell>
          <cell r="P306" t="str">
            <v>NON AKTIF</v>
          </cell>
          <cell r="R306" t="str">
            <v>PANEN</v>
          </cell>
          <cell r="S306" t="str">
            <v>BORONGAN</v>
          </cell>
          <cell r="T306" t="str">
            <v>TRANSFER</v>
          </cell>
          <cell r="V306" t="str">
            <v>LOKAL</v>
          </cell>
        </row>
        <row r="307">
          <cell r="B307" t="str">
            <v>GM-00319</v>
          </cell>
          <cell r="C307" t="str">
            <v>MAT PAULUS</v>
          </cell>
          <cell r="E307">
            <v>43349</v>
          </cell>
          <cell r="F307" t="str">
            <v>L</v>
          </cell>
          <cell r="G307" t="str">
            <v>MENAWAI LINGKAU</v>
          </cell>
          <cell r="H307">
            <v>29505</v>
          </cell>
          <cell r="I307" t="str">
            <v>40 TAHUN</v>
          </cell>
          <cell r="J307" t="str">
            <v>KRISTEN</v>
          </cell>
          <cell r="K307" t="str">
            <v>NON KONTRAKTOR</v>
          </cell>
          <cell r="L307">
            <v>5</v>
          </cell>
          <cell r="M307" t="str">
            <v>MAT PAULUS</v>
          </cell>
          <cell r="N307">
            <v>388035113</v>
          </cell>
          <cell r="O307" t="str">
            <v>BNI</v>
          </cell>
          <cell r="P307" t="str">
            <v>AKTIF</v>
          </cell>
          <cell r="R307" t="str">
            <v>PANEN</v>
          </cell>
          <cell r="S307" t="str">
            <v>BORONGAN</v>
          </cell>
          <cell r="T307" t="str">
            <v>TRANSFER</v>
          </cell>
          <cell r="U307" t="str">
            <v>6109061110800004</v>
          </cell>
          <cell r="V307" t="str">
            <v>LOKAL</v>
          </cell>
        </row>
        <row r="308">
          <cell r="B308" t="str">
            <v>GM-00320</v>
          </cell>
          <cell r="C308" t="str">
            <v>MUASTARI. N</v>
          </cell>
          <cell r="E308">
            <v>43349</v>
          </cell>
          <cell r="F308" t="str">
            <v>L</v>
          </cell>
          <cell r="I308" t="str">
            <v>121 TAHUN</v>
          </cell>
          <cell r="J308" t="str">
            <v>KRISTEN</v>
          </cell>
          <cell r="K308" t="str">
            <v>NON KONTRAKTOR</v>
          </cell>
          <cell r="L308">
            <v>5</v>
          </cell>
          <cell r="M308" t="str">
            <v>MUASTARI. N</v>
          </cell>
          <cell r="N308">
            <v>359569751</v>
          </cell>
          <cell r="O308" t="str">
            <v>BNI</v>
          </cell>
          <cell r="P308" t="str">
            <v>NON AKTIF</v>
          </cell>
          <cell r="R308" t="str">
            <v>PANEN</v>
          </cell>
          <cell r="S308" t="str">
            <v>BORONGAN</v>
          </cell>
          <cell r="T308" t="str">
            <v>TRANSFER</v>
          </cell>
          <cell r="V308" t="str">
            <v>LOKAL</v>
          </cell>
        </row>
        <row r="309">
          <cell r="B309" t="str">
            <v>GM-00321</v>
          </cell>
          <cell r="C309" t="str">
            <v>MULYADI</v>
          </cell>
          <cell r="E309">
            <v>43349</v>
          </cell>
          <cell r="F309" t="str">
            <v>L</v>
          </cell>
          <cell r="I309" t="str">
            <v>121 TAHUN</v>
          </cell>
          <cell r="J309" t="str">
            <v>KRISTEN</v>
          </cell>
          <cell r="K309" t="str">
            <v>NON KONTRAKTOR</v>
          </cell>
          <cell r="L309">
            <v>5</v>
          </cell>
          <cell r="P309" t="str">
            <v>NON AKTIF</v>
          </cell>
          <cell r="R309" t="str">
            <v>PANEN</v>
          </cell>
          <cell r="S309" t="str">
            <v>BORONGAN</v>
          </cell>
          <cell r="T309" t="str">
            <v>TUNAI</v>
          </cell>
          <cell r="V309" t="str">
            <v>LOKAL</v>
          </cell>
        </row>
        <row r="310">
          <cell r="B310" t="str">
            <v>GM-00322</v>
          </cell>
          <cell r="C310" t="str">
            <v>NANGKAI</v>
          </cell>
          <cell r="E310">
            <v>43349</v>
          </cell>
          <cell r="F310" t="str">
            <v>L</v>
          </cell>
          <cell r="G310" t="str">
            <v>BALAU MILOT</v>
          </cell>
          <cell r="H310">
            <v>27893</v>
          </cell>
          <cell r="I310" t="str">
            <v>44 TAHUN</v>
          </cell>
          <cell r="J310" t="str">
            <v>KRISTEN</v>
          </cell>
          <cell r="K310" t="str">
            <v>NON KONTRAKTOR</v>
          </cell>
          <cell r="L310">
            <v>5</v>
          </cell>
          <cell r="M310" t="str">
            <v>NANGKAI</v>
          </cell>
          <cell r="N310">
            <v>449104646</v>
          </cell>
          <cell r="O310" t="str">
            <v>BNI</v>
          </cell>
          <cell r="P310" t="str">
            <v>NON AKTIF</v>
          </cell>
          <cell r="R310" t="str">
            <v>PANEN</v>
          </cell>
          <cell r="S310" t="str">
            <v>BORONGAN</v>
          </cell>
          <cell r="T310" t="str">
            <v>TRANSFER</v>
          </cell>
          <cell r="U310" t="str">
            <v>6109061305760001</v>
          </cell>
          <cell r="V310" t="str">
            <v>LOKAL</v>
          </cell>
        </row>
        <row r="311">
          <cell r="B311" t="str">
            <v>GM-00323</v>
          </cell>
          <cell r="C311" t="str">
            <v>PANTAU A. SARAN</v>
          </cell>
          <cell r="E311">
            <v>43517</v>
          </cell>
          <cell r="F311" t="str">
            <v>L</v>
          </cell>
          <cell r="G311" t="str">
            <v>EMPIT</v>
          </cell>
          <cell r="H311">
            <v>29660</v>
          </cell>
          <cell r="I311" t="str">
            <v>39 TAHUN</v>
          </cell>
          <cell r="J311" t="str">
            <v>KRISTEN</v>
          </cell>
          <cell r="K311" t="str">
            <v>NON KONTRAKTOR</v>
          </cell>
          <cell r="L311">
            <v>5</v>
          </cell>
          <cell r="M311" t="str">
            <v>PANTAU A. SARAN</v>
          </cell>
          <cell r="N311">
            <v>413958578</v>
          </cell>
          <cell r="O311" t="str">
            <v>BNI</v>
          </cell>
          <cell r="P311" t="str">
            <v>AKTIF</v>
          </cell>
          <cell r="R311" t="str">
            <v>PANEN</v>
          </cell>
          <cell r="S311" t="str">
            <v>BORONGAN</v>
          </cell>
          <cell r="T311" t="str">
            <v>TRANSFER</v>
          </cell>
          <cell r="U311" t="str">
            <v>6109061503810004</v>
          </cell>
          <cell r="V311" t="str">
            <v>LOKAL</v>
          </cell>
        </row>
        <row r="312">
          <cell r="B312" t="str">
            <v>GM-00324</v>
          </cell>
          <cell r="C312" t="str">
            <v>PATI MURI</v>
          </cell>
          <cell r="E312">
            <v>43349</v>
          </cell>
          <cell r="F312" t="str">
            <v>L</v>
          </cell>
          <cell r="I312" t="str">
            <v>121 TAHUN</v>
          </cell>
          <cell r="J312" t="str">
            <v>KRISTEN</v>
          </cell>
          <cell r="K312" t="str">
            <v>NON KONTRAKTOR</v>
          </cell>
          <cell r="L312">
            <v>5</v>
          </cell>
          <cell r="M312" t="str">
            <v>PATI MURI</v>
          </cell>
          <cell r="N312">
            <v>526011754</v>
          </cell>
          <cell r="O312" t="str">
            <v>BNI</v>
          </cell>
          <cell r="P312" t="str">
            <v>NON AKTIF</v>
          </cell>
          <cell r="R312" t="str">
            <v>PANEN</v>
          </cell>
          <cell r="S312" t="str">
            <v>BORONGAN</v>
          </cell>
          <cell r="T312" t="str">
            <v>TRANSFER</v>
          </cell>
          <cell r="V312" t="str">
            <v>LOKAL</v>
          </cell>
        </row>
        <row r="313">
          <cell r="B313" t="str">
            <v>GM-00325</v>
          </cell>
          <cell r="C313" t="str">
            <v>PINSENSIUS</v>
          </cell>
          <cell r="E313">
            <v>43349</v>
          </cell>
          <cell r="F313" t="str">
            <v>L</v>
          </cell>
          <cell r="I313" t="str">
            <v>121 TAHUN</v>
          </cell>
          <cell r="J313" t="str">
            <v>KRISTEN</v>
          </cell>
          <cell r="K313" t="str">
            <v>NON KONTRAKTOR</v>
          </cell>
          <cell r="L313">
            <v>5</v>
          </cell>
          <cell r="P313" t="str">
            <v>NON AKTIF</v>
          </cell>
          <cell r="R313" t="str">
            <v>PANEN</v>
          </cell>
          <cell r="S313" t="str">
            <v>BORONGAN</v>
          </cell>
          <cell r="T313" t="str">
            <v>TUNAI</v>
          </cell>
          <cell r="V313" t="str">
            <v>LOKAL</v>
          </cell>
        </row>
        <row r="314">
          <cell r="B314" t="str">
            <v>GM-00326</v>
          </cell>
          <cell r="C314" t="str">
            <v>SYAMSUMIN</v>
          </cell>
          <cell r="E314">
            <v>43517</v>
          </cell>
          <cell r="F314" t="str">
            <v>L</v>
          </cell>
          <cell r="G314" t="str">
            <v>SUNGAI GANDAL</v>
          </cell>
          <cell r="H314">
            <v>28327</v>
          </cell>
          <cell r="I314" t="str">
            <v>43 TAHUN</v>
          </cell>
          <cell r="J314" t="str">
            <v>KRISTEN</v>
          </cell>
          <cell r="K314" t="str">
            <v>NON KONTRAKTOR</v>
          </cell>
          <cell r="L314">
            <v>5</v>
          </cell>
          <cell r="M314" t="str">
            <v>SYAMSUMIN</v>
          </cell>
          <cell r="N314">
            <v>386797458</v>
          </cell>
          <cell r="O314" t="str">
            <v>BNI</v>
          </cell>
          <cell r="P314" t="str">
            <v>AKTIF</v>
          </cell>
          <cell r="R314" t="str">
            <v>PANEN</v>
          </cell>
          <cell r="S314" t="str">
            <v>BORONGAN</v>
          </cell>
          <cell r="T314" t="str">
            <v>TRANSFER</v>
          </cell>
          <cell r="U314" t="str">
            <v>6109062107770005</v>
          </cell>
          <cell r="V314" t="str">
            <v>LOKAL</v>
          </cell>
        </row>
        <row r="315">
          <cell r="B315" t="str">
            <v>GM-00327</v>
          </cell>
          <cell r="C315" t="str">
            <v>SELNO</v>
          </cell>
          <cell r="E315">
            <v>43497</v>
          </cell>
          <cell r="F315" t="str">
            <v>L</v>
          </cell>
          <cell r="G315" t="str">
            <v>AMOH</v>
          </cell>
          <cell r="H315">
            <v>33029</v>
          </cell>
          <cell r="I315" t="str">
            <v>30 TAHUN</v>
          </cell>
          <cell r="J315" t="str">
            <v>KRISTEN</v>
          </cell>
          <cell r="K315" t="str">
            <v>NON KONTRAKTOR</v>
          </cell>
          <cell r="L315">
            <v>5</v>
          </cell>
          <cell r="M315" t="str">
            <v>SELNO</v>
          </cell>
          <cell r="N315">
            <v>605438426</v>
          </cell>
          <cell r="O315" t="str">
            <v>BNI</v>
          </cell>
          <cell r="P315" t="str">
            <v>AKTIF</v>
          </cell>
          <cell r="R315" t="str">
            <v>PANEN</v>
          </cell>
          <cell r="S315" t="str">
            <v>BORONGAN</v>
          </cell>
          <cell r="T315" t="str">
            <v>TRANSFER</v>
          </cell>
          <cell r="U315" t="str">
            <v>6109060506900003</v>
          </cell>
          <cell r="V315" t="str">
            <v>LOKAL</v>
          </cell>
        </row>
        <row r="316">
          <cell r="B316" t="str">
            <v>GM-00328</v>
          </cell>
          <cell r="C316" t="str">
            <v>SERIYANTO</v>
          </cell>
          <cell r="E316">
            <v>43349</v>
          </cell>
          <cell r="F316" t="str">
            <v>L</v>
          </cell>
          <cell r="I316" t="str">
            <v>121 TAHUN</v>
          </cell>
          <cell r="J316" t="str">
            <v>KRISTEN</v>
          </cell>
          <cell r="K316" t="str">
            <v>NON KONTRAKTOR</v>
          </cell>
          <cell r="L316">
            <v>5</v>
          </cell>
          <cell r="M316" t="str">
            <v>SERIYANTO</v>
          </cell>
          <cell r="N316">
            <v>526011798</v>
          </cell>
          <cell r="O316" t="str">
            <v>BNI</v>
          </cell>
          <cell r="P316" t="str">
            <v>NON AKTIF</v>
          </cell>
          <cell r="R316" t="str">
            <v>PANEN</v>
          </cell>
          <cell r="S316" t="str">
            <v>BORONGAN</v>
          </cell>
          <cell r="T316" t="str">
            <v>TRANSFER</v>
          </cell>
          <cell r="V316" t="str">
            <v>LOKAL</v>
          </cell>
        </row>
        <row r="317">
          <cell r="B317" t="str">
            <v>GM-00329</v>
          </cell>
          <cell r="C317" t="str">
            <v>SINTU</v>
          </cell>
          <cell r="E317">
            <v>43349</v>
          </cell>
          <cell r="F317" t="str">
            <v>L</v>
          </cell>
          <cell r="G317" t="str">
            <v>SADUS</v>
          </cell>
          <cell r="H317">
            <v>29315</v>
          </cell>
          <cell r="I317" t="str">
            <v>40 TAHUN</v>
          </cell>
          <cell r="J317" t="str">
            <v>KRISTEN</v>
          </cell>
          <cell r="K317" t="str">
            <v>NON KONTRAKTOR</v>
          </cell>
          <cell r="L317">
            <v>5</v>
          </cell>
          <cell r="M317" t="str">
            <v>SINTU</v>
          </cell>
          <cell r="N317">
            <v>386797481</v>
          </cell>
          <cell r="O317" t="str">
            <v>BNI</v>
          </cell>
          <cell r="P317" t="str">
            <v>AKTIF</v>
          </cell>
          <cell r="R317" t="str">
            <v>PANEN</v>
          </cell>
          <cell r="S317" t="str">
            <v>BORONGAN</v>
          </cell>
          <cell r="T317" t="str">
            <v>TRANSFER</v>
          </cell>
          <cell r="U317" t="str">
            <v>6109060404800003</v>
          </cell>
          <cell r="V317" t="str">
            <v>LOKAL</v>
          </cell>
        </row>
        <row r="318">
          <cell r="B318" t="str">
            <v>GM-00330</v>
          </cell>
          <cell r="C318" t="str">
            <v>SUMIARSO</v>
          </cell>
          <cell r="E318">
            <v>43349</v>
          </cell>
          <cell r="F318" t="str">
            <v>L</v>
          </cell>
          <cell r="I318" t="str">
            <v>121 TAHUN</v>
          </cell>
          <cell r="J318" t="str">
            <v>KRISTEN</v>
          </cell>
          <cell r="K318" t="str">
            <v>NON KONTRAKTOR</v>
          </cell>
          <cell r="L318">
            <v>5</v>
          </cell>
          <cell r="P318" t="str">
            <v>NON AKTIF</v>
          </cell>
          <cell r="R318" t="str">
            <v>PANEN</v>
          </cell>
          <cell r="S318" t="str">
            <v>BORONGAN</v>
          </cell>
          <cell r="T318" t="str">
            <v>TUNAI</v>
          </cell>
          <cell r="V318" t="str">
            <v>LOKAL</v>
          </cell>
        </row>
        <row r="319">
          <cell r="B319" t="str">
            <v>GM-00331</v>
          </cell>
          <cell r="C319" t="str">
            <v>SUPIAN</v>
          </cell>
          <cell r="E319">
            <v>43349</v>
          </cell>
          <cell r="F319" t="str">
            <v>L</v>
          </cell>
          <cell r="I319" t="str">
            <v>121 TAHUN</v>
          </cell>
          <cell r="J319" t="str">
            <v>KRISTEN</v>
          </cell>
          <cell r="K319" t="str">
            <v>NON KONTRAKTOR</v>
          </cell>
          <cell r="L319">
            <v>5</v>
          </cell>
          <cell r="P319" t="str">
            <v>NON AKTIF</v>
          </cell>
          <cell r="R319" t="str">
            <v>PANEN</v>
          </cell>
          <cell r="S319" t="str">
            <v>BORONGAN</v>
          </cell>
          <cell r="T319" t="str">
            <v>TUNAI</v>
          </cell>
          <cell r="V319" t="str">
            <v>LOKAL</v>
          </cell>
        </row>
        <row r="320">
          <cell r="B320" t="str">
            <v>GM-00332</v>
          </cell>
          <cell r="C320" t="str">
            <v>WANDI</v>
          </cell>
          <cell r="E320">
            <v>43497</v>
          </cell>
          <cell r="F320" t="str">
            <v>L</v>
          </cell>
          <cell r="G320" t="str">
            <v>BALAU LAMBING</v>
          </cell>
          <cell r="H320">
            <v>29195</v>
          </cell>
          <cell r="I320" t="str">
            <v>41 TAHUN</v>
          </cell>
          <cell r="J320" t="str">
            <v>KRISTEN</v>
          </cell>
          <cell r="K320" t="str">
            <v>NON KONTRAKTOR</v>
          </cell>
          <cell r="L320">
            <v>5</v>
          </cell>
          <cell r="M320" t="str">
            <v>WANDI</v>
          </cell>
          <cell r="N320">
            <v>413958409</v>
          </cell>
          <cell r="O320" t="str">
            <v>BNI</v>
          </cell>
          <cell r="P320" t="str">
            <v>AKTIF</v>
          </cell>
          <cell r="R320" t="str">
            <v>PANEN</v>
          </cell>
          <cell r="S320" t="str">
            <v>BORONGAN</v>
          </cell>
          <cell r="T320" t="str">
            <v>TRANSFER</v>
          </cell>
          <cell r="U320" t="str">
            <v>6109060612790001</v>
          </cell>
          <cell r="V320" t="str">
            <v>LOKAL</v>
          </cell>
        </row>
        <row r="321">
          <cell r="B321" t="str">
            <v>GM-00333</v>
          </cell>
          <cell r="C321" t="str">
            <v>WILI YARTO</v>
          </cell>
          <cell r="E321">
            <v>43349</v>
          </cell>
          <cell r="F321" t="str">
            <v>L</v>
          </cell>
          <cell r="G321" t="str">
            <v>ENGKUDU</v>
          </cell>
          <cell r="H321">
            <v>30501</v>
          </cell>
          <cell r="I321" t="str">
            <v>37 TAHUN</v>
          </cell>
          <cell r="J321" t="str">
            <v>KRISTEN</v>
          </cell>
          <cell r="K321" t="str">
            <v>NON KONTRAKTOR</v>
          </cell>
          <cell r="L321">
            <v>5</v>
          </cell>
          <cell r="P321" t="str">
            <v>AKTIF</v>
          </cell>
          <cell r="R321" t="str">
            <v>PANEN</v>
          </cell>
          <cell r="S321" t="str">
            <v>BORONGAN</v>
          </cell>
          <cell r="T321" t="str">
            <v>TUNAI</v>
          </cell>
          <cell r="V321" t="str">
            <v>LOKAL</v>
          </cell>
        </row>
        <row r="322">
          <cell r="B322" t="str">
            <v>GM-00334</v>
          </cell>
          <cell r="C322" t="str">
            <v>YOHANIS SINAR</v>
          </cell>
          <cell r="E322">
            <v>43349</v>
          </cell>
          <cell r="F322" t="str">
            <v>L</v>
          </cell>
          <cell r="G322" t="str">
            <v>SUNGAI TAMANG</v>
          </cell>
          <cell r="H322">
            <v>29404</v>
          </cell>
          <cell r="I322" t="str">
            <v>40 TAHUN</v>
          </cell>
          <cell r="J322" t="str">
            <v>KRISTEN</v>
          </cell>
          <cell r="K322" t="str">
            <v>NON KONTRAKTOR</v>
          </cell>
          <cell r="L322">
            <v>5</v>
          </cell>
          <cell r="M322" t="str">
            <v>YOHANIS SINAR</v>
          </cell>
          <cell r="N322">
            <v>386797470</v>
          </cell>
          <cell r="O322" t="str">
            <v>BNI</v>
          </cell>
          <cell r="P322" t="str">
            <v>AKTIF</v>
          </cell>
          <cell r="R322" t="str">
            <v>PANEN</v>
          </cell>
          <cell r="S322" t="str">
            <v>BORONGAN</v>
          </cell>
          <cell r="T322" t="str">
            <v>TRANSFER</v>
          </cell>
          <cell r="U322" t="str">
            <v>6109060207800002</v>
          </cell>
          <cell r="V322" t="str">
            <v>LOKAL</v>
          </cell>
        </row>
        <row r="323">
          <cell r="B323" t="str">
            <v>GM-00335</v>
          </cell>
          <cell r="C323" t="str">
            <v>YOSEP</v>
          </cell>
          <cell r="E323">
            <v>43517</v>
          </cell>
          <cell r="F323" t="str">
            <v>L</v>
          </cell>
          <cell r="G323" t="str">
            <v>KEMANTAN</v>
          </cell>
          <cell r="H323">
            <v>33215</v>
          </cell>
          <cell r="I323" t="str">
            <v>30 TAHUN</v>
          </cell>
          <cell r="J323" t="str">
            <v>KRISTEN</v>
          </cell>
          <cell r="K323" t="str">
            <v>NON KONTRAKTOR</v>
          </cell>
          <cell r="L323">
            <v>5</v>
          </cell>
          <cell r="M323" t="str">
            <v>YOSEP</v>
          </cell>
          <cell r="N323">
            <v>442389504</v>
          </cell>
          <cell r="O323" t="str">
            <v>BNI</v>
          </cell>
          <cell r="P323" t="str">
            <v>AKTIF</v>
          </cell>
          <cell r="R323" t="str">
            <v>PANEN</v>
          </cell>
          <cell r="S323" t="str">
            <v>BORONGAN</v>
          </cell>
          <cell r="T323" t="str">
            <v>TRANSFER</v>
          </cell>
          <cell r="U323" t="str">
            <v>61090</v>
          </cell>
          <cell r="V323" t="str">
            <v>LOKAL</v>
          </cell>
        </row>
        <row r="324">
          <cell r="B324" t="str">
            <v>GM-00336</v>
          </cell>
          <cell r="C324" t="str">
            <v>YOSEF</v>
          </cell>
          <cell r="E324">
            <v>43349</v>
          </cell>
          <cell r="F324" t="str">
            <v>L</v>
          </cell>
          <cell r="G324" t="str">
            <v>SUNGAI ANTU HULU</v>
          </cell>
          <cell r="H324">
            <v>27708</v>
          </cell>
          <cell r="I324" t="str">
            <v>45 TAHUN</v>
          </cell>
          <cell r="J324" t="str">
            <v>KRISTEN</v>
          </cell>
          <cell r="K324" t="str">
            <v>NON KONTRAKTOR</v>
          </cell>
          <cell r="L324">
            <v>5</v>
          </cell>
          <cell r="M324" t="str">
            <v>YOSEF</v>
          </cell>
          <cell r="N324">
            <v>386797469</v>
          </cell>
          <cell r="O324" t="str">
            <v>BNI</v>
          </cell>
          <cell r="P324" t="str">
            <v>AKTIF</v>
          </cell>
          <cell r="R324" t="str">
            <v>PANEN</v>
          </cell>
          <cell r="S324" t="str">
            <v>BORONGAN</v>
          </cell>
          <cell r="T324" t="str">
            <v>TRANSFER</v>
          </cell>
          <cell r="U324" t="str">
            <v>6109061011750003</v>
          </cell>
          <cell r="V324" t="str">
            <v>LOKAL</v>
          </cell>
        </row>
        <row r="325">
          <cell r="B325" t="str">
            <v>GM-00337</v>
          </cell>
          <cell r="C325" t="str">
            <v>YUSAPAT</v>
          </cell>
          <cell r="E325">
            <v>43349</v>
          </cell>
          <cell r="F325" t="str">
            <v>L</v>
          </cell>
          <cell r="I325" t="str">
            <v>121 TAHUN</v>
          </cell>
          <cell r="J325" t="str">
            <v>KRISTEN</v>
          </cell>
          <cell r="K325" t="str">
            <v>NON KONTRAKTOR</v>
          </cell>
          <cell r="L325">
            <v>5</v>
          </cell>
          <cell r="P325" t="str">
            <v>NON AKTIF</v>
          </cell>
          <cell r="R325" t="str">
            <v>PANEN</v>
          </cell>
          <cell r="S325" t="str">
            <v>BORONGAN</v>
          </cell>
          <cell r="T325" t="str">
            <v>TUNAI</v>
          </cell>
          <cell r="V325" t="str">
            <v>LOKAL</v>
          </cell>
        </row>
        <row r="326">
          <cell r="B326" t="str">
            <v>GM-00338</v>
          </cell>
          <cell r="C326" t="str">
            <v>YOSIA. T</v>
          </cell>
          <cell r="E326">
            <v>43517</v>
          </cell>
          <cell r="F326" t="str">
            <v>L</v>
          </cell>
          <cell r="G326" t="str">
            <v>DAMPAK</v>
          </cell>
          <cell r="H326">
            <v>25367</v>
          </cell>
          <cell r="I326" t="str">
            <v>51 TAHUN</v>
          </cell>
          <cell r="J326" t="str">
            <v>KRISTEN</v>
          </cell>
          <cell r="K326" t="str">
            <v>NON KONTRAKTOR</v>
          </cell>
          <cell r="L326">
            <v>5</v>
          </cell>
          <cell r="M326" t="str">
            <v>YOSIA. T</v>
          </cell>
          <cell r="N326">
            <v>388035306</v>
          </cell>
          <cell r="O326" t="str">
            <v>BNI</v>
          </cell>
          <cell r="P326" t="str">
            <v>AKTIF</v>
          </cell>
          <cell r="R326" t="str">
            <v>PANEN</v>
          </cell>
          <cell r="S326" t="str">
            <v>BORONGAN</v>
          </cell>
          <cell r="T326" t="str">
            <v>TRANSFER</v>
          </cell>
          <cell r="U326" t="str">
            <v>6109061306690003</v>
          </cell>
          <cell r="V326" t="str">
            <v>LOKAL</v>
          </cell>
        </row>
        <row r="327">
          <cell r="B327" t="str">
            <v>GM-00339</v>
          </cell>
          <cell r="C327" t="str">
            <v>ZAKARIA</v>
          </cell>
          <cell r="E327">
            <v>43349</v>
          </cell>
          <cell r="F327" t="str">
            <v>L</v>
          </cell>
          <cell r="G327" t="str">
            <v>DAMPAK</v>
          </cell>
          <cell r="H327">
            <v>29927</v>
          </cell>
          <cell r="I327" t="str">
            <v>39 TAHUN</v>
          </cell>
          <cell r="J327" t="str">
            <v>KRISTEN</v>
          </cell>
          <cell r="K327" t="str">
            <v>NON KONTRAKTOR</v>
          </cell>
          <cell r="L327">
            <v>5</v>
          </cell>
          <cell r="M327" t="str">
            <v>ZAKARIA</v>
          </cell>
          <cell r="N327">
            <v>388035317</v>
          </cell>
          <cell r="O327" t="str">
            <v>BNI</v>
          </cell>
          <cell r="P327" t="str">
            <v>NON AKTIF</v>
          </cell>
          <cell r="R327" t="str">
            <v>PANEN</v>
          </cell>
          <cell r="S327" t="str">
            <v>BORONGAN</v>
          </cell>
          <cell r="T327" t="str">
            <v>TRANSFER</v>
          </cell>
          <cell r="V327" t="str">
            <v>LOKAL</v>
          </cell>
        </row>
        <row r="328">
          <cell r="B328" t="str">
            <v>GM-00340</v>
          </cell>
          <cell r="C328" t="str">
            <v>A. RIZAL</v>
          </cell>
          <cell r="E328">
            <v>43425</v>
          </cell>
          <cell r="F328" t="str">
            <v>L</v>
          </cell>
          <cell r="I328" t="str">
            <v>121 TAHUN</v>
          </cell>
          <cell r="J328" t="str">
            <v>KRISTEN</v>
          </cell>
          <cell r="K328" t="str">
            <v>NON KONTRAKTOR</v>
          </cell>
          <cell r="L328">
            <v>1</v>
          </cell>
          <cell r="P328" t="str">
            <v>AKTIF</v>
          </cell>
          <cell r="R328" t="str">
            <v>PERAWATAN</v>
          </cell>
          <cell r="S328" t="str">
            <v>BORONGAN</v>
          </cell>
          <cell r="T328" t="str">
            <v>TUNAI</v>
          </cell>
          <cell r="V328" t="str">
            <v>LOKAL</v>
          </cell>
        </row>
        <row r="329">
          <cell r="B329" t="str">
            <v>GM-00341</v>
          </cell>
          <cell r="C329" t="str">
            <v>DEDI IRAWAN</v>
          </cell>
          <cell r="E329">
            <v>43425</v>
          </cell>
          <cell r="F329" t="str">
            <v>L</v>
          </cell>
          <cell r="G329" t="str">
            <v>BATUK</v>
          </cell>
          <cell r="H329">
            <v>36142</v>
          </cell>
          <cell r="I329" t="str">
            <v>22 TAHUN</v>
          </cell>
          <cell r="J329" t="str">
            <v>KRISTEN</v>
          </cell>
          <cell r="K329" t="str">
            <v>NON KONTRAKTOR</v>
          </cell>
          <cell r="L329">
            <v>1</v>
          </cell>
          <cell r="P329" t="str">
            <v>AKTIF</v>
          </cell>
          <cell r="R329" t="str">
            <v>PERAWATAN</v>
          </cell>
          <cell r="S329" t="str">
            <v>BORONGAN</v>
          </cell>
          <cell r="T329" t="str">
            <v>TUNAI</v>
          </cell>
          <cell r="U329" t="str">
            <v>6109061312980005</v>
          </cell>
          <cell r="V329" t="str">
            <v>LOKAL</v>
          </cell>
        </row>
        <row r="330">
          <cell r="B330" t="str">
            <v>GM-00342</v>
          </cell>
          <cell r="C330" t="str">
            <v>LIDA</v>
          </cell>
          <cell r="E330">
            <v>43425</v>
          </cell>
          <cell r="F330" t="str">
            <v>P</v>
          </cell>
          <cell r="I330" t="str">
            <v>121 TAHUN</v>
          </cell>
          <cell r="J330" t="str">
            <v>KRISTEN</v>
          </cell>
          <cell r="K330" t="str">
            <v>NON KONTRAKTOR</v>
          </cell>
          <cell r="L330">
            <v>1</v>
          </cell>
          <cell r="P330" t="str">
            <v>AKTIF</v>
          </cell>
          <cell r="R330" t="str">
            <v>PERAWATAN</v>
          </cell>
          <cell r="S330" t="str">
            <v>BORONGAN</v>
          </cell>
          <cell r="T330" t="str">
            <v>TUNAI</v>
          </cell>
          <cell r="V330" t="str">
            <v>LOKAL</v>
          </cell>
        </row>
        <row r="331">
          <cell r="B331" t="str">
            <v>GM-00343</v>
          </cell>
          <cell r="C331" t="str">
            <v>SURHIDAYATI</v>
          </cell>
          <cell r="E331">
            <v>43425</v>
          </cell>
          <cell r="F331" t="str">
            <v>P</v>
          </cell>
          <cell r="I331" t="str">
            <v>121 TAHUN</v>
          </cell>
          <cell r="J331" t="str">
            <v>KRISTEN</v>
          </cell>
          <cell r="K331" t="str">
            <v>NON KONTRAKTOR</v>
          </cell>
          <cell r="L331">
            <v>1</v>
          </cell>
          <cell r="P331" t="str">
            <v>AKTIF</v>
          </cell>
          <cell r="R331" t="str">
            <v>PERAWATAN</v>
          </cell>
          <cell r="S331" t="str">
            <v>BORONGAN</v>
          </cell>
          <cell r="T331" t="str">
            <v>TUNAI</v>
          </cell>
          <cell r="V331" t="str">
            <v>LOKAL</v>
          </cell>
        </row>
        <row r="332">
          <cell r="B332" t="str">
            <v>GM-00344</v>
          </cell>
          <cell r="C332" t="str">
            <v>TENTEN</v>
          </cell>
          <cell r="E332">
            <v>43425</v>
          </cell>
          <cell r="F332" t="str">
            <v>P</v>
          </cell>
          <cell r="I332" t="str">
            <v>121 TAHUN</v>
          </cell>
          <cell r="J332" t="str">
            <v>KRISTEN</v>
          </cell>
          <cell r="K332" t="str">
            <v>NON KONTRAKTOR</v>
          </cell>
          <cell r="L332">
            <v>1</v>
          </cell>
          <cell r="P332" t="str">
            <v>AKTIF</v>
          </cell>
          <cell r="R332" t="str">
            <v>PERAWATAN</v>
          </cell>
          <cell r="S332" t="str">
            <v>BORONGAN</v>
          </cell>
          <cell r="T332" t="str">
            <v>TUNAI</v>
          </cell>
          <cell r="V332" t="str">
            <v>LOKAL</v>
          </cell>
        </row>
        <row r="333">
          <cell r="B333" t="str">
            <v>GM-00345</v>
          </cell>
          <cell r="C333" t="str">
            <v>BAMBANG</v>
          </cell>
          <cell r="E333">
            <v>43425</v>
          </cell>
          <cell r="F333" t="str">
            <v>L</v>
          </cell>
          <cell r="I333" t="str">
            <v>121 TAHUN</v>
          </cell>
          <cell r="J333" t="str">
            <v>KRISTEN</v>
          </cell>
          <cell r="K333" t="str">
            <v>NON KONTRAKTOR</v>
          </cell>
          <cell r="L333">
            <v>2</v>
          </cell>
          <cell r="P333" t="str">
            <v>AKTIF</v>
          </cell>
          <cell r="R333" t="str">
            <v>PERAWATAN</v>
          </cell>
          <cell r="S333" t="str">
            <v>BORONGAN</v>
          </cell>
          <cell r="T333" t="str">
            <v>TUNAI</v>
          </cell>
          <cell r="V333" t="str">
            <v>LOKAL</v>
          </cell>
        </row>
        <row r="334">
          <cell r="B334" t="str">
            <v>GM-00346</v>
          </cell>
          <cell r="C334" t="str">
            <v>CARLES</v>
          </cell>
          <cell r="E334">
            <v>43425</v>
          </cell>
          <cell r="F334" t="str">
            <v>L</v>
          </cell>
          <cell r="I334" t="str">
            <v>121 TAHUN</v>
          </cell>
          <cell r="J334" t="str">
            <v>KRISTEN</v>
          </cell>
          <cell r="K334" t="str">
            <v>NON KONTRAKTOR</v>
          </cell>
          <cell r="L334">
            <v>2</v>
          </cell>
          <cell r="P334" t="str">
            <v>AKTIF</v>
          </cell>
          <cell r="R334" t="str">
            <v>PERAWATAN</v>
          </cell>
          <cell r="S334" t="str">
            <v>BORONGAN</v>
          </cell>
          <cell r="T334" t="str">
            <v>TUNAI</v>
          </cell>
          <cell r="V334" t="str">
            <v>LOKAL</v>
          </cell>
        </row>
        <row r="335">
          <cell r="B335" t="str">
            <v>GM-00347</v>
          </cell>
          <cell r="C335" t="str">
            <v>CINTA</v>
          </cell>
          <cell r="E335">
            <v>43425</v>
          </cell>
          <cell r="F335" t="str">
            <v>P</v>
          </cell>
          <cell r="G335" t="str">
            <v>RANSA</v>
          </cell>
          <cell r="H335">
            <v>31568</v>
          </cell>
          <cell r="I335" t="str">
            <v>34 TAHUN</v>
          </cell>
          <cell r="J335" t="str">
            <v>KRISTEN</v>
          </cell>
          <cell r="K335" t="str">
            <v>NON KONTRAKTOR</v>
          </cell>
          <cell r="L335">
            <v>2</v>
          </cell>
          <cell r="P335" t="str">
            <v>AKTIF</v>
          </cell>
          <cell r="R335" t="str">
            <v>PERAWATAN</v>
          </cell>
          <cell r="S335" t="str">
            <v>BORONGAN</v>
          </cell>
          <cell r="T335" t="str">
            <v>TUNAI</v>
          </cell>
          <cell r="U335" t="str">
            <v>6109064506860006</v>
          </cell>
          <cell r="V335" t="str">
            <v>LOKAL</v>
          </cell>
        </row>
        <row r="336">
          <cell r="B336" t="str">
            <v>GM-00348</v>
          </cell>
          <cell r="C336" t="str">
            <v>DOGLES</v>
          </cell>
          <cell r="E336">
            <v>43425</v>
          </cell>
          <cell r="F336" t="str">
            <v>L</v>
          </cell>
          <cell r="I336" t="str">
            <v>121 TAHUN</v>
          </cell>
          <cell r="J336" t="str">
            <v>KRISTEN</v>
          </cell>
          <cell r="K336" t="str">
            <v>NON KONTRAKTOR</v>
          </cell>
          <cell r="L336">
            <v>2</v>
          </cell>
          <cell r="P336" t="str">
            <v>AKTIF</v>
          </cell>
          <cell r="R336" t="str">
            <v>PERAWATAN</v>
          </cell>
          <cell r="S336" t="str">
            <v>BORONGAN</v>
          </cell>
          <cell r="T336" t="str">
            <v>TUNAI</v>
          </cell>
          <cell r="V336" t="str">
            <v>LOKAL</v>
          </cell>
        </row>
        <row r="337">
          <cell r="B337" t="str">
            <v>GM-00349</v>
          </cell>
          <cell r="C337" t="str">
            <v>HANDELES</v>
          </cell>
          <cell r="E337">
            <v>43425</v>
          </cell>
          <cell r="F337" t="str">
            <v>L</v>
          </cell>
          <cell r="I337" t="str">
            <v>121 TAHUN</v>
          </cell>
          <cell r="J337" t="str">
            <v>KRISTEN</v>
          </cell>
          <cell r="K337" t="str">
            <v>NON KONTRAKTOR</v>
          </cell>
          <cell r="L337">
            <v>2</v>
          </cell>
          <cell r="P337" t="str">
            <v>AKTIF</v>
          </cell>
          <cell r="R337" t="str">
            <v>PERAWATAN</v>
          </cell>
          <cell r="S337" t="str">
            <v>BORONGAN</v>
          </cell>
          <cell r="T337" t="str">
            <v>TUNAI</v>
          </cell>
          <cell r="V337" t="str">
            <v>LOKAL</v>
          </cell>
        </row>
        <row r="338">
          <cell r="B338" t="str">
            <v>GM-00350</v>
          </cell>
          <cell r="C338" t="str">
            <v>HARTATI</v>
          </cell>
          <cell r="E338">
            <v>43425</v>
          </cell>
          <cell r="F338" t="str">
            <v>P</v>
          </cell>
          <cell r="G338" t="str">
            <v>RANSA</v>
          </cell>
          <cell r="H338">
            <v>34436</v>
          </cell>
          <cell r="I338" t="str">
            <v>26 TAHUN</v>
          </cell>
          <cell r="J338" t="str">
            <v>KRISTEN</v>
          </cell>
          <cell r="K338" t="str">
            <v>NON KONTRAKTOR</v>
          </cell>
          <cell r="L338">
            <v>2</v>
          </cell>
          <cell r="P338" t="str">
            <v>AKTIF</v>
          </cell>
          <cell r="R338" t="str">
            <v>PERAWATAN</v>
          </cell>
          <cell r="S338" t="str">
            <v>BORONGAN</v>
          </cell>
          <cell r="T338" t="str">
            <v>TUNAI</v>
          </cell>
          <cell r="U338" t="str">
            <v>6109065204940004</v>
          </cell>
          <cell r="V338" t="str">
            <v>LOKAL</v>
          </cell>
        </row>
        <row r="339">
          <cell r="B339" t="str">
            <v>GM-00351</v>
          </cell>
          <cell r="C339" t="str">
            <v>INDAH TRINANSIH</v>
          </cell>
          <cell r="E339">
            <v>43425</v>
          </cell>
          <cell r="F339" t="str">
            <v>P</v>
          </cell>
          <cell r="G339" t="str">
            <v>RANSA</v>
          </cell>
          <cell r="H339">
            <v>26868</v>
          </cell>
          <cell r="I339" t="str">
            <v>47 TAHUN</v>
          </cell>
          <cell r="J339" t="str">
            <v>KRISTEN</v>
          </cell>
          <cell r="K339" t="str">
            <v>NON KONTRAKTOR</v>
          </cell>
          <cell r="L339">
            <v>2</v>
          </cell>
          <cell r="P339" t="str">
            <v>AKTIF</v>
          </cell>
          <cell r="R339" t="str">
            <v>PERAWATAN</v>
          </cell>
          <cell r="S339" t="str">
            <v>BORONGAN</v>
          </cell>
          <cell r="T339" t="str">
            <v>TUNAI</v>
          </cell>
          <cell r="U339" t="str">
            <v>6109066307730004</v>
          </cell>
          <cell r="V339" t="str">
            <v>LOKAL</v>
          </cell>
        </row>
        <row r="340">
          <cell r="B340" t="str">
            <v>GM-00352</v>
          </cell>
          <cell r="C340" t="str">
            <v>JUWITA</v>
          </cell>
          <cell r="E340">
            <v>43425</v>
          </cell>
          <cell r="F340" t="str">
            <v>P</v>
          </cell>
          <cell r="G340" t="str">
            <v>RANSA</v>
          </cell>
          <cell r="H340">
            <v>23979</v>
          </cell>
          <cell r="I340" t="str">
            <v>55 TAHUN</v>
          </cell>
          <cell r="J340" t="str">
            <v>KRISTEN</v>
          </cell>
          <cell r="K340" t="str">
            <v>NON KONTRAKTOR</v>
          </cell>
          <cell r="L340">
            <v>2</v>
          </cell>
          <cell r="P340" t="str">
            <v>AKTIF</v>
          </cell>
          <cell r="R340" t="str">
            <v>PERAWATAN</v>
          </cell>
          <cell r="S340" t="str">
            <v>BORONGAN</v>
          </cell>
          <cell r="T340" t="str">
            <v>TUNAI</v>
          </cell>
          <cell r="U340" t="str">
            <v>6109066508650001</v>
          </cell>
          <cell r="V340" t="str">
            <v>LOKAL</v>
          </cell>
        </row>
        <row r="341">
          <cell r="B341" t="str">
            <v>GM-00353</v>
          </cell>
          <cell r="C341" t="str">
            <v>KANI</v>
          </cell>
          <cell r="E341">
            <v>43425</v>
          </cell>
          <cell r="F341" t="str">
            <v>P</v>
          </cell>
          <cell r="G341" t="str">
            <v>RANSA</v>
          </cell>
          <cell r="H341">
            <v>27864</v>
          </cell>
          <cell r="I341" t="str">
            <v>44 TAHUN</v>
          </cell>
          <cell r="J341" t="str">
            <v>KRISTEN</v>
          </cell>
          <cell r="K341" t="str">
            <v>NON KONTRAKTOR</v>
          </cell>
          <cell r="L341">
            <v>2</v>
          </cell>
          <cell r="P341" t="str">
            <v>AKTIF</v>
          </cell>
          <cell r="R341" t="str">
            <v>PERAWATAN</v>
          </cell>
          <cell r="S341" t="str">
            <v>BORONGAN</v>
          </cell>
          <cell r="T341" t="str">
            <v>TUNAI</v>
          </cell>
          <cell r="U341" t="str">
            <v>6109065404760002</v>
          </cell>
          <cell r="V341" t="str">
            <v>LOKAL</v>
          </cell>
        </row>
        <row r="342">
          <cell r="B342" t="str">
            <v>GM-00354</v>
          </cell>
          <cell r="C342" t="str">
            <v>KELARA</v>
          </cell>
          <cell r="E342">
            <v>43425</v>
          </cell>
          <cell r="F342" t="str">
            <v>P</v>
          </cell>
          <cell r="G342" t="str">
            <v>RANSA</v>
          </cell>
          <cell r="H342">
            <v>22743</v>
          </cell>
          <cell r="I342" t="str">
            <v>58 TAHUN</v>
          </cell>
          <cell r="J342" t="str">
            <v>KRISTEN</v>
          </cell>
          <cell r="K342" t="str">
            <v>NON KONTRAKTOR</v>
          </cell>
          <cell r="L342">
            <v>2</v>
          </cell>
          <cell r="P342" t="str">
            <v>AKTIF</v>
          </cell>
          <cell r="R342" t="str">
            <v>PERAWATAN</v>
          </cell>
          <cell r="S342" t="str">
            <v>BORONGAN</v>
          </cell>
          <cell r="T342" t="str">
            <v>TUNAI</v>
          </cell>
          <cell r="U342" t="str">
            <v>6109064704620002</v>
          </cell>
          <cell r="V342" t="str">
            <v>LOKAL</v>
          </cell>
        </row>
        <row r="343">
          <cell r="B343" t="str">
            <v>GM-00355</v>
          </cell>
          <cell r="C343" t="str">
            <v>LAMAN</v>
          </cell>
          <cell r="E343">
            <v>43425</v>
          </cell>
          <cell r="F343" t="str">
            <v>L</v>
          </cell>
          <cell r="I343" t="str">
            <v>121 TAHUN</v>
          </cell>
          <cell r="J343" t="str">
            <v>KRISTEN</v>
          </cell>
          <cell r="K343" t="str">
            <v>NON KONTRAKTOR</v>
          </cell>
          <cell r="L343">
            <v>2</v>
          </cell>
          <cell r="P343" t="str">
            <v>AKTIF</v>
          </cell>
          <cell r="R343" t="str">
            <v>PERAWATAN</v>
          </cell>
          <cell r="S343" t="str">
            <v>BORONGAN</v>
          </cell>
          <cell r="T343" t="str">
            <v>TUNAI</v>
          </cell>
          <cell r="V343" t="str">
            <v>LOKAL</v>
          </cell>
        </row>
        <row r="344">
          <cell r="B344" t="str">
            <v>GM-00356</v>
          </cell>
          <cell r="C344" t="str">
            <v>LIA</v>
          </cell>
          <cell r="E344">
            <v>43425</v>
          </cell>
          <cell r="F344" t="str">
            <v>P</v>
          </cell>
          <cell r="I344" t="str">
            <v>121 TAHUN</v>
          </cell>
          <cell r="J344" t="str">
            <v>KRISTEN</v>
          </cell>
          <cell r="K344" t="str">
            <v>NON KONTRAKTOR</v>
          </cell>
          <cell r="L344">
            <v>2</v>
          </cell>
          <cell r="P344" t="str">
            <v>AKTIF</v>
          </cell>
          <cell r="R344" t="str">
            <v>PERAWATAN</v>
          </cell>
          <cell r="S344" t="str">
            <v>BORONGAN</v>
          </cell>
          <cell r="T344" t="str">
            <v>TUNAI</v>
          </cell>
          <cell r="V344" t="str">
            <v>LOKAL</v>
          </cell>
        </row>
        <row r="345">
          <cell r="B345" t="str">
            <v>GM-00357</v>
          </cell>
          <cell r="C345" t="str">
            <v>MANI</v>
          </cell>
          <cell r="E345">
            <v>43425</v>
          </cell>
          <cell r="F345" t="str">
            <v>P</v>
          </cell>
          <cell r="G345" t="str">
            <v>RANSA</v>
          </cell>
          <cell r="H345">
            <v>25816</v>
          </cell>
          <cell r="I345" t="str">
            <v>50 TAHUN</v>
          </cell>
          <cell r="J345" t="str">
            <v>KRISTEN</v>
          </cell>
          <cell r="K345" t="str">
            <v>NON KONTRAKTOR</v>
          </cell>
          <cell r="L345">
            <v>2</v>
          </cell>
          <cell r="P345" t="str">
            <v>AKTIF</v>
          </cell>
          <cell r="R345" t="str">
            <v>PERAWATAN</v>
          </cell>
          <cell r="S345" t="str">
            <v>BORONGAN</v>
          </cell>
          <cell r="T345" t="str">
            <v>TUNAI</v>
          </cell>
          <cell r="U345" t="str">
            <v>6109064509700002</v>
          </cell>
          <cell r="V345" t="str">
            <v>LOKAL</v>
          </cell>
        </row>
        <row r="346">
          <cell r="B346" t="str">
            <v>GM-00358</v>
          </cell>
          <cell r="C346" t="str">
            <v>ANI SURYATI</v>
          </cell>
          <cell r="E346">
            <v>43425</v>
          </cell>
          <cell r="F346" t="str">
            <v>P</v>
          </cell>
          <cell r="G346" t="str">
            <v>DANDI</v>
          </cell>
          <cell r="H346">
            <v>31178</v>
          </cell>
          <cell r="I346" t="str">
            <v>35 TAHUN</v>
          </cell>
          <cell r="J346" t="str">
            <v>KRISTEN</v>
          </cell>
          <cell r="K346" t="str">
            <v>NON KONTRAKTOR</v>
          </cell>
          <cell r="L346">
            <v>4</v>
          </cell>
          <cell r="M346" t="str">
            <v>ANI SURYATI</v>
          </cell>
          <cell r="N346">
            <v>445358200</v>
          </cell>
          <cell r="O346" t="str">
            <v>BNI</v>
          </cell>
          <cell r="P346" t="str">
            <v>AKTIF</v>
          </cell>
          <cell r="R346" t="str">
            <v>PERAWATAN</v>
          </cell>
          <cell r="S346" t="str">
            <v>BORONGAN</v>
          </cell>
          <cell r="T346" t="str">
            <v>TRANSFER</v>
          </cell>
          <cell r="U346" t="str">
            <v>6109065105850002</v>
          </cell>
          <cell r="V346" t="str">
            <v>LOKAL</v>
          </cell>
        </row>
        <row r="347">
          <cell r="B347" t="str">
            <v>GM-00359</v>
          </cell>
          <cell r="C347" t="str">
            <v>MIRAWATI</v>
          </cell>
          <cell r="E347">
            <v>43425</v>
          </cell>
          <cell r="F347" t="str">
            <v>P</v>
          </cell>
          <cell r="G347" t="str">
            <v>RANSA</v>
          </cell>
          <cell r="H347">
            <v>22910</v>
          </cell>
          <cell r="I347" t="str">
            <v>58 TAHUN</v>
          </cell>
          <cell r="J347" t="str">
            <v>KRISTEN</v>
          </cell>
          <cell r="K347" t="str">
            <v>NON KONTRAKTOR</v>
          </cell>
          <cell r="L347">
            <v>2</v>
          </cell>
          <cell r="P347" t="str">
            <v>AKTIF</v>
          </cell>
          <cell r="R347" t="str">
            <v>PERAWATAN</v>
          </cell>
          <cell r="S347" t="str">
            <v>BORONGAN</v>
          </cell>
          <cell r="T347" t="str">
            <v>TUNAI</v>
          </cell>
          <cell r="U347" t="str">
            <v>6109066109820001</v>
          </cell>
          <cell r="V347" t="str">
            <v>LOKAL</v>
          </cell>
        </row>
        <row r="348">
          <cell r="B348" t="str">
            <v>GM-00360</v>
          </cell>
          <cell r="C348" t="str">
            <v>NENI WATI</v>
          </cell>
          <cell r="E348">
            <v>43425</v>
          </cell>
          <cell r="F348" t="str">
            <v>P</v>
          </cell>
          <cell r="G348" t="str">
            <v>RANSA</v>
          </cell>
          <cell r="H348">
            <v>31878</v>
          </cell>
          <cell r="I348" t="str">
            <v>33 TAHUN</v>
          </cell>
          <cell r="J348" t="str">
            <v>KRISTEN</v>
          </cell>
          <cell r="K348" t="str">
            <v>NON KONTRAKTOR</v>
          </cell>
          <cell r="L348">
            <v>2</v>
          </cell>
          <cell r="P348" t="str">
            <v>AKTIF</v>
          </cell>
          <cell r="R348" t="str">
            <v>PERAWATAN</v>
          </cell>
          <cell r="S348" t="str">
            <v>BORONGAN</v>
          </cell>
          <cell r="T348" t="str">
            <v>TUNAI</v>
          </cell>
          <cell r="U348" t="str">
            <v>6109065104870001</v>
          </cell>
          <cell r="V348" t="str">
            <v>LOKAL</v>
          </cell>
        </row>
        <row r="349">
          <cell r="B349" t="str">
            <v>GM-00361</v>
          </cell>
          <cell r="C349" t="str">
            <v>RUSLI</v>
          </cell>
          <cell r="E349">
            <v>43425</v>
          </cell>
          <cell r="F349" t="str">
            <v>P</v>
          </cell>
          <cell r="G349" t="str">
            <v>RANSA</v>
          </cell>
          <cell r="H349">
            <v>24002</v>
          </cell>
          <cell r="I349" t="str">
            <v>55 TAHUN</v>
          </cell>
          <cell r="J349" t="str">
            <v>KRISTEN</v>
          </cell>
          <cell r="K349" t="str">
            <v>NON KONTRAKTOR</v>
          </cell>
          <cell r="L349">
            <v>2</v>
          </cell>
          <cell r="P349" t="str">
            <v>AKTIF</v>
          </cell>
          <cell r="R349" t="str">
            <v>PERAWATAN</v>
          </cell>
          <cell r="S349" t="str">
            <v>BORONGAN</v>
          </cell>
          <cell r="T349" t="str">
            <v>TUNAI</v>
          </cell>
          <cell r="U349" t="str">
            <v>6109061709650001</v>
          </cell>
          <cell r="V349" t="str">
            <v>LOKAL</v>
          </cell>
        </row>
        <row r="350">
          <cell r="B350" t="str">
            <v>GM-00362</v>
          </cell>
          <cell r="C350" t="str">
            <v>SAUL L.</v>
          </cell>
          <cell r="E350">
            <v>43425</v>
          </cell>
          <cell r="F350" t="str">
            <v>L</v>
          </cell>
          <cell r="G350" t="str">
            <v>RANSA</v>
          </cell>
          <cell r="H350">
            <v>22575</v>
          </cell>
          <cell r="I350" t="str">
            <v>59 TAHUN</v>
          </cell>
          <cell r="J350" t="str">
            <v>KRISTEN</v>
          </cell>
          <cell r="K350" t="str">
            <v>NON KONTRAKTOR</v>
          </cell>
          <cell r="L350">
            <v>2</v>
          </cell>
          <cell r="P350" t="str">
            <v>AKTIF</v>
          </cell>
          <cell r="R350" t="str">
            <v>PERAWATAN</v>
          </cell>
          <cell r="S350" t="str">
            <v>BORONGAN</v>
          </cell>
          <cell r="T350" t="str">
            <v>TUNAI</v>
          </cell>
          <cell r="U350" t="str">
            <v>6109062110610003</v>
          </cell>
          <cell r="V350" t="str">
            <v>LOKAL</v>
          </cell>
        </row>
        <row r="351">
          <cell r="B351" t="str">
            <v>GM-00363</v>
          </cell>
          <cell r="C351" t="str">
            <v>RESEMI</v>
          </cell>
          <cell r="E351">
            <v>43425</v>
          </cell>
          <cell r="F351" t="str">
            <v>P</v>
          </cell>
          <cell r="G351" t="str">
            <v>RANSA</v>
          </cell>
          <cell r="H351">
            <v>28423</v>
          </cell>
          <cell r="I351" t="str">
            <v>43 TAHUN</v>
          </cell>
          <cell r="J351" t="str">
            <v>KRISTEN</v>
          </cell>
          <cell r="K351" t="str">
            <v>NON KONTRAKTOR</v>
          </cell>
          <cell r="L351">
            <v>2</v>
          </cell>
          <cell r="P351" t="str">
            <v>AKTIF</v>
          </cell>
          <cell r="R351" t="str">
            <v>PERAWATAN</v>
          </cell>
          <cell r="S351" t="str">
            <v>BORONGAN</v>
          </cell>
          <cell r="T351" t="str">
            <v>TUNAI</v>
          </cell>
          <cell r="U351" t="str">
            <v>6109066510770004</v>
          </cell>
          <cell r="V351" t="str">
            <v>LOKAL</v>
          </cell>
        </row>
        <row r="352">
          <cell r="B352" t="str">
            <v>GM-00364</v>
          </cell>
          <cell r="C352" t="str">
            <v>TARA</v>
          </cell>
          <cell r="E352">
            <v>43425</v>
          </cell>
          <cell r="F352" t="str">
            <v>P</v>
          </cell>
          <cell r="G352" t="str">
            <v>RANSI</v>
          </cell>
          <cell r="H352">
            <v>27191</v>
          </cell>
          <cell r="I352" t="str">
            <v>46 TAHUN</v>
          </cell>
          <cell r="J352" t="str">
            <v>KRISTEN</v>
          </cell>
          <cell r="K352" t="str">
            <v>NON KONTRAKTOR</v>
          </cell>
          <cell r="L352">
            <v>2</v>
          </cell>
          <cell r="P352" t="str">
            <v>AKTIF</v>
          </cell>
          <cell r="R352" t="str">
            <v>PERAWATAN</v>
          </cell>
          <cell r="S352" t="str">
            <v>BORONGAN</v>
          </cell>
          <cell r="T352" t="str">
            <v>TUNAI</v>
          </cell>
          <cell r="U352" t="str">
            <v>51/E/XX/02/2007</v>
          </cell>
          <cell r="V352" t="str">
            <v>LOKAL</v>
          </cell>
        </row>
        <row r="353">
          <cell r="B353" t="str">
            <v>GM-00365</v>
          </cell>
          <cell r="C353" t="str">
            <v>SERI HASTUTI</v>
          </cell>
          <cell r="E353">
            <v>43425</v>
          </cell>
          <cell r="F353" t="str">
            <v>P</v>
          </cell>
          <cell r="G353" t="str">
            <v>RANSA</v>
          </cell>
          <cell r="H353">
            <v>27919</v>
          </cell>
          <cell r="I353" t="str">
            <v>44 TAHUN</v>
          </cell>
          <cell r="J353" t="str">
            <v>KRISTEN</v>
          </cell>
          <cell r="K353" t="str">
            <v>NON KONTRAKTOR</v>
          </cell>
          <cell r="L353">
            <v>2</v>
          </cell>
          <cell r="P353" t="str">
            <v>AKTIF</v>
          </cell>
          <cell r="R353" t="str">
            <v>PERAWATAN</v>
          </cell>
          <cell r="S353" t="str">
            <v>BORONGAN</v>
          </cell>
          <cell r="T353" t="str">
            <v>TUNAI</v>
          </cell>
          <cell r="U353" t="str">
            <v>6109064806760001</v>
          </cell>
          <cell r="V353" t="str">
            <v>LOKAL</v>
          </cell>
        </row>
        <row r="354">
          <cell r="B354" t="str">
            <v>GM-00366</v>
          </cell>
          <cell r="C354" t="str">
            <v>YATI NURYANI</v>
          </cell>
          <cell r="E354">
            <v>43425</v>
          </cell>
          <cell r="F354" t="str">
            <v>P</v>
          </cell>
          <cell r="G354" t="str">
            <v>RANSI</v>
          </cell>
          <cell r="H354">
            <v>28788</v>
          </cell>
          <cell r="I354" t="str">
            <v>42 TAHUN</v>
          </cell>
          <cell r="J354" t="str">
            <v>KRISTEN</v>
          </cell>
          <cell r="K354" t="str">
            <v>NON KONTRAKTOR</v>
          </cell>
          <cell r="L354">
            <v>2</v>
          </cell>
          <cell r="P354" t="str">
            <v>AKTIF</v>
          </cell>
          <cell r="R354" t="str">
            <v>PERAWATAN</v>
          </cell>
          <cell r="S354" t="str">
            <v>BORONGAN</v>
          </cell>
          <cell r="T354" t="str">
            <v>TUNAI</v>
          </cell>
          <cell r="U354" t="str">
            <v>6105016510780003</v>
          </cell>
          <cell r="V354" t="str">
            <v>LOKAL</v>
          </cell>
        </row>
        <row r="355">
          <cell r="B355" t="str">
            <v>GM-00367</v>
          </cell>
          <cell r="C355" t="str">
            <v>AGUSTINUS</v>
          </cell>
          <cell r="E355">
            <v>43425</v>
          </cell>
          <cell r="F355" t="str">
            <v>L</v>
          </cell>
          <cell r="G355" t="str">
            <v>SADUS</v>
          </cell>
          <cell r="H355">
            <v>32770</v>
          </cell>
          <cell r="I355" t="str">
            <v>31 TAHUN</v>
          </cell>
          <cell r="J355" t="str">
            <v>KRISTEN</v>
          </cell>
          <cell r="K355" t="str">
            <v>NON KONTRAKTOR</v>
          </cell>
          <cell r="L355">
            <v>4</v>
          </cell>
          <cell r="M355" t="str">
            <v>AGUSTINUS</v>
          </cell>
          <cell r="N355">
            <v>1051795975</v>
          </cell>
          <cell r="O355" t="str">
            <v>BNI</v>
          </cell>
          <cell r="P355" t="str">
            <v>AKTIF</v>
          </cell>
          <cell r="R355" t="str">
            <v>PERAWATAN</v>
          </cell>
          <cell r="S355" t="str">
            <v>BORONGAN</v>
          </cell>
          <cell r="T355" t="str">
            <v>TRANSFER</v>
          </cell>
          <cell r="U355" t="str">
            <v>6109061908900001</v>
          </cell>
          <cell r="V355" t="str">
            <v>LOKAL</v>
          </cell>
        </row>
        <row r="356">
          <cell r="B356" t="str">
            <v>GM-00368</v>
          </cell>
          <cell r="C356" t="str">
            <v>ALPIUS</v>
          </cell>
          <cell r="E356">
            <v>43425</v>
          </cell>
          <cell r="F356" t="str">
            <v>L</v>
          </cell>
          <cell r="G356" t="str">
            <v>SADUS</v>
          </cell>
          <cell r="H356">
            <v>27622</v>
          </cell>
          <cell r="I356" t="str">
            <v>45 TAHUN</v>
          </cell>
          <cell r="J356" t="str">
            <v>KRISTEN</v>
          </cell>
          <cell r="K356" t="str">
            <v>NON KONTRAKTOR</v>
          </cell>
          <cell r="L356">
            <v>5</v>
          </cell>
          <cell r="M356" t="str">
            <v>ALPIUS</v>
          </cell>
          <cell r="N356">
            <v>906222164</v>
          </cell>
          <cell r="O356" t="str">
            <v>BNI</v>
          </cell>
          <cell r="P356" t="str">
            <v>AKTIF</v>
          </cell>
          <cell r="R356" t="str">
            <v>PANEN</v>
          </cell>
          <cell r="S356" t="str">
            <v>BORONGAN</v>
          </cell>
          <cell r="T356" t="str">
            <v>TRANSFER</v>
          </cell>
          <cell r="U356" t="str">
            <v>6109061608750004</v>
          </cell>
          <cell r="V356" t="str">
            <v>LOKAL</v>
          </cell>
        </row>
        <row r="357">
          <cell r="B357" t="str">
            <v>GM-00369</v>
          </cell>
          <cell r="C357" t="str">
            <v>ASUY. M</v>
          </cell>
          <cell r="E357">
            <v>43425</v>
          </cell>
          <cell r="F357" t="str">
            <v>L</v>
          </cell>
          <cell r="G357" t="str">
            <v>SINTANG</v>
          </cell>
          <cell r="H357">
            <v>26246</v>
          </cell>
          <cell r="I357" t="str">
            <v>49 TAHUN</v>
          </cell>
          <cell r="J357" t="str">
            <v>KRISTEN</v>
          </cell>
          <cell r="K357" t="str">
            <v>NON KONTRAKTOR</v>
          </cell>
          <cell r="L357">
            <v>4</v>
          </cell>
          <cell r="M357" t="str">
            <v>ASUY M</v>
          </cell>
          <cell r="N357">
            <v>911010561</v>
          </cell>
          <cell r="O357" t="str">
            <v>BNI</v>
          </cell>
          <cell r="P357" t="str">
            <v>AKTIF</v>
          </cell>
          <cell r="R357" t="str">
            <v>PANEN</v>
          </cell>
          <cell r="S357" t="str">
            <v>BORONGAN</v>
          </cell>
          <cell r="T357" t="str">
            <v>TRANSFER</v>
          </cell>
          <cell r="U357" t="str">
            <v>6109060911710001</v>
          </cell>
          <cell r="V357" t="str">
            <v>LOKAL</v>
          </cell>
        </row>
        <row r="358">
          <cell r="B358" t="str">
            <v>GM-00370</v>
          </cell>
          <cell r="C358" t="str">
            <v>BOY</v>
          </cell>
          <cell r="E358">
            <v>43425</v>
          </cell>
          <cell r="F358" t="str">
            <v>L</v>
          </cell>
          <cell r="I358" t="str">
            <v>121 TAHUN</v>
          </cell>
          <cell r="J358" t="str">
            <v>KRISTEN</v>
          </cell>
          <cell r="K358" t="str">
            <v>NON KONTRAKTOR</v>
          </cell>
          <cell r="L358">
            <v>4</v>
          </cell>
          <cell r="P358" t="str">
            <v>AKTIF</v>
          </cell>
          <cell r="R358" t="str">
            <v>PANEN</v>
          </cell>
          <cell r="S358" t="str">
            <v>BORONGAN</v>
          </cell>
          <cell r="T358" t="str">
            <v>TUNAI</v>
          </cell>
          <cell r="V358" t="str">
            <v>LOKAL</v>
          </cell>
        </row>
        <row r="359">
          <cell r="B359" t="str">
            <v>GM-00371</v>
          </cell>
          <cell r="C359" t="str">
            <v>DELLI</v>
          </cell>
          <cell r="E359">
            <v>43425</v>
          </cell>
          <cell r="F359" t="str">
            <v>L</v>
          </cell>
          <cell r="I359" t="str">
            <v>121 TAHUN</v>
          </cell>
          <cell r="J359" t="str">
            <v>KRISTEN</v>
          </cell>
          <cell r="K359" t="str">
            <v>NON KONTRAKTOR</v>
          </cell>
          <cell r="L359">
            <v>4</v>
          </cell>
          <cell r="P359" t="str">
            <v>AKTIF</v>
          </cell>
          <cell r="R359" t="str">
            <v>PERAWATAN</v>
          </cell>
          <cell r="S359" t="str">
            <v>BORONGAN</v>
          </cell>
          <cell r="T359" t="str">
            <v>TUNAI</v>
          </cell>
          <cell r="V359" t="str">
            <v>LOKAL</v>
          </cell>
        </row>
        <row r="360">
          <cell r="B360" t="str">
            <v>GM-00372</v>
          </cell>
          <cell r="C360" t="str">
            <v>JOHAN</v>
          </cell>
          <cell r="E360">
            <v>43425</v>
          </cell>
          <cell r="F360" t="str">
            <v>L</v>
          </cell>
          <cell r="I360" t="str">
            <v>121 TAHUN</v>
          </cell>
          <cell r="J360" t="str">
            <v>KRISTEN</v>
          </cell>
          <cell r="K360" t="str">
            <v>NON KONTRAKTOR</v>
          </cell>
          <cell r="L360">
            <v>4</v>
          </cell>
          <cell r="M360" t="str">
            <v>JOHAN SETIADI</v>
          </cell>
          <cell r="N360">
            <v>911010594</v>
          </cell>
          <cell r="O360" t="str">
            <v>BNI</v>
          </cell>
          <cell r="P360" t="str">
            <v>AKTIF</v>
          </cell>
          <cell r="R360" t="str">
            <v>PANEN</v>
          </cell>
          <cell r="S360" t="str">
            <v>BORONGAN</v>
          </cell>
          <cell r="T360" t="str">
            <v>TRANSFER</v>
          </cell>
          <cell r="V360" t="str">
            <v>LOKAL</v>
          </cell>
        </row>
        <row r="361">
          <cell r="B361" t="str">
            <v>GM-00373</v>
          </cell>
          <cell r="C361" t="str">
            <v>KLEMEN</v>
          </cell>
          <cell r="E361">
            <v>43425</v>
          </cell>
          <cell r="F361" t="str">
            <v>L</v>
          </cell>
          <cell r="G361" t="str">
            <v>NANGA SADUS</v>
          </cell>
          <cell r="H361">
            <v>35565</v>
          </cell>
          <cell r="I361" t="str">
            <v>23 TAHUN</v>
          </cell>
          <cell r="J361" t="str">
            <v>KRISTEN</v>
          </cell>
          <cell r="K361" t="str">
            <v>NON KONTRAKTOR</v>
          </cell>
          <cell r="L361">
            <v>4</v>
          </cell>
          <cell r="M361" t="str">
            <v>KLEMEN</v>
          </cell>
          <cell r="N361">
            <v>911010572</v>
          </cell>
          <cell r="O361" t="str">
            <v>BNI</v>
          </cell>
          <cell r="P361" t="str">
            <v>AKTIF</v>
          </cell>
          <cell r="R361" t="str">
            <v>PANEN</v>
          </cell>
          <cell r="S361" t="str">
            <v>BORONGAN</v>
          </cell>
          <cell r="T361" t="str">
            <v>TRANSFER</v>
          </cell>
          <cell r="U361" t="str">
            <v>6109061805970006</v>
          </cell>
          <cell r="V361" t="str">
            <v>LOKAL</v>
          </cell>
        </row>
        <row r="362">
          <cell r="B362" t="str">
            <v>GM-00374</v>
          </cell>
          <cell r="C362" t="str">
            <v>SUPARDI</v>
          </cell>
          <cell r="E362">
            <v>43425</v>
          </cell>
          <cell r="F362" t="str">
            <v>L</v>
          </cell>
          <cell r="G362" t="str">
            <v>NANGA SADUS</v>
          </cell>
          <cell r="H362">
            <v>30987</v>
          </cell>
          <cell r="I362" t="str">
            <v>36 TAHUN</v>
          </cell>
          <cell r="J362" t="str">
            <v>KRISTEN</v>
          </cell>
          <cell r="K362" t="str">
            <v>NON KONTRAKTOR</v>
          </cell>
          <cell r="L362">
            <v>5</v>
          </cell>
          <cell r="M362" t="str">
            <v>SUPARDI</v>
          </cell>
          <cell r="N362">
            <v>954802421</v>
          </cell>
          <cell r="O362" t="str">
            <v>BNI</v>
          </cell>
          <cell r="P362" t="str">
            <v>AKTIF</v>
          </cell>
          <cell r="R362" t="str">
            <v>PANEN</v>
          </cell>
          <cell r="S362" t="str">
            <v>BORONGAN</v>
          </cell>
          <cell r="T362" t="str">
            <v>TRANSFER</v>
          </cell>
          <cell r="U362" t="str">
            <v>6109060111840001</v>
          </cell>
          <cell r="V362" t="str">
            <v>LOKAL</v>
          </cell>
        </row>
        <row r="363">
          <cell r="B363" t="str">
            <v>GM-00375</v>
          </cell>
          <cell r="C363" t="str">
            <v>YONATAN. K</v>
          </cell>
          <cell r="E363">
            <v>43425</v>
          </cell>
          <cell r="F363" t="str">
            <v>L</v>
          </cell>
          <cell r="G363" t="str">
            <v>DANDI</v>
          </cell>
          <cell r="H363">
            <v>21802</v>
          </cell>
          <cell r="I363" t="str">
            <v>61 TAHUN</v>
          </cell>
          <cell r="J363" t="str">
            <v>KRISTEN</v>
          </cell>
          <cell r="K363" t="str">
            <v>NON KONTRAKTOR</v>
          </cell>
          <cell r="L363">
            <v>4</v>
          </cell>
          <cell r="M363" t="str">
            <v>YONATAN K</v>
          </cell>
          <cell r="N363">
            <v>911010583</v>
          </cell>
          <cell r="O363" t="str">
            <v>BNI</v>
          </cell>
          <cell r="P363" t="str">
            <v>AKTIF</v>
          </cell>
          <cell r="R363" t="str">
            <v>PANEN</v>
          </cell>
          <cell r="S363" t="str">
            <v>BORONGAN</v>
          </cell>
          <cell r="T363" t="str">
            <v>TRANSFER</v>
          </cell>
          <cell r="U363" t="str">
            <v>6109060909590001</v>
          </cell>
          <cell r="V363" t="str">
            <v>LOKAL</v>
          </cell>
        </row>
        <row r="364">
          <cell r="B364" t="str">
            <v>GM-00376</v>
          </cell>
          <cell r="C364" t="str">
            <v>RUSGIANTO</v>
          </cell>
          <cell r="E364">
            <v>43425</v>
          </cell>
          <cell r="F364" t="str">
            <v>L</v>
          </cell>
          <cell r="I364" t="str">
            <v>121 TAHUN</v>
          </cell>
          <cell r="J364" t="str">
            <v>ISLAM</v>
          </cell>
          <cell r="K364" t="str">
            <v>NON KONTRAKTOR</v>
          </cell>
          <cell r="L364">
            <v>1</v>
          </cell>
          <cell r="P364" t="str">
            <v>AKTIF</v>
          </cell>
          <cell r="R364" t="str">
            <v>PERAWATAN</v>
          </cell>
          <cell r="S364" t="str">
            <v>BORONGAN</v>
          </cell>
          <cell r="T364" t="str">
            <v>TUNAI</v>
          </cell>
          <cell r="V364" t="str">
            <v>LOKAL</v>
          </cell>
        </row>
        <row r="365">
          <cell r="B365" t="str">
            <v>GM-00377</v>
          </cell>
          <cell r="C365" t="str">
            <v>RINI</v>
          </cell>
          <cell r="E365">
            <v>43425</v>
          </cell>
          <cell r="F365" t="str">
            <v>P</v>
          </cell>
          <cell r="I365" t="str">
            <v>121 TAHUN</v>
          </cell>
          <cell r="J365" t="str">
            <v>ISLAM</v>
          </cell>
          <cell r="K365" t="str">
            <v>NON KONTRAKTOR</v>
          </cell>
          <cell r="L365">
            <v>1</v>
          </cell>
          <cell r="P365" t="str">
            <v>AKTIF</v>
          </cell>
          <cell r="R365" t="str">
            <v>PERAWATAN</v>
          </cell>
          <cell r="S365" t="str">
            <v>BORONGAN</v>
          </cell>
          <cell r="T365" t="str">
            <v>TUNAI</v>
          </cell>
          <cell r="V365" t="str">
            <v>LOKAL</v>
          </cell>
        </row>
        <row r="366">
          <cell r="B366" t="str">
            <v>GM-00378</v>
          </cell>
          <cell r="C366" t="str">
            <v>MANGAS</v>
          </cell>
          <cell r="E366">
            <v>43425</v>
          </cell>
          <cell r="F366" t="str">
            <v>L</v>
          </cell>
          <cell r="I366" t="str">
            <v>121 TAHUN</v>
          </cell>
          <cell r="J366" t="str">
            <v>ISLAM</v>
          </cell>
          <cell r="K366" t="str">
            <v>NON KONTRAKTOR</v>
          </cell>
          <cell r="L366">
            <v>3</v>
          </cell>
          <cell r="P366" t="str">
            <v>AKTIF</v>
          </cell>
          <cell r="R366" t="str">
            <v>PERAWATAN</v>
          </cell>
          <cell r="S366" t="str">
            <v>BORONGAN</v>
          </cell>
          <cell r="T366" t="str">
            <v>TUNAI</v>
          </cell>
          <cell r="V366" t="str">
            <v>LOKAL</v>
          </cell>
        </row>
        <row r="367">
          <cell r="B367" t="str">
            <v>GM-00379</v>
          </cell>
          <cell r="C367" t="str">
            <v>HAMDAN</v>
          </cell>
          <cell r="E367">
            <v>43425</v>
          </cell>
          <cell r="F367" t="str">
            <v>L</v>
          </cell>
          <cell r="I367" t="str">
            <v>121 TAHUN</v>
          </cell>
          <cell r="J367" t="str">
            <v>ISLAM</v>
          </cell>
          <cell r="K367" t="str">
            <v>NON KONTRAKTOR</v>
          </cell>
          <cell r="L367">
            <v>3</v>
          </cell>
          <cell r="P367" t="str">
            <v>AKTIF</v>
          </cell>
          <cell r="R367" t="str">
            <v>PERAWATAN</v>
          </cell>
          <cell r="S367" t="str">
            <v>BORONGAN</v>
          </cell>
          <cell r="T367" t="str">
            <v>TUNAI</v>
          </cell>
          <cell r="V367" t="str">
            <v>LOKAL</v>
          </cell>
        </row>
        <row r="368">
          <cell r="B368" t="str">
            <v>GM-00380</v>
          </cell>
          <cell r="C368" t="str">
            <v>TASRUP</v>
          </cell>
          <cell r="E368">
            <v>43425</v>
          </cell>
          <cell r="F368" t="str">
            <v>L</v>
          </cell>
          <cell r="I368" t="str">
            <v>121 TAHUN</v>
          </cell>
          <cell r="J368" t="str">
            <v>ISLAM</v>
          </cell>
          <cell r="K368" t="str">
            <v>NON KONTRAKTOR</v>
          </cell>
          <cell r="L368">
            <v>3</v>
          </cell>
          <cell r="P368" t="str">
            <v>AKTIF</v>
          </cell>
          <cell r="R368" t="str">
            <v>PERAWATAN</v>
          </cell>
          <cell r="S368" t="str">
            <v>BORONGAN</v>
          </cell>
          <cell r="T368" t="str">
            <v>TUNAI</v>
          </cell>
          <cell r="V368" t="str">
            <v>LOKAL</v>
          </cell>
        </row>
        <row r="369">
          <cell r="B369" t="str">
            <v>GM-00381</v>
          </cell>
          <cell r="C369" t="str">
            <v>SUMIYATI</v>
          </cell>
          <cell r="E369">
            <v>43425</v>
          </cell>
          <cell r="F369" t="str">
            <v>P</v>
          </cell>
          <cell r="I369" t="str">
            <v>121 TAHUN</v>
          </cell>
          <cell r="J369" t="str">
            <v>KRISTEN</v>
          </cell>
          <cell r="K369" t="str">
            <v>NON KONTRAKTOR</v>
          </cell>
          <cell r="L369">
            <v>3</v>
          </cell>
          <cell r="P369" t="str">
            <v>AKTIF</v>
          </cell>
          <cell r="R369" t="str">
            <v>PERAWATAN</v>
          </cell>
          <cell r="S369" t="str">
            <v>BORONGAN</v>
          </cell>
          <cell r="T369" t="str">
            <v>TUNAI</v>
          </cell>
          <cell r="V369" t="str">
            <v>LOKAL</v>
          </cell>
        </row>
        <row r="370">
          <cell r="B370" t="str">
            <v>GM-00382</v>
          </cell>
          <cell r="C370" t="str">
            <v>SELINA</v>
          </cell>
          <cell r="E370">
            <v>43425</v>
          </cell>
          <cell r="F370" t="str">
            <v>P</v>
          </cell>
          <cell r="G370" t="str">
            <v>BEMBAN</v>
          </cell>
          <cell r="H370">
            <v>24379</v>
          </cell>
          <cell r="I370" t="str">
            <v>54 TAHUN</v>
          </cell>
          <cell r="J370" t="str">
            <v>KRISTEN</v>
          </cell>
          <cell r="K370" t="str">
            <v>NON KONTRAKTOR</v>
          </cell>
          <cell r="L370">
            <v>3</v>
          </cell>
          <cell r="P370" t="str">
            <v>AKTIF</v>
          </cell>
          <cell r="R370" t="str">
            <v>PERAWATAN</v>
          </cell>
          <cell r="S370" t="str">
            <v>BORONGAN</v>
          </cell>
          <cell r="T370" t="str">
            <v>TUNAI</v>
          </cell>
          <cell r="U370" t="str">
            <v>6109066909660002</v>
          </cell>
          <cell r="V370" t="str">
            <v>LOKAL</v>
          </cell>
        </row>
        <row r="371">
          <cell r="B371" t="str">
            <v>GM-00383</v>
          </cell>
          <cell r="C371" t="str">
            <v>SERINA</v>
          </cell>
          <cell r="E371">
            <v>43425</v>
          </cell>
          <cell r="F371" t="str">
            <v>P</v>
          </cell>
          <cell r="G371" t="str">
            <v>DANDI</v>
          </cell>
          <cell r="H371">
            <v>28307</v>
          </cell>
          <cell r="I371" t="str">
            <v>43 TAHUN</v>
          </cell>
          <cell r="J371" t="str">
            <v>KRISTEN</v>
          </cell>
          <cell r="K371" t="str">
            <v>NON KONTRAKTOR</v>
          </cell>
          <cell r="L371">
            <v>3</v>
          </cell>
          <cell r="P371" t="str">
            <v>AKTIF</v>
          </cell>
          <cell r="R371" t="str">
            <v>PERAWATAN</v>
          </cell>
          <cell r="S371" t="str">
            <v>BORONGAN</v>
          </cell>
          <cell r="T371" t="str">
            <v>TUNAI</v>
          </cell>
          <cell r="U371" t="str">
            <v>6109064107770026</v>
          </cell>
          <cell r="V371" t="str">
            <v>LOKAL</v>
          </cell>
        </row>
        <row r="372">
          <cell r="B372" t="str">
            <v>GM-00384</v>
          </cell>
          <cell r="C372" t="str">
            <v>MERI</v>
          </cell>
          <cell r="D372" t="str">
            <v>Ds. SEPURU</v>
          </cell>
          <cell r="E372">
            <v>43480</v>
          </cell>
          <cell r="F372" t="str">
            <v>P</v>
          </cell>
          <cell r="G372" t="str">
            <v>DUSUN SEPURU</v>
          </cell>
          <cell r="H372">
            <v>27576</v>
          </cell>
          <cell r="I372" t="str">
            <v>45 TAHUN</v>
          </cell>
          <cell r="J372" t="str">
            <v>KRISTEN</v>
          </cell>
          <cell r="K372" t="str">
            <v>NON KONTRAKTOR</v>
          </cell>
          <cell r="L372">
            <v>1</v>
          </cell>
          <cell r="P372" t="str">
            <v>AKTIF</v>
          </cell>
          <cell r="R372" t="str">
            <v>PERAWATAN</v>
          </cell>
          <cell r="S372" t="str">
            <v>BORONGAN</v>
          </cell>
          <cell r="T372" t="str">
            <v>TUNAI</v>
          </cell>
          <cell r="U372" t="str">
            <v>6109064107750046</v>
          </cell>
          <cell r="V372" t="str">
            <v>LOKAL</v>
          </cell>
        </row>
        <row r="373">
          <cell r="B373" t="str">
            <v>GM-00385</v>
          </cell>
          <cell r="C373" t="str">
            <v>NINA</v>
          </cell>
          <cell r="E373">
            <v>43425</v>
          </cell>
          <cell r="F373" t="str">
            <v>P</v>
          </cell>
          <cell r="G373" t="str">
            <v>BEMBAN</v>
          </cell>
          <cell r="H373">
            <v>27602</v>
          </cell>
          <cell r="I373" t="str">
            <v>45 TAHUN</v>
          </cell>
          <cell r="J373" t="str">
            <v>KRISTEN</v>
          </cell>
          <cell r="K373" t="str">
            <v>NON KONTRAKTOR</v>
          </cell>
          <cell r="L373">
            <v>3</v>
          </cell>
          <cell r="M373" t="str">
            <v>NINA</v>
          </cell>
          <cell r="N373">
            <v>1055532820</v>
          </cell>
          <cell r="O373" t="str">
            <v>BNI</v>
          </cell>
          <cell r="P373" t="str">
            <v>AKTIF</v>
          </cell>
          <cell r="R373" t="str">
            <v>PERAWATAN</v>
          </cell>
          <cell r="S373" t="str">
            <v>BORONGAN</v>
          </cell>
          <cell r="T373" t="str">
            <v>TRANSFER</v>
          </cell>
          <cell r="U373" t="str">
            <v>6109065707750002</v>
          </cell>
          <cell r="V373" t="str">
            <v>LOKAL</v>
          </cell>
        </row>
        <row r="374">
          <cell r="B374" t="str">
            <v>GM-00386</v>
          </cell>
          <cell r="C374" t="str">
            <v>ARIANI</v>
          </cell>
          <cell r="E374">
            <v>43425</v>
          </cell>
          <cell r="F374" t="str">
            <v>P</v>
          </cell>
          <cell r="G374" t="str">
            <v>SEBADAK</v>
          </cell>
          <cell r="H374">
            <v>32761</v>
          </cell>
          <cell r="I374" t="str">
            <v>31 TAHUN</v>
          </cell>
          <cell r="J374" t="str">
            <v>KRISTEN</v>
          </cell>
          <cell r="K374" t="str">
            <v>NON KONTRAKTOR</v>
          </cell>
          <cell r="L374">
            <v>3</v>
          </cell>
          <cell r="P374" t="str">
            <v>AKTIF</v>
          </cell>
          <cell r="R374" t="str">
            <v>PERAWATAN</v>
          </cell>
          <cell r="S374" t="str">
            <v>BORONGAN</v>
          </cell>
          <cell r="T374" t="str">
            <v>TUNAI</v>
          </cell>
          <cell r="U374" t="str">
            <v>6103075009890001</v>
          </cell>
          <cell r="V374" t="str">
            <v>LOKAL</v>
          </cell>
        </row>
        <row r="375">
          <cell r="B375" t="str">
            <v>GM-00387</v>
          </cell>
          <cell r="C375" t="str">
            <v>RUKIAH</v>
          </cell>
          <cell r="E375">
            <v>43425</v>
          </cell>
          <cell r="F375" t="str">
            <v>P</v>
          </cell>
          <cell r="G375" t="str">
            <v>BEMBAN</v>
          </cell>
          <cell r="H375">
            <v>25750</v>
          </cell>
          <cell r="I375" t="str">
            <v>50 TAHUN</v>
          </cell>
          <cell r="J375" t="str">
            <v>KRISTEN</v>
          </cell>
          <cell r="K375" t="str">
            <v>NON KONTRAKTOR</v>
          </cell>
          <cell r="L375">
            <v>3</v>
          </cell>
          <cell r="P375" t="str">
            <v>AKTIF</v>
          </cell>
          <cell r="R375" t="str">
            <v>PERAWATAN</v>
          </cell>
          <cell r="S375" t="str">
            <v>BORONGAN</v>
          </cell>
          <cell r="T375" t="str">
            <v>TUNAI</v>
          </cell>
          <cell r="U375" t="str">
            <v>6109064107700033</v>
          </cell>
          <cell r="V375" t="str">
            <v>LOKAL</v>
          </cell>
        </row>
        <row r="376">
          <cell r="B376" t="str">
            <v>GM-00388</v>
          </cell>
          <cell r="C376" t="str">
            <v>PIROT</v>
          </cell>
          <cell r="E376">
            <v>43425</v>
          </cell>
          <cell r="F376" t="str">
            <v>L</v>
          </cell>
          <cell r="I376" t="str">
            <v>121 TAHUN</v>
          </cell>
          <cell r="J376" t="str">
            <v>KRISTEN</v>
          </cell>
          <cell r="K376" t="str">
            <v>NON KONTRAKTOR</v>
          </cell>
          <cell r="L376">
            <v>3</v>
          </cell>
          <cell r="P376" t="str">
            <v>AKTIF</v>
          </cell>
          <cell r="R376" t="str">
            <v>PERAWATAN</v>
          </cell>
          <cell r="S376" t="str">
            <v>BORONGAN</v>
          </cell>
          <cell r="T376" t="str">
            <v>TUNAI</v>
          </cell>
          <cell r="V376" t="str">
            <v>LOKAL</v>
          </cell>
        </row>
        <row r="377">
          <cell r="B377" t="str">
            <v>GM-00389</v>
          </cell>
          <cell r="C377" t="str">
            <v>IRIS PUJIONO</v>
          </cell>
          <cell r="E377">
            <v>43425</v>
          </cell>
          <cell r="F377" t="str">
            <v>L</v>
          </cell>
          <cell r="I377" t="str">
            <v>121 TAHUN</v>
          </cell>
          <cell r="J377" t="str">
            <v>KRISTEN</v>
          </cell>
          <cell r="K377" t="str">
            <v>NON KONTRAKTOR</v>
          </cell>
          <cell r="L377">
            <v>4</v>
          </cell>
          <cell r="M377" t="str">
            <v>IRIS PUJIONO</v>
          </cell>
          <cell r="N377">
            <v>1132022563</v>
          </cell>
          <cell r="O377" t="str">
            <v>BNI</v>
          </cell>
          <cell r="P377" t="str">
            <v>AKTIF</v>
          </cell>
          <cell r="R377" t="str">
            <v>PERAWATAN</v>
          </cell>
          <cell r="S377" t="str">
            <v>BORONGAN</v>
          </cell>
          <cell r="T377" t="str">
            <v>TRANSFER</v>
          </cell>
          <cell r="V377" t="str">
            <v>LOKAL</v>
          </cell>
        </row>
        <row r="378">
          <cell r="B378" t="str">
            <v>GM-00390</v>
          </cell>
          <cell r="C378" t="str">
            <v>UJANG</v>
          </cell>
          <cell r="E378">
            <v>43437</v>
          </cell>
          <cell r="F378" t="str">
            <v>L</v>
          </cell>
          <cell r="I378" t="str">
            <v>121 TAHUN</v>
          </cell>
          <cell r="J378" t="str">
            <v>ISLAM</v>
          </cell>
          <cell r="K378" t="str">
            <v>NON KONTRAKTOR</v>
          </cell>
          <cell r="L378">
            <v>2</v>
          </cell>
          <cell r="P378" t="str">
            <v>AKTIF</v>
          </cell>
          <cell r="R378" t="str">
            <v>PERAWATAN</v>
          </cell>
          <cell r="S378" t="str">
            <v>BORONGAN</v>
          </cell>
          <cell r="T378" t="str">
            <v>TUNAI</v>
          </cell>
          <cell r="V378" t="str">
            <v>LOKAL</v>
          </cell>
        </row>
        <row r="379">
          <cell r="B379" t="str">
            <v>GM-00391</v>
          </cell>
          <cell r="C379" t="str">
            <v>BENO ASDI</v>
          </cell>
          <cell r="E379">
            <v>43425</v>
          </cell>
          <cell r="F379" t="str">
            <v>L</v>
          </cell>
          <cell r="G379" t="str">
            <v>EMPURANG</v>
          </cell>
          <cell r="H379">
            <v>35625</v>
          </cell>
          <cell r="I379" t="str">
            <v>23 TAHUN</v>
          </cell>
          <cell r="J379" t="str">
            <v>KRISTEN</v>
          </cell>
          <cell r="K379" t="str">
            <v>NON KONTRAKTOR</v>
          </cell>
          <cell r="L379">
            <v>3</v>
          </cell>
          <cell r="P379" t="str">
            <v>AKTIF</v>
          </cell>
          <cell r="R379" t="str">
            <v>PERAWATAN</v>
          </cell>
          <cell r="S379" t="str">
            <v>BORONGAN</v>
          </cell>
          <cell r="T379" t="str">
            <v>TUNAI</v>
          </cell>
          <cell r="U379" t="str">
            <v>6103021407970001</v>
          </cell>
          <cell r="V379" t="str">
            <v>LOKAL</v>
          </cell>
        </row>
        <row r="380">
          <cell r="B380" t="str">
            <v>GM-00392</v>
          </cell>
          <cell r="C380" t="str">
            <v>ANITA THERESIA</v>
          </cell>
          <cell r="E380">
            <v>43425</v>
          </cell>
          <cell r="F380" t="str">
            <v>P</v>
          </cell>
          <cell r="G380" t="str">
            <v>SINTANG</v>
          </cell>
          <cell r="H380">
            <v>28613</v>
          </cell>
          <cell r="I380" t="str">
            <v>42 TAHUN</v>
          </cell>
          <cell r="J380" t="str">
            <v>KATHOLIK</v>
          </cell>
          <cell r="K380" t="str">
            <v>NON KONTRAKTOR</v>
          </cell>
          <cell r="L380">
            <v>3</v>
          </cell>
          <cell r="P380" t="str">
            <v>AKTIF</v>
          </cell>
          <cell r="R380" t="str">
            <v>PERAWATAN</v>
          </cell>
          <cell r="S380" t="str">
            <v>BORONGAN</v>
          </cell>
          <cell r="T380" t="str">
            <v>TUNAI</v>
          </cell>
          <cell r="U380" t="str">
            <v>6109065209680001</v>
          </cell>
          <cell r="V380" t="str">
            <v>LOKAL</v>
          </cell>
        </row>
        <row r="381">
          <cell r="B381" t="str">
            <v>GM-00393</v>
          </cell>
          <cell r="C381" t="str">
            <v>ANASTASIA</v>
          </cell>
          <cell r="E381">
            <v>43425</v>
          </cell>
          <cell r="F381" t="str">
            <v>P</v>
          </cell>
          <cell r="G381" t="str">
            <v>PAKIT MULAU</v>
          </cell>
          <cell r="H381">
            <v>25093</v>
          </cell>
          <cell r="I381" t="str">
            <v>52 TAHUN</v>
          </cell>
          <cell r="J381" t="str">
            <v>KRISTEN</v>
          </cell>
          <cell r="K381" t="str">
            <v>NON KONTRAKTOR</v>
          </cell>
          <cell r="L381">
            <v>3</v>
          </cell>
          <cell r="P381" t="str">
            <v>AKTIF</v>
          </cell>
          <cell r="R381" t="str">
            <v>PERAWATAN</v>
          </cell>
          <cell r="S381" t="str">
            <v>BORONGAN</v>
          </cell>
          <cell r="T381" t="str">
            <v>TUNAI</v>
          </cell>
          <cell r="U381" t="str">
            <v>6109064305780002</v>
          </cell>
          <cell r="V381" t="str">
            <v>LOKAL</v>
          </cell>
        </row>
        <row r="382">
          <cell r="B382" t="str">
            <v>GM-00394</v>
          </cell>
          <cell r="C382" t="str">
            <v>PATMAWATI</v>
          </cell>
          <cell r="E382">
            <v>43425</v>
          </cell>
          <cell r="F382" t="str">
            <v>L</v>
          </cell>
          <cell r="G382" t="str">
            <v>PAKIT MULAU</v>
          </cell>
          <cell r="H382">
            <v>32203</v>
          </cell>
          <cell r="I382" t="str">
            <v>32 TAHUN</v>
          </cell>
          <cell r="J382" t="str">
            <v>KRISTEN</v>
          </cell>
          <cell r="K382" t="str">
            <v>NON KONTRAKTOR</v>
          </cell>
          <cell r="L382">
            <v>3</v>
          </cell>
          <cell r="P382" t="str">
            <v>AKTIF</v>
          </cell>
          <cell r="R382" t="str">
            <v>PERAWATAN</v>
          </cell>
          <cell r="S382" t="str">
            <v>BORONGAN</v>
          </cell>
          <cell r="T382" t="str">
            <v>TUNAI</v>
          </cell>
          <cell r="U382" t="str">
            <v>6109064103880004</v>
          </cell>
          <cell r="V382" t="str">
            <v>LOKAL</v>
          </cell>
        </row>
        <row r="383">
          <cell r="B383" t="str">
            <v>GM-00395</v>
          </cell>
          <cell r="C383" t="str">
            <v>TARA HENNI</v>
          </cell>
          <cell r="E383">
            <v>43425</v>
          </cell>
          <cell r="F383" t="str">
            <v>P</v>
          </cell>
          <cell r="G383" t="str">
            <v>DANDI</v>
          </cell>
          <cell r="H383">
            <v>33492</v>
          </cell>
          <cell r="I383" t="str">
            <v>29 TAHUN</v>
          </cell>
          <cell r="J383" t="str">
            <v>KRISTEN</v>
          </cell>
          <cell r="K383" t="str">
            <v>NON KONTRAKTOR</v>
          </cell>
          <cell r="L383">
            <v>3</v>
          </cell>
          <cell r="P383" t="str">
            <v>AKTIF</v>
          </cell>
          <cell r="R383" t="str">
            <v>PERAWATAN</v>
          </cell>
          <cell r="S383" t="str">
            <v>BORONGAN</v>
          </cell>
          <cell r="T383" t="str">
            <v>TUNAI</v>
          </cell>
          <cell r="U383" t="str">
            <v>6109065109910003</v>
          </cell>
          <cell r="V383" t="str">
            <v>LOKAL</v>
          </cell>
        </row>
        <row r="384">
          <cell r="B384" t="str">
            <v>GM-00396</v>
          </cell>
          <cell r="C384" t="str">
            <v>ROSDA</v>
          </cell>
          <cell r="E384">
            <v>43425</v>
          </cell>
          <cell r="F384" t="str">
            <v>P</v>
          </cell>
          <cell r="G384" t="str">
            <v>BASONG</v>
          </cell>
          <cell r="H384">
            <v>28947</v>
          </cell>
          <cell r="I384" t="str">
            <v>41 TAHUN</v>
          </cell>
          <cell r="J384" t="str">
            <v>ISLAM</v>
          </cell>
          <cell r="K384" t="str">
            <v>NON KONTRAKTOR</v>
          </cell>
          <cell r="L384">
            <v>3</v>
          </cell>
          <cell r="P384" t="str">
            <v>AKTIF</v>
          </cell>
          <cell r="R384" t="str">
            <v>PERAWATAN</v>
          </cell>
          <cell r="S384" t="str">
            <v>BORONGAN</v>
          </cell>
          <cell r="T384" t="str">
            <v>TUNAI</v>
          </cell>
          <cell r="U384" t="str">
            <v>6109064204790006</v>
          </cell>
          <cell r="V384" t="str">
            <v>LOKAL</v>
          </cell>
        </row>
        <row r="385">
          <cell r="B385" t="str">
            <v>GM-00397</v>
          </cell>
          <cell r="C385" t="str">
            <v>ENDAH TRINANSI</v>
          </cell>
          <cell r="E385">
            <v>43425</v>
          </cell>
          <cell r="F385" t="str">
            <v>P</v>
          </cell>
          <cell r="G385" t="str">
            <v>BEMBAN</v>
          </cell>
          <cell r="H385">
            <v>28265</v>
          </cell>
          <cell r="I385" t="str">
            <v>43 TAHUN</v>
          </cell>
          <cell r="J385" t="str">
            <v>KRISTEN</v>
          </cell>
          <cell r="K385" t="str">
            <v>NON KONTRAKTOR</v>
          </cell>
          <cell r="L385">
            <v>3</v>
          </cell>
          <cell r="P385" t="str">
            <v>AKTIF</v>
          </cell>
          <cell r="R385" t="str">
            <v>PERAWATAN</v>
          </cell>
          <cell r="S385" t="str">
            <v>BORONGAN</v>
          </cell>
          <cell r="T385" t="str">
            <v>TUNAI</v>
          </cell>
          <cell r="U385" t="str">
            <v>6109066005770002</v>
          </cell>
          <cell r="V385" t="str">
            <v>LOKAL</v>
          </cell>
        </row>
        <row r="386">
          <cell r="B386" t="str">
            <v>GM-00398</v>
          </cell>
          <cell r="C386" t="str">
            <v>ALSI KIRAU</v>
          </cell>
          <cell r="E386">
            <v>43425</v>
          </cell>
          <cell r="F386" t="str">
            <v>P</v>
          </cell>
          <cell r="G386" t="str">
            <v>PAKIT MULAU</v>
          </cell>
          <cell r="H386">
            <v>24036</v>
          </cell>
          <cell r="I386" t="str">
            <v>55 TAHUN</v>
          </cell>
          <cell r="J386" t="str">
            <v>KRISTEN</v>
          </cell>
          <cell r="K386" t="str">
            <v>NON KONTRAKTOR</v>
          </cell>
          <cell r="L386">
            <v>3</v>
          </cell>
          <cell r="P386" t="str">
            <v>AKTIF</v>
          </cell>
          <cell r="R386" t="str">
            <v>PERAWATAN</v>
          </cell>
          <cell r="S386" t="str">
            <v>BORONGAN</v>
          </cell>
          <cell r="T386" t="str">
            <v>TUNAI</v>
          </cell>
          <cell r="U386" t="str">
            <v>6109066110650002</v>
          </cell>
          <cell r="V386" t="str">
            <v>LOKAL</v>
          </cell>
        </row>
        <row r="387">
          <cell r="B387" t="str">
            <v>GM-00399</v>
          </cell>
          <cell r="C387" t="str">
            <v>NONI</v>
          </cell>
          <cell r="E387">
            <v>43425</v>
          </cell>
          <cell r="F387" t="str">
            <v>P</v>
          </cell>
          <cell r="I387" t="str">
            <v>121 TAHUN</v>
          </cell>
          <cell r="J387" t="str">
            <v>KRISTEN</v>
          </cell>
          <cell r="K387" t="str">
            <v>NON KONTRAKTOR</v>
          </cell>
          <cell r="L387">
            <v>3</v>
          </cell>
          <cell r="P387" t="str">
            <v>AKTIF</v>
          </cell>
          <cell r="R387" t="str">
            <v>PERAWATAN</v>
          </cell>
          <cell r="S387" t="str">
            <v>BORONGAN</v>
          </cell>
          <cell r="T387" t="str">
            <v>TUNAI</v>
          </cell>
          <cell r="V387" t="str">
            <v>LOKAL</v>
          </cell>
        </row>
        <row r="388">
          <cell r="B388" t="str">
            <v>GM-00400</v>
          </cell>
          <cell r="C388" t="str">
            <v>YOHANES AGUNG</v>
          </cell>
          <cell r="E388">
            <v>43425</v>
          </cell>
          <cell r="F388" t="str">
            <v>L</v>
          </cell>
          <cell r="G388" t="str">
            <v>SUNGAI MANG</v>
          </cell>
          <cell r="H388">
            <v>32546</v>
          </cell>
          <cell r="I388" t="str">
            <v>31 TAHUN</v>
          </cell>
          <cell r="J388" t="str">
            <v>KRISTEN</v>
          </cell>
          <cell r="K388" t="str">
            <v>NON KONTRAKTOR</v>
          </cell>
          <cell r="L388">
            <v>3</v>
          </cell>
          <cell r="M388" t="str">
            <v>YOHANES AGUNG</v>
          </cell>
          <cell r="N388">
            <v>904621943</v>
          </cell>
          <cell r="O388" t="str">
            <v>BNI</v>
          </cell>
          <cell r="P388" t="str">
            <v>AKTIF</v>
          </cell>
          <cell r="R388" t="str">
            <v>PERAWATAN</v>
          </cell>
          <cell r="S388" t="str">
            <v>BORONGAN</v>
          </cell>
          <cell r="T388" t="str">
            <v>TRANSFER</v>
          </cell>
          <cell r="U388" t="str">
            <v>6109060702890002</v>
          </cell>
          <cell r="V388" t="str">
            <v>LOKAL</v>
          </cell>
        </row>
        <row r="389">
          <cell r="B389" t="str">
            <v>GM-00401</v>
          </cell>
          <cell r="C389" t="str">
            <v>KRISTINA</v>
          </cell>
          <cell r="E389">
            <v>43425</v>
          </cell>
          <cell r="F389" t="str">
            <v>P</v>
          </cell>
          <cell r="G389" t="str">
            <v>DANDI</v>
          </cell>
          <cell r="H389">
            <v>24890</v>
          </cell>
          <cell r="I389" t="str">
            <v>52 TAHUN</v>
          </cell>
          <cell r="J389" t="str">
            <v>KRISTEN</v>
          </cell>
          <cell r="K389" t="str">
            <v>NON KONTRAKTOR</v>
          </cell>
          <cell r="L389">
            <v>3</v>
          </cell>
          <cell r="P389" t="str">
            <v>AKTIF</v>
          </cell>
          <cell r="R389" t="str">
            <v>PERAWATAN</v>
          </cell>
          <cell r="S389" t="str">
            <v>BORONGAN</v>
          </cell>
          <cell r="T389" t="str">
            <v>TUNAI</v>
          </cell>
          <cell r="U389" t="str">
            <v>6109066202680001</v>
          </cell>
          <cell r="V389" t="str">
            <v>LOKAL</v>
          </cell>
        </row>
        <row r="390">
          <cell r="B390" t="str">
            <v>GM-00402</v>
          </cell>
          <cell r="C390" t="str">
            <v>DIAH</v>
          </cell>
          <cell r="E390">
            <v>43425</v>
          </cell>
          <cell r="F390" t="str">
            <v>P</v>
          </cell>
          <cell r="G390" t="str">
            <v>BEMBAN</v>
          </cell>
          <cell r="H390">
            <v>33440</v>
          </cell>
          <cell r="I390" t="str">
            <v>29 TAHUN</v>
          </cell>
          <cell r="J390" t="str">
            <v>KRISTEN</v>
          </cell>
          <cell r="K390" t="str">
            <v>NON KONTRAKTOR</v>
          </cell>
          <cell r="L390">
            <v>3</v>
          </cell>
          <cell r="P390" t="str">
            <v>AKTIF</v>
          </cell>
          <cell r="R390" t="str">
            <v>PERAWATAN</v>
          </cell>
          <cell r="S390" t="str">
            <v>BORONGAN</v>
          </cell>
          <cell r="T390" t="str">
            <v>TUNAI</v>
          </cell>
          <cell r="U390" t="str">
            <v>6109064705910001</v>
          </cell>
          <cell r="V390" t="str">
            <v>LOKAL</v>
          </cell>
        </row>
        <row r="391">
          <cell r="B391" t="str">
            <v>GM-00403</v>
          </cell>
          <cell r="C391" t="str">
            <v>ERNI YUNIKI</v>
          </cell>
          <cell r="E391">
            <v>43425</v>
          </cell>
          <cell r="F391" t="str">
            <v>P</v>
          </cell>
          <cell r="G391" t="str">
            <v>BEMBAN</v>
          </cell>
          <cell r="H391">
            <v>31975</v>
          </cell>
          <cell r="I391" t="str">
            <v>33 TAHUN</v>
          </cell>
          <cell r="J391" t="str">
            <v>KRISTEN</v>
          </cell>
          <cell r="K391" t="str">
            <v>NON KONTRAKTOR</v>
          </cell>
          <cell r="L391">
            <v>3</v>
          </cell>
          <cell r="P391" t="str">
            <v>AKTIF</v>
          </cell>
          <cell r="R391" t="str">
            <v>PERAWATAN</v>
          </cell>
          <cell r="S391" t="str">
            <v>BORONGAN</v>
          </cell>
          <cell r="T391" t="str">
            <v>TUNAI</v>
          </cell>
          <cell r="U391" t="str">
            <v>6109065707870001</v>
          </cell>
          <cell r="V391" t="str">
            <v>LOKAL</v>
          </cell>
        </row>
        <row r="392">
          <cell r="B392" t="str">
            <v>GM-00404</v>
          </cell>
          <cell r="C392" t="str">
            <v>SIMAWATI</v>
          </cell>
          <cell r="E392">
            <v>43425</v>
          </cell>
          <cell r="F392" t="str">
            <v>P</v>
          </cell>
          <cell r="G392" t="str">
            <v>SEBELANTAU</v>
          </cell>
          <cell r="H392">
            <v>33522</v>
          </cell>
          <cell r="I392" t="str">
            <v>29 TAHUN</v>
          </cell>
          <cell r="J392" t="str">
            <v>KRISTEN</v>
          </cell>
          <cell r="K392" t="str">
            <v>NON KONTRAKTOR</v>
          </cell>
          <cell r="L392">
            <v>3</v>
          </cell>
          <cell r="P392" t="str">
            <v>AKTIF</v>
          </cell>
          <cell r="R392" t="str">
            <v>PERAWATAN</v>
          </cell>
          <cell r="S392" t="str">
            <v>BORONGAN</v>
          </cell>
          <cell r="T392" t="str">
            <v>TUNAI</v>
          </cell>
          <cell r="U392" t="str">
            <v>61090</v>
          </cell>
          <cell r="V392" t="str">
            <v>LOKAL</v>
          </cell>
        </row>
        <row r="393">
          <cell r="B393" t="str">
            <v>GM-00405</v>
          </cell>
          <cell r="C393" t="str">
            <v>YENNI</v>
          </cell>
          <cell r="E393">
            <v>43425</v>
          </cell>
          <cell r="F393" t="str">
            <v>P</v>
          </cell>
          <cell r="G393" t="str">
            <v>PERUNTAN</v>
          </cell>
          <cell r="H393">
            <v>32288</v>
          </cell>
          <cell r="I393" t="str">
            <v>32 TAHUN</v>
          </cell>
          <cell r="J393" t="str">
            <v>KRISTEN</v>
          </cell>
          <cell r="K393" t="str">
            <v>NON KONTRAKTOR</v>
          </cell>
          <cell r="L393">
            <v>3</v>
          </cell>
          <cell r="P393" t="str">
            <v>AKTIF</v>
          </cell>
          <cell r="R393" t="str">
            <v>PERAWATAN</v>
          </cell>
          <cell r="S393" t="str">
            <v>BORONGAN</v>
          </cell>
          <cell r="T393" t="str">
            <v>TUNAI</v>
          </cell>
          <cell r="U393" t="str">
            <v>6109066505880001</v>
          </cell>
          <cell r="V393" t="str">
            <v>LOKAL</v>
          </cell>
        </row>
        <row r="394">
          <cell r="B394" t="str">
            <v>GM-00406</v>
          </cell>
          <cell r="C394" t="str">
            <v>KESLON</v>
          </cell>
          <cell r="E394">
            <v>43425</v>
          </cell>
          <cell r="F394" t="str">
            <v>P</v>
          </cell>
          <cell r="G394" t="str">
            <v>BEMBAN</v>
          </cell>
          <cell r="H394">
            <v>22061</v>
          </cell>
          <cell r="I394" t="str">
            <v>60 TAHUN</v>
          </cell>
          <cell r="J394" t="str">
            <v>KRISTEN</v>
          </cell>
          <cell r="K394" t="str">
            <v>NON KONTRAKTOR</v>
          </cell>
          <cell r="L394">
            <v>3</v>
          </cell>
          <cell r="P394" t="str">
            <v>AKTIF</v>
          </cell>
          <cell r="R394" t="str">
            <v>PERAWATAN</v>
          </cell>
          <cell r="S394" t="str">
            <v>BORONGAN</v>
          </cell>
          <cell r="T394" t="str">
            <v>TUNAI</v>
          </cell>
          <cell r="U394" t="str">
            <v>6109066505600003</v>
          </cell>
          <cell r="V394" t="str">
            <v>LOKAL</v>
          </cell>
        </row>
        <row r="395">
          <cell r="B395" t="str">
            <v>GM-00407</v>
          </cell>
          <cell r="C395" t="str">
            <v>NORMAYATI</v>
          </cell>
          <cell r="E395">
            <v>43425</v>
          </cell>
          <cell r="F395" t="str">
            <v>P</v>
          </cell>
          <cell r="G395" t="str">
            <v>KELIAT</v>
          </cell>
          <cell r="H395">
            <v>29448</v>
          </cell>
          <cell r="I395" t="str">
            <v>40 TAHUN</v>
          </cell>
          <cell r="J395" t="str">
            <v>KRISTEN</v>
          </cell>
          <cell r="K395" t="str">
            <v>NON KONTRAKTOR</v>
          </cell>
          <cell r="L395">
            <v>3</v>
          </cell>
          <cell r="P395" t="str">
            <v>AKTIF</v>
          </cell>
          <cell r="R395" t="str">
            <v>PERAWATAN</v>
          </cell>
          <cell r="S395" t="str">
            <v>BORONGAN</v>
          </cell>
          <cell r="T395" t="str">
            <v>TUNAI</v>
          </cell>
          <cell r="U395" t="str">
            <v>6109065508800001</v>
          </cell>
          <cell r="V395" t="str">
            <v>LOKAL</v>
          </cell>
        </row>
        <row r="396">
          <cell r="B396" t="str">
            <v>GM-00408</v>
          </cell>
          <cell r="C396" t="str">
            <v>NATUS</v>
          </cell>
          <cell r="E396">
            <v>43425</v>
          </cell>
          <cell r="F396" t="str">
            <v>L</v>
          </cell>
          <cell r="G396" t="str">
            <v>RANSA</v>
          </cell>
          <cell r="H396">
            <v>27580</v>
          </cell>
          <cell r="I396" t="str">
            <v>45 TAHUN</v>
          </cell>
          <cell r="J396" t="str">
            <v>KRISTEN</v>
          </cell>
          <cell r="K396" t="str">
            <v>NON KONTRAKTOR</v>
          </cell>
          <cell r="L396">
            <v>3</v>
          </cell>
          <cell r="P396" t="str">
            <v>AKTIF</v>
          </cell>
          <cell r="R396" t="str">
            <v>PERAWATAN</v>
          </cell>
          <cell r="S396" t="str">
            <v>BORONGAN</v>
          </cell>
          <cell r="T396" t="str">
            <v>TUNAI</v>
          </cell>
          <cell r="U396" t="str">
            <v>6109060507750006</v>
          </cell>
          <cell r="V396" t="str">
            <v>LOKAL</v>
          </cell>
        </row>
        <row r="397">
          <cell r="B397" t="str">
            <v>GM-00409</v>
          </cell>
          <cell r="C397" t="str">
            <v>ERNA WATI</v>
          </cell>
          <cell r="E397">
            <v>43425</v>
          </cell>
          <cell r="F397" t="str">
            <v>P</v>
          </cell>
          <cell r="G397" t="str">
            <v>JABA</v>
          </cell>
          <cell r="H397">
            <v>32196</v>
          </cell>
          <cell r="I397" t="str">
            <v>32 TAHUN</v>
          </cell>
          <cell r="J397" t="str">
            <v>KRISTEN</v>
          </cell>
          <cell r="K397" t="str">
            <v>NON KONTRAKTOR</v>
          </cell>
          <cell r="L397">
            <v>3</v>
          </cell>
          <cell r="P397" t="str">
            <v>AKTIF</v>
          </cell>
          <cell r="R397" t="str">
            <v>PERAWATAN</v>
          </cell>
          <cell r="S397" t="str">
            <v>BORONGAN</v>
          </cell>
          <cell r="T397" t="str">
            <v>TUNAI</v>
          </cell>
          <cell r="U397" t="str">
            <v>6110095008880001</v>
          </cell>
          <cell r="V397" t="str">
            <v>LOKAL</v>
          </cell>
        </row>
        <row r="398">
          <cell r="B398" t="str">
            <v>GM-00410</v>
          </cell>
          <cell r="C398" t="str">
            <v>PISNA</v>
          </cell>
          <cell r="D398" t="str">
            <v>Ds. SEPURU</v>
          </cell>
          <cell r="E398">
            <v>43425</v>
          </cell>
          <cell r="F398" t="str">
            <v>P</v>
          </cell>
          <cell r="G398" t="str">
            <v>DUSUN SEPURU</v>
          </cell>
          <cell r="H398">
            <v>21312</v>
          </cell>
          <cell r="I398" t="str">
            <v>62 TAHUN</v>
          </cell>
          <cell r="J398" t="str">
            <v>KRISTEN</v>
          </cell>
          <cell r="K398" t="str">
            <v>NON KONTRAKTOR</v>
          </cell>
          <cell r="L398">
            <v>3</v>
          </cell>
          <cell r="P398" t="str">
            <v>AKTIF</v>
          </cell>
          <cell r="R398" t="str">
            <v>PERAWATAN</v>
          </cell>
          <cell r="S398" t="str">
            <v>BORONGAN</v>
          </cell>
          <cell r="T398" t="str">
            <v>TUNAI</v>
          </cell>
          <cell r="U398" t="str">
            <v>6109064705580002</v>
          </cell>
          <cell r="V398" t="str">
            <v>LOKAL</v>
          </cell>
        </row>
        <row r="399">
          <cell r="B399" t="str">
            <v>GM-00411</v>
          </cell>
          <cell r="C399" t="str">
            <v>MARI</v>
          </cell>
          <cell r="E399">
            <v>43425</v>
          </cell>
          <cell r="F399" t="str">
            <v>P</v>
          </cell>
          <cell r="G399" t="str">
            <v>RANSA</v>
          </cell>
          <cell r="H399">
            <v>27374</v>
          </cell>
          <cell r="I399" t="str">
            <v>46 TAHUN</v>
          </cell>
          <cell r="J399" t="str">
            <v>KRISTEN</v>
          </cell>
          <cell r="K399" t="str">
            <v>NON KONTRAKTOR</v>
          </cell>
          <cell r="L399">
            <v>3</v>
          </cell>
          <cell r="P399" t="str">
            <v>AKTIF</v>
          </cell>
          <cell r="R399" t="str">
            <v>PERAWATAN</v>
          </cell>
          <cell r="S399" t="str">
            <v>BORONGAN</v>
          </cell>
          <cell r="T399" t="str">
            <v>TUNAI</v>
          </cell>
          <cell r="U399" t="str">
            <v>6109065112740001</v>
          </cell>
          <cell r="V399" t="str">
            <v>LOKAL</v>
          </cell>
        </row>
        <row r="400">
          <cell r="B400" t="str">
            <v>GM-00412</v>
          </cell>
          <cell r="C400" t="str">
            <v>YULIANTI</v>
          </cell>
          <cell r="E400">
            <v>43425</v>
          </cell>
          <cell r="F400" t="str">
            <v>P</v>
          </cell>
          <cell r="G400" t="str">
            <v>AMOH</v>
          </cell>
          <cell r="H400">
            <v>30880</v>
          </cell>
          <cell r="I400" t="str">
            <v>36 TAHUN</v>
          </cell>
          <cell r="J400" t="str">
            <v>KRISTEN</v>
          </cell>
          <cell r="K400" t="str">
            <v>NON KONTRAKTOR</v>
          </cell>
          <cell r="L400">
            <v>3</v>
          </cell>
          <cell r="P400" t="str">
            <v>AKTIF</v>
          </cell>
          <cell r="R400" t="str">
            <v>PERAWATAN</v>
          </cell>
          <cell r="S400" t="str">
            <v>BORONGAN</v>
          </cell>
          <cell r="T400" t="str">
            <v>TUNAI</v>
          </cell>
          <cell r="U400" t="str">
            <v>6109065707840003</v>
          </cell>
          <cell r="V400" t="str">
            <v>LOKAL</v>
          </cell>
        </row>
        <row r="401">
          <cell r="B401" t="str">
            <v>GM-00413</v>
          </cell>
          <cell r="C401" t="str">
            <v>TUTI DIANA</v>
          </cell>
          <cell r="E401">
            <v>43425</v>
          </cell>
          <cell r="F401" t="str">
            <v>P</v>
          </cell>
          <cell r="G401" t="str">
            <v>SEPAUH</v>
          </cell>
          <cell r="H401">
            <v>30441</v>
          </cell>
          <cell r="I401" t="str">
            <v>37 TAHUN</v>
          </cell>
          <cell r="J401" t="str">
            <v>KRISTEN</v>
          </cell>
          <cell r="K401" t="str">
            <v>NON KONTRAKTOR</v>
          </cell>
          <cell r="L401">
            <v>3</v>
          </cell>
          <cell r="P401" t="str">
            <v>AKTIF</v>
          </cell>
          <cell r="R401" t="str">
            <v>PERAWATAN</v>
          </cell>
          <cell r="S401" t="str">
            <v>BORONGAN</v>
          </cell>
          <cell r="T401" t="str">
            <v>TUNAI</v>
          </cell>
          <cell r="U401" t="str">
            <v>6109064505830006</v>
          </cell>
          <cell r="V401" t="str">
            <v>LOKAL</v>
          </cell>
        </row>
        <row r="402">
          <cell r="B402" t="str">
            <v>GM-00414</v>
          </cell>
          <cell r="C402" t="str">
            <v>KERISI</v>
          </cell>
          <cell r="E402">
            <v>43425</v>
          </cell>
          <cell r="F402" t="str">
            <v>P</v>
          </cell>
          <cell r="G402" t="str">
            <v>SEBELANTAU</v>
          </cell>
          <cell r="H402">
            <v>29666</v>
          </cell>
          <cell r="I402" t="str">
            <v>39 TAHUN</v>
          </cell>
          <cell r="J402" t="str">
            <v>KRISTEN</v>
          </cell>
          <cell r="K402" t="str">
            <v>NON KONTRAKTOR</v>
          </cell>
          <cell r="L402">
            <v>3</v>
          </cell>
          <cell r="P402" t="str">
            <v>AKTIF</v>
          </cell>
          <cell r="R402" t="str">
            <v>PERAWATAN</v>
          </cell>
          <cell r="S402" t="str">
            <v>BORONGAN</v>
          </cell>
          <cell r="T402" t="str">
            <v>TUNAI</v>
          </cell>
          <cell r="U402" t="str">
            <v>6109066103810004</v>
          </cell>
          <cell r="V402" t="str">
            <v>LOKAL</v>
          </cell>
        </row>
        <row r="403">
          <cell r="B403" t="str">
            <v>GM-00415</v>
          </cell>
          <cell r="C403" t="str">
            <v>EMELIA WINDA</v>
          </cell>
          <cell r="E403">
            <v>43425</v>
          </cell>
          <cell r="F403" t="str">
            <v>P</v>
          </cell>
          <cell r="G403" t="str">
            <v>BEMBAN</v>
          </cell>
          <cell r="H403">
            <v>33385</v>
          </cell>
          <cell r="I403" t="str">
            <v>29 TAHUN</v>
          </cell>
          <cell r="J403" t="str">
            <v>KRISTEN</v>
          </cell>
          <cell r="K403" t="str">
            <v>NON KONTRAKTOR</v>
          </cell>
          <cell r="L403">
            <v>3</v>
          </cell>
          <cell r="P403" t="str">
            <v>AKTIF</v>
          </cell>
          <cell r="R403" t="str">
            <v>PERAWATAN</v>
          </cell>
          <cell r="S403" t="str">
            <v>BORONGAN</v>
          </cell>
          <cell r="T403" t="str">
            <v>TUNAI</v>
          </cell>
          <cell r="U403" t="str">
            <v>6109066705910002</v>
          </cell>
          <cell r="V403" t="str">
            <v>LOKAL</v>
          </cell>
        </row>
        <row r="404">
          <cell r="B404" t="str">
            <v>GM-00416</v>
          </cell>
          <cell r="C404" t="str">
            <v>YUAS</v>
          </cell>
          <cell r="E404">
            <v>43425</v>
          </cell>
          <cell r="F404" t="str">
            <v>P</v>
          </cell>
          <cell r="G404" t="str">
            <v>BEMBAN</v>
          </cell>
          <cell r="H404">
            <v>25399</v>
          </cell>
          <cell r="I404" t="str">
            <v>51 TAHUN</v>
          </cell>
          <cell r="J404" t="str">
            <v>KRISTEN</v>
          </cell>
          <cell r="K404" t="str">
            <v>NON KONTRAKTOR</v>
          </cell>
          <cell r="L404">
            <v>3</v>
          </cell>
          <cell r="P404" t="str">
            <v>AKTIF</v>
          </cell>
          <cell r="R404" t="str">
            <v>PERAWATAN</v>
          </cell>
          <cell r="S404" t="str">
            <v>BORONGAN</v>
          </cell>
          <cell r="T404" t="str">
            <v>TUNAI</v>
          </cell>
          <cell r="U404" t="str">
            <v>6109061507690001</v>
          </cell>
          <cell r="V404" t="str">
            <v>LOKAL</v>
          </cell>
        </row>
        <row r="405">
          <cell r="B405" t="str">
            <v>GM-00417</v>
          </cell>
          <cell r="C405" t="str">
            <v>INTAN PRIWARA</v>
          </cell>
          <cell r="E405">
            <v>43425</v>
          </cell>
          <cell r="F405" t="str">
            <v>P</v>
          </cell>
          <cell r="G405" t="str">
            <v>RANSA</v>
          </cell>
          <cell r="H405">
            <v>29720</v>
          </cell>
          <cell r="I405" t="str">
            <v>39 TAHUN</v>
          </cell>
          <cell r="J405" t="str">
            <v>KRISTEN</v>
          </cell>
          <cell r="K405" t="str">
            <v>NON KONTRAKTOR</v>
          </cell>
          <cell r="L405">
            <v>3</v>
          </cell>
          <cell r="P405" t="str">
            <v>AKTIF</v>
          </cell>
          <cell r="R405" t="str">
            <v>PERAWATAN</v>
          </cell>
          <cell r="S405" t="str">
            <v>BORONGAN</v>
          </cell>
          <cell r="T405" t="str">
            <v>TUNAI</v>
          </cell>
          <cell r="U405" t="str">
            <v>6109065405810001</v>
          </cell>
          <cell r="V405" t="str">
            <v>LOKAL</v>
          </cell>
        </row>
        <row r="406">
          <cell r="B406" t="str">
            <v>GM-00418</v>
          </cell>
          <cell r="C406" t="str">
            <v>RATNA J.</v>
          </cell>
          <cell r="E406">
            <v>43425</v>
          </cell>
          <cell r="F406" t="str">
            <v>P</v>
          </cell>
          <cell r="G406" t="str">
            <v>DANDI</v>
          </cell>
          <cell r="H406">
            <v>27746</v>
          </cell>
          <cell r="I406" t="str">
            <v>45 TAHUN</v>
          </cell>
          <cell r="J406" t="str">
            <v>KRISTEN</v>
          </cell>
          <cell r="K406" t="str">
            <v>NON KONTRAKTOR</v>
          </cell>
          <cell r="L406">
            <v>3</v>
          </cell>
          <cell r="P406" t="str">
            <v>AKTIF</v>
          </cell>
          <cell r="R406" t="str">
            <v>PERAWATAN</v>
          </cell>
          <cell r="S406" t="str">
            <v>BORONGAN</v>
          </cell>
          <cell r="T406" t="str">
            <v>TUNAI</v>
          </cell>
          <cell r="U406" t="str">
            <v>6109065812750002</v>
          </cell>
          <cell r="V406" t="str">
            <v>LOKAL</v>
          </cell>
        </row>
        <row r="407">
          <cell r="B407" t="str">
            <v>GM-00419</v>
          </cell>
          <cell r="C407" t="str">
            <v>BRIGITTA NURSIANA</v>
          </cell>
          <cell r="E407">
            <v>43425</v>
          </cell>
          <cell r="F407" t="str">
            <v>P</v>
          </cell>
          <cell r="G407" t="str">
            <v>BALAU NYAWANG</v>
          </cell>
          <cell r="H407">
            <v>30520</v>
          </cell>
          <cell r="I407" t="str">
            <v>37 TAHUN</v>
          </cell>
          <cell r="J407" t="str">
            <v>KRISTEN</v>
          </cell>
          <cell r="K407" t="str">
            <v>NON KONTRAKTOR</v>
          </cell>
          <cell r="L407">
            <v>3</v>
          </cell>
          <cell r="P407" t="str">
            <v>AKTIF</v>
          </cell>
          <cell r="R407" t="str">
            <v>PERAWATAN</v>
          </cell>
          <cell r="S407" t="str">
            <v>BORONGAN</v>
          </cell>
          <cell r="T407" t="str">
            <v>TUNAI</v>
          </cell>
          <cell r="U407" t="str">
            <v>6109066307830001</v>
          </cell>
          <cell r="V407" t="str">
            <v>LOKAL</v>
          </cell>
        </row>
        <row r="408">
          <cell r="B408" t="str">
            <v>GM-00420</v>
          </cell>
          <cell r="C408" t="str">
            <v>URIANI</v>
          </cell>
          <cell r="E408">
            <v>43425</v>
          </cell>
          <cell r="F408" t="str">
            <v>P</v>
          </cell>
          <cell r="G408" t="str">
            <v>DANDI</v>
          </cell>
          <cell r="H408">
            <v>27603</v>
          </cell>
          <cell r="I408" t="str">
            <v>45 TAHUN</v>
          </cell>
          <cell r="J408" t="str">
            <v>KRISTEN</v>
          </cell>
          <cell r="K408" t="str">
            <v>NON KONTRAKTOR</v>
          </cell>
          <cell r="L408">
            <v>3</v>
          </cell>
          <cell r="P408" t="str">
            <v>AKTIF</v>
          </cell>
          <cell r="R408" t="str">
            <v>PERAWATAN</v>
          </cell>
          <cell r="S408" t="str">
            <v>BORONGAN</v>
          </cell>
          <cell r="T408" t="str">
            <v>TUNAI</v>
          </cell>
          <cell r="U408" t="str">
            <v>6109066807750001</v>
          </cell>
          <cell r="V408" t="str">
            <v>LOKAL</v>
          </cell>
        </row>
        <row r="409">
          <cell r="B409" t="str">
            <v>GM-00421</v>
          </cell>
          <cell r="C409" t="str">
            <v>INGKEL SAPUTRA</v>
          </cell>
          <cell r="E409">
            <v>43425</v>
          </cell>
          <cell r="F409" t="str">
            <v>L</v>
          </cell>
          <cell r="G409" t="str">
            <v>RANSA</v>
          </cell>
          <cell r="H409">
            <v>27529</v>
          </cell>
          <cell r="I409" t="str">
            <v>45 TAHUN</v>
          </cell>
          <cell r="J409" t="str">
            <v>KRISTEN</v>
          </cell>
          <cell r="K409" t="str">
            <v>NON KONTRAKTOR</v>
          </cell>
          <cell r="L409">
            <v>2</v>
          </cell>
          <cell r="P409" t="str">
            <v>AKTIF</v>
          </cell>
          <cell r="R409" t="str">
            <v>PERAWATAN</v>
          </cell>
          <cell r="S409" t="str">
            <v>BORONGAN</v>
          </cell>
          <cell r="T409" t="str">
            <v>TUNAI</v>
          </cell>
          <cell r="U409" t="str">
            <v>6109061505750004</v>
          </cell>
          <cell r="V409" t="str">
            <v>LOKAL</v>
          </cell>
        </row>
        <row r="410">
          <cell r="B410" t="str">
            <v>GM-00422</v>
          </cell>
          <cell r="C410" t="str">
            <v>KERISI</v>
          </cell>
          <cell r="E410">
            <v>43425</v>
          </cell>
          <cell r="F410" t="str">
            <v>P</v>
          </cell>
          <cell r="G410" t="str">
            <v>RANSA</v>
          </cell>
          <cell r="H410">
            <v>27677</v>
          </cell>
          <cell r="I410" t="str">
            <v>45 TAHUN</v>
          </cell>
          <cell r="J410" t="str">
            <v>KRISTEN</v>
          </cell>
          <cell r="K410" t="str">
            <v>NON KONTRAKTOR</v>
          </cell>
          <cell r="L410">
            <v>2</v>
          </cell>
          <cell r="P410" t="str">
            <v>AKTIF</v>
          </cell>
          <cell r="R410" t="str">
            <v>PERAWATAN</v>
          </cell>
          <cell r="S410" t="str">
            <v>BORONGAN</v>
          </cell>
          <cell r="T410" t="str">
            <v>TUNAI</v>
          </cell>
          <cell r="U410" t="str">
            <v>6109065010780002</v>
          </cell>
          <cell r="V410" t="str">
            <v>LOKAL</v>
          </cell>
        </row>
        <row r="411">
          <cell r="B411" t="str">
            <v>GM-00423</v>
          </cell>
          <cell r="C411" t="str">
            <v>NADIS</v>
          </cell>
          <cell r="E411">
            <v>43425</v>
          </cell>
          <cell r="F411" t="str">
            <v>P</v>
          </cell>
          <cell r="G411" t="str">
            <v>RANSA</v>
          </cell>
          <cell r="H411">
            <v>28109</v>
          </cell>
          <cell r="I411" t="str">
            <v>44 TAHUN</v>
          </cell>
          <cell r="J411" t="str">
            <v>KRISTEN</v>
          </cell>
          <cell r="K411" t="str">
            <v>NON KONTRAKTOR</v>
          </cell>
          <cell r="L411">
            <v>2</v>
          </cell>
          <cell r="P411" t="str">
            <v>AKTIF</v>
          </cell>
          <cell r="R411" t="str">
            <v>PERAWATAN</v>
          </cell>
          <cell r="S411" t="str">
            <v>BORONGAN</v>
          </cell>
          <cell r="T411" t="str">
            <v>TUNAI</v>
          </cell>
          <cell r="U411" t="str">
            <v>6109066512760001</v>
          </cell>
          <cell r="V411" t="str">
            <v>LOKAL</v>
          </cell>
        </row>
        <row r="412">
          <cell r="B412" t="str">
            <v>GM-00424</v>
          </cell>
          <cell r="C412" t="str">
            <v>NY. NORMINI</v>
          </cell>
          <cell r="E412">
            <v>43425</v>
          </cell>
          <cell r="F412" t="str">
            <v>P</v>
          </cell>
          <cell r="G412" t="str">
            <v>RANSA</v>
          </cell>
          <cell r="H412">
            <v>35730</v>
          </cell>
          <cell r="I412" t="str">
            <v>23 TAHUN</v>
          </cell>
          <cell r="J412" t="str">
            <v>KRISTEN</v>
          </cell>
          <cell r="K412" t="str">
            <v>NON KONTRAKTOR</v>
          </cell>
          <cell r="L412">
            <v>2</v>
          </cell>
          <cell r="P412" t="str">
            <v>AKTIF</v>
          </cell>
          <cell r="R412" t="str">
            <v>PERAWATAN</v>
          </cell>
          <cell r="S412" t="str">
            <v>BORONGAN</v>
          </cell>
          <cell r="T412" t="str">
            <v>TUNAI</v>
          </cell>
          <cell r="U412" t="str">
            <v>6109066710970006</v>
          </cell>
          <cell r="V412" t="str">
            <v>LOKAL</v>
          </cell>
        </row>
        <row r="413">
          <cell r="B413" t="str">
            <v>GM-00425</v>
          </cell>
          <cell r="C413" t="str">
            <v>YUNIA</v>
          </cell>
          <cell r="E413">
            <v>43425</v>
          </cell>
          <cell r="F413" t="str">
            <v>P</v>
          </cell>
          <cell r="G413" t="str">
            <v>RANSA</v>
          </cell>
          <cell r="H413">
            <v>31834</v>
          </cell>
          <cell r="I413" t="str">
            <v>33 TAHUN</v>
          </cell>
          <cell r="J413" t="str">
            <v>KRISTEN</v>
          </cell>
          <cell r="K413" t="str">
            <v>NON KONTRAKTOR</v>
          </cell>
          <cell r="L413">
            <v>2</v>
          </cell>
          <cell r="P413" t="str">
            <v>AKTIF</v>
          </cell>
          <cell r="R413" t="str">
            <v>PERAWATAN</v>
          </cell>
          <cell r="S413" t="str">
            <v>BORONGAN</v>
          </cell>
          <cell r="T413" t="str">
            <v>TUNAI</v>
          </cell>
          <cell r="U413" t="str">
            <v>6109066602870001</v>
          </cell>
          <cell r="V413" t="str">
            <v>LOKAL</v>
          </cell>
        </row>
        <row r="414">
          <cell r="B414" t="str">
            <v>GM-00426</v>
          </cell>
          <cell r="C414" t="str">
            <v>RINI</v>
          </cell>
          <cell r="E414">
            <v>43425</v>
          </cell>
          <cell r="F414" t="str">
            <v>P</v>
          </cell>
          <cell r="G414" t="str">
            <v>RANSA</v>
          </cell>
          <cell r="H414">
            <v>28854</v>
          </cell>
          <cell r="I414" t="str">
            <v>42 TAHUN</v>
          </cell>
          <cell r="J414" t="str">
            <v>KRISTEN</v>
          </cell>
          <cell r="K414" t="str">
            <v>NON KONTRAKTOR</v>
          </cell>
          <cell r="L414">
            <v>2</v>
          </cell>
          <cell r="P414" t="str">
            <v>AKTIF</v>
          </cell>
          <cell r="R414" t="str">
            <v>PERAWATAN</v>
          </cell>
          <cell r="S414" t="str">
            <v>BORONGAN</v>
          </cell>
          <cell r="T414" t="str">
            <v>TUNAI</v>
          </cell>
          <cell r="U414" t="str">
            <v>6109067012780005</v>
          </cell>
          <cell r="V414" t="str">
            <v>LOKAL</v>
          </cell>
        </row>
        <row r="415">
          <cell r="B415" t="str">
            <v>GM-00427</v>
          </cell>
          <cell r="C415" t="str">
            <v>IDAYANI</v>
          </cell>
          <cell r="E415">
            <v>43425</v>
          </cell>
          <cell r="F415" t="str">
            <v>P</v>
          </cell>
          <cell r="G415" t="str">
            <v>RANSA</v>
          </cell>
          <cell r="H415">
            <v>27226</v>
          </cell>
          <cell r="I415" t="str">
            <v>46 TAHUN</v>
          </cell>
          <cell r="J415" t="str">
            <v>KRISTEN</v>
          </cell>
          <cell r="K415" t="str">
            <v>NON KONTRAKTOR</v>
          </cell>
          <cell r="L415">
            <v>2</v>
          </cell>
          <cell r="P415" t="str">
            <v>AKTIF</v>
          </cell>
          <cell r="R415" t="str">
            <v>PERAWATAN</v>
          </cell>
          <cell r="S415" t="str">
            <v>BORONGAN</v>
          </cell>
          <cell r="T415" t="str">
            <v>TUNAI</v>
          </cell>
          <cell r="U415" t="str">
            <v>6109065607740001</v>
          </cell>
          <cell r="V415" t="str">
            <v>LOKAL</v>
          </cell>
        </row>
        <row r="416">
          <cell r="B416" t="str">
            <v>GM-00428</v>
          </cell>
          <cell r="C416" t="str">
            <v>SELIWARA</v>
          </cell>
          <cell r="E416">
            <v>43425</v>
          </cell>
          <cell r="F416" t="str">
            <v>P</v>
          </cell>
          <cell r="G416" t="str">
            <v>DANDI</v>
          </cell>
          <cell r="H416">
            <v>26087</v>
          </cell>
          <cell r="I416" t="str">
            <v>49 TAHUN</v>
          </cell>
          <cell r="J416" t="str">
            <v>KRISTEN</v>
          </cell>
          <cell r="K416" t="str">
            <v>NON KONTRAKTOR</v>
          </cell>
          <cell r="L416">
            <v>2</v>
          </cell>
          <cell r="P416" t="str">
            <v>AKTIF</v>
          </cell>
          <cell r="R416" t="str">
            <v>PERAWATAN</v>
          </cell>
          <cell r="S416" t="str">
            <v>BORONGAN</v>
          </cell>
          <cell r="T416" t="str">
            <v>TUNAI</v>
          </cell>
          <cell r="U416" t="str">
            <v>6109064306710001</v>
          </cell>
          <cell r="V416" t="str">
            <v>LOKAL</v>
          </cell>
        </row>
        <row r="417">
          <cell r="B417" t="str">
            <v>GM-00429</v>
          </cell>
          <cell r="C417" t="str">
            <v>ROSINA</v>
          </cell>
          <cell r="E417">
            <v>43425</v>
          </cell>
          <cell r="F417" t="str">
            <v>P</v>
          </cell>
          <cell r="G417" t="str">
            <v>RANSA</v>
          </cell>
          <cell r="H417">
            <v>23934</v>
          </cell>
          <cell r="I417" t="str">
            <v>55 TAHUN</v>
          </cell>
          <cell r="J417" t="str">
            <v>KRISTEN</v>
          </cell>
          <cell r="K417" t="str">
            <v>NON KONTRAKTOR</v>
          </cell>
          <cell r="L417">
            <v>2</v>
          </cell>
          <cell r="P417" t="str">
            <v>AKTIF</v>
          </cell>
          <cell r="R417" t="str">
            <v>PERAWATAN</v>
          </cell>
          <cell r="S417" t="str">
            <v>BORONGAN</v>
          </cell>
          <cell r="T417" t="str">
            <v>TUNAI</v>
          </cell>
          <cell r="U417" t="str">
            <v>6109065107550002</v>
          </cell>
          <cell r="V417" t="str">
            <v>LOKAL</v>
          </cell>
        </row>
        <row r="418">
          <cell r="B418" t="str">
            <v>GM-00430</v>
          </cell>
          <cell r="C418" t="str">
            <v>RUSNAWATI</v>
          </cell>
          <cell r="E418">
            <v>43425</v>
          </cell>
          <cell r="F418" t="str">
            <v>P</v>
          </cell>
          <cell r="G418" t="str">
            <v>RANSA</v>
          </cell>
          <cell r="H418">
            <v>27844</v>
          </cell>
          <cell r="I418" t="str">
            <v>44 TAHUN</v>
          </cell>
          <cell r="J418" t="str">
            <v>KRISTEN</v>
          </cell>
          <cell r="K418" t="str">
            <v>NON KONTRAKTOR</v>
          </cell>
          <cell r="L418">
            <v>2</v>
          </cell>
          <cell r="P418" t="str">
            <v>AKTIF</v>
          </cell>
          <cell r="R418" t="str">
            <v>PERAWATAN</v>
          </cell>
          <cell r="S418" t="str">
            <v>BORONGAN</v>
          </cell>
          <cell r="T418" t="str">
            <v>TUNAI</v>
          </cell>
          <cell r="V418" t="str">
            <v>LOKAL</v>
          </cell>
        </row>
        <row r="419">
          <cell r="B419" t="str">
            <v>GM-00431</v>
          </cell>
          <cell r="C419" t="str">
            <v>AGUS ALPIUS</v>
          </cell>
          <cell r="E419">
            <v>43425</v>
          </cell>
          <cell r="F419" t="str">
            <v>L</v>
          </cell>
          <cell r="G419" t="str">
            <v>PAKIT MULAU</v>
          </cell>
          <cell r="H419">
            <v>32739</v>
          </cell>
          <cell r="I419" t="str">
            <v>31 TAHUN</v>
          </cell>
          <cell r="J419" t="str">
            <v>KRISTEN</v>
          </cell>
          <cell r="K419" t="str">
            <v>NON KONTRAKTOR</v>
          </cell>
          <cell r="L419">
            <v>3</v>
          </cell>
          <cell r="M419" t="str">
            <v>AGUS ALPIUS</v>
          </cell>
          <cell r="N419">
            <v>902645582</v>
          </cell>
          <cell r="O419" t="str">
            <v>BNI</v>
          </cell>
          <cell r="P419" t="str">
            <v>AKTIF</v>
          </cell>
          <cell r="R419" t="str">
            <v>PANEN</v>
          </cell>
          <cell r="S419" t="str">
            <v>BORONGAN</v>
          </cell>
          <cell r="T419" t="str">
            <v>TRANSFER</v>
          </cell>
          <cell r="U419" t="str">
            <v>6109061908890005</v>
          </cell>
          <cell r="V419" t="str">
            <v>LOKAL</v>
          </cell>
        </row>
        <row r="420">
          <cell r="B420" t="str">
            <v>GM-00432</v>
          </cell>
          <cell r="C420" t="str">
            <v>SANDORA</v>
          </cell>
          <cell r="E420">
            <v>43425</v>
          </cell>
          <cell r="F420" t="str">
            <v>P</v>
          </cell>
          <cell r="G420" t="str">
            <v>PAKAN</v>
          </cell>
          <cell r="H420">
            <v>26357</v>
          </cell>
          <cell r="I420" t="str">
            <v>48 TAHUN</v>
          </cell>
          <cell r="J420" t="str">
            <v>KRISTEN</v>
          </cell>
          <cell r="K420" t="str">
            <v>NON KONTRAKTOR</v>
          </cell>
          <cell r="L420">
            <v>3</v>
          </cell>
          <cell r="P420" t="str">
            <v>AKTIF</v>
          </cell>
          <cell r="R420" t="str">
            <v>PERAWATAN</v>
          </cell>
          <cell r="S420" t="str">
            <v>BORONGAN</v>
          </cell>
          <cell r="T420" t="str">
            <v>TUNAI</v>
          </cell>
          <cell r="U420" t="str">
            <v>6109066802720001</v>
          </cell>
          <cell r="V420" t="str">
            <v>LOKAL</v>
          </cell>
        </row>
        <row r="421">
          <cell r="B421" t="str">
            <v>GM-00433</v>
          </cell>
          <cell r="C421" t="str">
            <v>JUANTA</v>
          </cell>
          <cell r="E421">
            <v>43425</v>
          </cell>
          <cell r="F421" t="str">
            <v>P</v>
          </cell>
          <cell r="I421" t="str">
            <v>121 TAHUN</v>
          </cell>
          <cell r="J421" t="str">
            <v>KRISTEN</v>
          </cell>
          <cell r="K421" t="str">
            <v>NON KONTRAKTOR</v>
          </cell>
          <cell r="L421">
            <v>3</v>
          </cell>
          <cell r="P421" t="str">
            <v>AKTIF</v>
          </cell>
          <cell r="R421" t="str">
            <v>PERAWATAN</v>
          </cell>
          <cell r="S421" t="str">
            <v>BORONGAN</v>
          </cell>
          <cell r="T421" t="str">
            <v>TUNAI</v>
          </cell>
          <cell r="V421" t="str">
            <v>LOKAL</v>
          </cell>
        </row>
        <row r="422">
          <cell r="B422" t="str">
            <v>GM-00434</v>
          </cell>
          <cell r="C422" t="str">
            <v>FRANSISKUS AMBRON</v>
          </cell>
          <cell r="E422">
            <v>43425</v>
          </cell>
          <cell r="F422" t="str">
            <v>L</v>
          </cell>
          <cell r="G422" t="str">
            <v>SUNGAI BUAYA</v>
          </cell>
          <cell r="H422">
            <v>36196</v>
          </cell>
          <cell r="I422" t="str">
            <v>21 TAHUN</v>
          </cell>
          <cell r="J422" t="str">
            <v>KATHOLIK</v>
          </cell>
          <cell r="K422" t="str">
            <v>NON KONTRAKTOR</v>
          </cell>
          <cell r="L422">
            <v>1</v>
          </cell>
          <cell r="P422" t="str">
            <v>AKTIF</v>
          </cell>
          <cell r="R422" t="str">
            <v>PERAWATAN</v>
          </cell>
          <cell r="S422" t="str">
            <v>BORONGAN</v>
          </cell>
          <cell r="T422" t="str">
            <v>TUNAI</v>
          </cell>
          <cell r="U422" t="str">
            <v>6105040502990002</v>
          </cell>
          <cell r="V422" t="str">
            <v>LOKAL</v>
          </cell>
        </row>
        <row r="423">
          <cell r="B423" t="str">
            <v>GM-00435</v>
          </cell>
          <cell r="C423" t="str">
            <v>AMIN</v>
          </cell>
          <cell r="E423">
            <v>43454</v>
          </cell>
          <cell r="F423" t="str">
            <v>L</v>
          </cell>
          <cell r="I423" t="str">
            <v>121 TAHUN</v>
          </cell>
          <cell r="J423" t="str">
            <v>ISLAM</v>
          </cell>
          <cell r="K423" t="str">
            <v>NON KONTRAKTOR</v>
          </cell>
          <cell r="L423">
            <v>2</v>
          </cell>
          <cell r="P423" t="str">
            <v>AKTIF</v>
          </cell>
          <cell r="R423" t="str">
            <v>PERAWATAN</v>
          </cell>
          <cell r="S423" t="str">
            <v>BORONGAN</v>
          </cell>
          <cell r="T423" t="str">
            <v>TUNAI</v>
          </cell>
          <cell r="V423" t="str">
            <v>LOKAL</v>
          </cell>
        </row>
        <row r="424">
          <cell r="B424" t="str">
            <v>GM-00436</v>
          </cell>
          <cell r="C424" t="str">
            <v>IRWANTO</v>
          </cell>
          <cell r="E424">
            <v>43425</v>
          </cell>
          <cell r="F424" t="str">
            <v>L</v>
          </cell>
          <cell r="G424" t="str">
            <v>BALAI SEPUAK</v>
          </cell>
          <cell r="H424">
            <v>32423</v>
          </cell>
          <cell r="I424" t="str">
            <v>32 TAHUN</v>
          </cell>
          <cell r="J424" t="str">
            <v>ISLAM</v>
          </cell>
          <cell r="K424" t="str">
            <v>NON KONTRAKTOR</v>
          </cell>
          <cell r="L424">
            <v>1</v>
          </cell>
          <cell r="M424" t="str">
            <v>IRWANTO</v>
          </cell>
          <cell r="N424">
            <v>387373482</v>
          </cell>
          <cell r="O424" t="str">
            <v>BNI</v>
          </cell>
          <cell r="P424" t="str">
            <v>AKTIF</v>
          </cell>
          <cell r="R424" t="str">
            <v>PERAWATAN</v>
          </cell>
          <cell r="S424" t="str">
            <v>BORONGAN</v>
          </cell>
          <cell r="T424" t="str">
            <v>TRANSFER</v>
          </cell>
          <cell r="V424" t="str">
            <v>LOKAL</v>
          </cell>
        </row>
        <row r="425">
          <cell r="B425" t="str">
            <v>GM-00437</v>
          </cell>
          <cell r="C425" t="str">
            <v>PUNI</v>
          </cell>
          <cell r="E425">
            <v>43425</v>
          </cell>
          <cell r="F425" t="str">
            <v>P</v>
          </cell>
          <cell r="G425" t="str">
            <v>DANDI</v>
          </cell>
          <cell r="H425">
            <v>18445</v>
          </cell>
          <cell r="I425" t="str">
            <v>70 TAHUN</v>
          </cell>
          <cell r="J425" t="str">
            <v>KRISTEN</v>
          </cell>
          <cell r="K425" t="str">
            <v>NON KONTRAKTOR</v>
          </cell>
          <cell r="L425">
            <v>4</v>
          </cell>
          <cell r="M425" t="str">
            <v>PUNI</v>
          </cell>
          <cell r="N425">
            <v>972084859</v>
          </cell>
          <cell r="O425" t="str">
            <v>BNI</v>
          </cell>
          <cell r="P425" t="str">
            <v>AKTIF</v>
          </cell>
          <cell r="R425" t="str">
            <v>PERAWATAN</v>
          </cell>
          <cell r="S425" t="str">
            <v>BORONGAN</v>
          </cell>
          <cell r="T425" t="str">
            <v>TRANSFER</v>
          </cell>
          <cell r="U425" t="str">
            <v>6109064107500046</v>
          </cell>
          <cell r="V425" t="str">
            <v>LOKAL</v>
          </cell>
        </row>
        <row r="426">
          <cell r="B426" t="str">
            <v>GM-00438</v>
          </cell>
          <cell r="C426" t="str">
            <v>LILI TRIYANTI</v>
          </cell>
          <cell r="E426">
            <v>43425</v>
          </cell>
          <cell r="F426" t="str">
            <v>P</v>
          </cell>
          <cell r="G426" t="str">
            <v>SUNGAI PERING</v>
          </cell>
          <cell r="H426">
            <v>33363</v>
          </cell>
          <cell r="I426" t="str">
            <v>29 TAHUN</v>
          </cell>
          <cell r="J426" t="str">
            <v>KRISTEN</v>
          </cell>
          <cell r="K426" t="str">
            <v>NON KONTRAKTOR</v>
          </cell>
          <cell r="L426">
            <v>4</v>
          </cell>
          <cell r="M426" t="str">
            <v>LILI TRIYANTI</v>
          </cell>
          <cell r="N426">
            <v>910323711</v>
          </cell>
          <cell r="O426" t="str">
            <v>BNI</v>
          </cell>
          <cell r="P426" t="str">
            <v>AKTIF</v>
          </cell>
          <cell r="R426" t="str">
            <v>PERAWATAN</v>
          </cell>
          <cell r="S426" t="str">
            <v>BORONGAN</v>
          </cell>
          <cell r="T426" t="str">
            <v>TRANSFER</v>
          </cell>
          <cell r="U426" t="str">
            <v>6109054505910003</v>
          </cell>
          <cell r="V426" t="str">
            <v>LOKAL</v>
          </cell>
        </row>
        <row r="427">
          <cell r="B427" t="str">
            <v>GM-00439</v>
          </cell>
          <cell r="C427" t="str">
            <v>LILI DERMIYATI</v>
          </cell>
          <cell r="E427">
            <v>43425</v>
          </cell>
          <cell r="F427" t="str">
            <v>P</v>
          </cell>
          <cell r="G427" t="str">
            <v>DANDI</v>
          </cell>
          <cell r="H427">
            <v>27979</v>
          </cell>
          <cell r="I427" t="str">
            <v>44 TAHUN</v>
          </cell>
          <cell r="J427" t="str">
            <v>KRISTEN</v>
          </cell>
          <cell r="K427" t="str">
            <v>NON KONTRAKTOR</v>
          </cell>
          <cell r="L427">
            <v>4</v>
          </cell>
          <cell r="M427" t="str">
            <v>LILI DERMIYATI</v>
          </cell>
          <cell r="N427">
            <v>359565951</v>
          </cell>
          <cell r="O427" t="str">
            <v>BNI</v>
          </cell>
          <cell r="P427" t="str">
            <v>AKTIF</v>
          </cell>
          <cell r="R427" t="str">
            <v>PERAWATAN</v>
          </cell>
          <cell r="S427" t="str">
            <v>BORONGAN</v>
          </cell>
          <cell r="T427" t="str">
            <v>TRANSFER</v>
          </cell>
          <cell r="U427" t="str">
            <v>6109064708760003</v>
          </cell>
          <cell r="V427" t="str">
            <v>LOKAL</v>
          </cell>
        </row>
        <row r="428">
          <cell r="B428" t="str">
            <v>GM-00440</v>
          </cell>
          <cell r="C428" t="str">
            <v>INDRA BAKTI PRIONO</v>
          </cell>
          <cell r="E428">
            <v>43816</v>
          </cell>
          <cell r="F428" t="str">
            <v>L</v>
          </cell>
          <cell r="G428" t="str">
            <v>TRENGGALEK</v>
          </cell>
          <cell r="H428">
            <v>36357</v>
          </cell>
          <cell r="I428" t="str">
            <v>21 TAHUN</v>
          </cell>
          <cell r="J428" t="str">
            <v>ISLAM</v>
          </cell>
          <cell r="K428" t="str">
            <v>NON AKTIF</v>
          </cell>
          <cell r="L428">
            <v>3</v>
          </cell>
          <cell r="P428" t="str">
            <v>NON AKTIF</v>
          </cell>
          <cell r="Q428">
            <v>43522</v>
          </cell>
          <cell r="R428" t="str">
            <v>PERAWATAN</v>
          </cell>
          <cell r="S428" t="str">
            <v>BORONGAN</v>
          </cell>
          <cell r="T428" t="str">
            <v>TUNAI</v>
          </cell>
          <cell r="U428" t="str">
            <v>3503071607990002</v>
          </cell>
          <cell r="V428" t="str">
            <v>AKAD</v>
          </cell>
        </row>
        <row r="429">
          <cell r="B429" t="str">
            <v>GM-00441</v>
          </cell>
          <cell r="C429" t="str">
            <v>WAGINI</v>
          </cell>
          <cell r="E429">
            <v>43816</v>
          </cell>
          <cell r="F429" t="str">
            <v>L</v>
          </cell>
          <cell r="G429" t="str">
            <v>TRENGGALEK</v>
          </cell>
          <cell r="H429">
            <v>24617</v>
          </cell>
          <cell r="I429" t="str">
            <v>53 TAHUN</v>
          </cell>
          <cell r="J429" t="str">
            <v>ISLAM</v>
          </cell>
          <cell r="K429" t="str">
            <v>NON AKTIF</v>
          </cell>
          <cell r="L429">
            <v>3</v>
          </cell>
          <cell r="P429" t="str">
            <v>NON AKTIF</v>
          </cell>
          <cell r="Q429">
            <v>43522</v>
          </cell>
          <cell r="R429" t="str">
            <v>PERAWATAN</v>
          </cell>
          <cell r="S429" t="str">
            <v>BORONGAN</v>
          </cell>
          <cell r="T429" t="str">
            <v>TUNAI</v>
          </cell>
          <cell r="U429" t="str">
            <v>3503072505670001</v>
          </cell>
          <cell r="V429" t="str">
            <v>AKAD</v>
          </cell>
        </row>
        <row r="430">
          <cell r="B430" t="str">
            <v>GM-00442</v>
          </cell>
          <cell r="C430" t="str">
            <v>SULIN</v>
          </cell>
          <cell r="E430">
            <v>43816</v>
          </cell>
          <cell r="F430" t="str">
            <v>L</v>
          </cell>
          <cell r="G430" t="str">
            <v>TRENGGALEK</v>
          </cell>
          <cell r="H430">
            <v>31272</v>
          </cell>
          <cell r="I430" t="str">
            <v>35 TAHUN</v>
          </cell>
          <cell r="J430" t="str">
            <v>ISLAM</v>
          </cell>
          <cell r="K430" t="str">
            <v>NON AKTIF</v>
          </cell>
          <cell r="L430">
            <v>3</v>
          </cell>
          <cell r="P430" t="str">
            <v>NON AKTIF</v>
          </cell>
          <cell r="Q430">
            <v>43522</v>
          </cell>
          <cell r="R430" t="str">
            <v>PERAWATAN</v>
          </cell>
          <cell r="S430" t="str">
            <v>BORONGAN</v>
          </cell>
          <cell r="T430" t="str">
            <v>TUNAI</v>
          </cell>
          <cell r="U430" t="str">
            <v>3503071308850002</v>
          </cell>
          <cell r="V430" t="str">
            <v>AKAD</v>
          </cell>
        </row>
        <row r="431">
          <cell r="B431" t="str">
            <v>GM-00443</v>
          </cell>
          <cell r="C431" t="str">
            <v>TUKILAN</v>
          </cell>
          <cell r="E431">
            <v>43816</v>
          </cell>
          <cell r="F431" t="str">
            <v>L</v>
          </cell>
          <cell r="G431" t="str">
            <v>PACITAN</v>
          </cell>
          <cell r="H431">
            <v>26942</v>
          </cell>
          <cell r="I431" t="str">
            <v>47 TAHUN</v>
          </cell>
          <cell r="J431" t="str">
            <v>ISLAM</v>
          </cell>
          <cell r="K431" t="str">
            <v>NON AKTIF</v>
          </cell>
          <cell r="L431">
            <v>4</v>
          </cell>
          <cell r="P431" t="str">
            <v>NON AKTIF</v>
          </cell>
          <cell r="Q431">
            <v>43595</v>
          </cell>
          <cell r="R431" t="str">
            <v>PERAWATAN</v>
          </cell>
          <cell r="S431" t="str">
            <v>BORONGAN</v>
          </cell>
          <cell r="T431" t="str">
            <v>TUNAI</v>
          </cell>
          <cell r="U431" t="str">
            <v>3501070610730004</v>
          </cell>
          <cell r="V431" t="str">
            <v>AKAD</v>
          </cell>
        </row>
        <row r="432">
          <cell r="B432" t="str">
            <v>GM-00444</v>
          </cell>
          <cell r="C432" t="str">
            <v>ALI MUHSIN</v>
          </cell>
          <cell r="E432">
            <v>43816</v>
          </cell>
          <cell r="F432" t="str">
            <v>L</v>
          </cell>
          <cell r="G432" t="str">
            <v>TRENGGALEK</v>
          </cell>
          <cell r="H432">
            <v>32221</v>
          </cell>
          <cell r="I432" t="str">
            <v>32 TAHUN</v>
          </cell>
          <cell r="J432" t="str">
            <v>ISLAM</v>
          </cell>
          <cell r="K432" t="str">
            <v>NON AKTIF</v>
          </cell>
          <cell r="L432">
            <v>3</v>
          </cell>
          <cell r="P432" t="str">
            <v>NON AKTIF</v>
          </cell>
          <cell r="Q432">
            <v>43522</v>
          </cell>
          <cell r="R432" t="str">
            <v>PERAWATAN</v>
          </cell>
          <cell r="S432" t="str">
            <v>BORONGAN</v>
          </cell>
          <cell r="T432" t="str">
            <v>TUNAI</v>
          </cell>
          <cell r="U432" t="str">
            <v>3503071903880001</v>
          </cell>
          <cell r="V432" t="str">
            <v>AKAD</v>
          </cell>
        </row>
        <row r="433">
          <cell r="B433" t="str">
            <v>GM-00445</v>
          </cell>
          <cell r="C433" t="str">
            <v>PUJIANTO</v>
          </cell>
          <cell r="E433">
            <v>43816</v>
          </cell>
          <cell r="F433" t="str">
            <v>L</v>
          </cell>
          <cell r="G433" t="str">
            <v>PACITAN</v>
          </cell>
          <cell r="H433">
            <v>34337</v>
          </cell>
          <cell r="I433" t="str">
            <v>27 TAHUN</v>
          </cell>
          <cell r="J433" t="str">
            <v>ISLAM</v>
          </cell>
          <cell r="K433" t="str">
            <v>NON AKTIF</v>
          </cell>
          <cell r="L433">
            <v>4</v>
          </cell>
          <cell r="P433" t="str">
            <v>NON AKTIF</v>
          </cell>
          <cell r="Q433">
            <v>43595</v>
          </cell>
          <cell r="R433" t="str">
            <v>PERAWATAN</v>
          </cell>
          <cell r="S433" t="str">
            <v>BORONGAN</v>
          </cell>
          <cell r="T433" t="str">
            <v>TUNAI</v>
          </cell>
          <cell r="U433" t="str">
            <v>3501070301940004</v>
          </cell>
          <cell r="V433" t="str">
            <v>AKAD</v>
          </cell>
        </row>
        <row r="434">
          <cell r="B434" t="str">
            <v>GM-00446</v>
          </cell>
          <cell r="C434" t="str">
            <v>BONEN</v>
          </cell>
          <cell r="E434">
            <v>43816</v>
          </cell>
          <cell r="F434" t="str">
            <v>L</v>
          </cell>
          <cell r="G434" t="str">
            <v>PACITAN</v>
          </cell>
          <cell r="H434">
            <v>29293</v>
          </cell>
          <cell r="I434" t="str">
            <v>40 TAHUN</v>
          </cell>
          <cell r="J434" t="str">
            <v>ISLAM</v>
          </cell>
          <cell r="K434" t="str">
            <v>NON AKTIF</v>
          </cell>
          <cell r="L434">
            <v>4</v>
          </cell>
          <cell r="P434" t="str">
            <v>NON AKTIF</v>
          </cell>
          <cell r="Q434">
            <v>43595</v>
          </cell>
          <cell r="R434" t="str">
            <v>PERAWATAN</v>
          </cell>
          <cell r="S434" t="str">
            <v>BORONGAN</v>
          </cell>
          <cell r="T434" t="str">
            <v>TUNAI</v>
          </cell>
          <cell r="U434" t="str">
            <v>3501071303800003</v>
          </cell>
          <cell r="V434" t="str">
            <v>AKAD</v>
          </cell>
        </row>
        <row r="435">
          <cell r="B435" t="str">
            <v>GM-00447</v>
          </cell>
          <cell r="C435" t="str">
            <v>WAHYU ANTON PRASETYO</v>
          </cell>
          <cell r="E435">
            <v>43816</v>
          </cell>
          <cell r="F435" t="str">
            <v>L</v>
          </cell>
          <cell r="G435" t="str">
            <v>TRENGGALEK</v>
          </cell>
          <cell r="H435">
            <v>33766</v>
          </cell>
          <cell r="I435" t="str">
            <v>28 TAHUN</v>
          </cell>
          <cell r="J435" t="str">
            <v>ISLAM</v>
          </cell>
          <cell r="K435" t="str">
            <v>NON AKTIF</v>
          </cell>
          <cell r="L435">
            <v>3</v>
          </cell>
          <cell r="P435" t="str">
            <v>NON AKTIF</v>
          </cell>
          <cell r="Q435">
            <v>43522</v>
          </cell>
          <cell r="R435" t="str">
            <v>PERAWATAN</v>
          </cell>
          <cell r="S435" t="str">
            <v>BORONGAN</v>
          </cell>
          <cell r="T435" t="str">
            <v>TUNAI</v>
          </cell>
          <cell r="U435" t="str">
            <v>3503071106920001</v>
          </cell>
          <cell r="V435" t="str">
            <v>AKAD</v>
          </cell>
        </row>
        <row r="436">
          <cell r="B436" t="str">
            <v>GM-00448</v>
          </cell>
          <cell r="C436" t="str">
            <v>RIXI AVIRIO RUSTONY</v>
          </cell>
          <cell r="E436">
            <v>43816</v>
          </cell>
          <cell r="F436" t="str">
            <v>L</v>
          </cell>
          <cell r="G436" t="str">
            <v>PACITAN</v>
          </cell>
          <cell r="H436">
            <v>35833</v>
          </cell>
          <cell r="I436" t="str">
            <v>22 TAHUN</v>
          </cell>
          <cell r="J436" t="str">
            <v>ISLAM</v>
          </cell>
          <cell r="K436" t="str">
            <v>NON AKTIF</v>
          </cell>
          <cell r="L436">
            <v>4</v>
          </cell>
          <cell r="P436" t="str">
            <v>NON AKTIF</v>
          </cell>
          <cell r="Q436">
            <v>43595</v>
          </cell>
          <cell r="R436" t="str">
            <v>PERAWATAN</v>
          </cell>
          <cell r="S436" t="str">
            <v>BORONGAN</v>
          </cell>
          <cell r="T436" t="str">
            <v>TUNAI</v>
          </cell>
          <cell r="U436" t="str">
            <v>3501070702980001</v>
          </cell>
          <cell r="V436" t="str">
            <v>AKAD</v>
          </cell>
        </row>
        <row r="437">
          <cell r="B437" t="str">
            <v>GM-00449</v>
          </cell>
          <cell r="C437" t="str">
            <v>BUDIONO</v>
          </cell>
          <cell r="E437">
            <v>43816</v>
          </cell>
          <cell r="F437" t="str">
            <v>L</v>
          </cell>
          <cell r="G437" t="str">
            <v>TRENGGALEK</v>
          </cell>
          <cell r="H437">
            <v>25336</v>
          </cell>
          <cell r="I437" t="str">
            <v>51 TAHUN</v>
          </cell>
          <cell r="J437" t="str">
            <v>ISLAM</v>
          </cell>
          <cell r="K437" t="str">
            <v>NON AKTIF</v>
          </cell>
          <cell r="L437">
            <v>3</v>
          </cell>
          <cell r="P437" t="str">
            <v>NON AKTIF</v>
          </cell>
          <cell r="Q437">
            <v>43522</v>
          </cell>
          <cell r="R437" t="str">
            <v>PERAWATAN</v>
          </cell>
          <cell r="S437" t="str">
            <v>BORONGAN</v>
          </cell>
          <cell r="T437" t="str">
            <v>TUNAI</v>
          </cell>
          <cell r="U437" t="str">
            <v>3503071305890002</v>
          </cell>
          <cell r="V437" t="str">
            <v>AKAD</v>
          </cell>
        </row>
        <row r="438">
          <cell r="B438" t="str">
            <v>GM-00450</v>
          </cell>
          <cell r="C438" t="str">
            <v>EDY SURYONO</v>
          </cell>
          <cell r="E438">
            <v>43816</v>
          </cell>
          <cell r="F438" t="str">
            <v>L</v>
          </cell>
          <cell r="G438" t="str">
            <v>PACITAN</v>
          </cell>
          <cell r="H438">
            <v>36326</v>
          </cell>
          <cell r="I438" t="str">
            <v>21 TAHUN</v>
          </cell>
          <cell r="J438" t="str">
            <v>ISLAM</v>
          </cell>
          <cell r="K438" t="str">
            <v>NON AKTIF</v>
          </cell>
          <cell r="L438">
            <v>4</v>
          </cell>
          <cell r="P438" t="str">
            <v>NON AKTIF</v>
          </cell>
          <cell r="Q438">
            <v>43595</v>
          </cell>
          <cell r="R438" t="str">
            <v>PERAWATAN</v>
          </cell>
          <cell r="S438" t="str">
            <v>BORONGAN</v>
          </cell>
          <cell r="T438" t="str">
            <v>TUNAI</v>
          </cell>
          <cell r="U438" t="str">
            <v>3501071506990001</v>
          </cell>
          <cell r="V438" t="str">
            <v>AKAD</v>
          </cell>
        </row>
        <row r="439">
          <cell r="B439" t="str">
            <v>GM-00451</v>
          </cell>
          <cell r="C439" t="str">
            <v>JUMARI</v>
          </cell>
          <cell r="E439">
            <v>43816</v>
          </cell>
          <cell r="F439" t="str">
            <v>L</v>
          </cell>
          <cell r="G439" t="str">
            <v>PACITAN</v>
          </cell>
          <cell r="H439">
            <v>28248</v>
          </cell>
          <cell r="I439" t="str">
            <v>43 TAHUN</v>
          </cell>
          <cell r="J439" t="str">
            <v>ISLAM</v>
          </cell>
          <cell r="K439" t="str">
            <v>NON AKTIF</v>
          </cell>
          <cell r="L439">
            <v>4</v>
          </cell>
          <cell r="P439" t="str">
            <v>NON AKTIF</v>
          </cell>
          <cell r="Q439">
            <v>43595</v>
          </cell>
          <cell r="R439" t="str">
            <v>PERAWATAN</v>
          </cell>
          <cell r="S439" t="str">
            <v>BORONGAN</v>
          </cell>
          <cell r="T439" t="str">
            <v>TUNAI</v>
          </cell>
          <cell r="U439" t="str">
            <v>3501070305770003</v>
          </cell>
          <cell r="V439" t="str">
            <v>AKAD</v>
          </cell>
        </row>
        <row r="440">
          <cell r="B440" t="str">
            <v>GM-00452</v>
          </cell>
          <cell r="C440" t="str">
            <v>BEJAN</v>
          </cell>
          <cell r="E440">
            <v>43816</v>
          </cell>
          <cell r="F440" t="str">
            <v>L</v>
          </cell>
          <cell r="G440" t="str">
            <v>TRENGGALEK</v>
          </cell>
          <cell r="H440">
            <v>25428</v>
          </cell>
          <cell r="I440" t="str">
            <v>51 TAHUN</v>
          </cell>
          <cell r="J440" t="str">
            <v>ISLAM</v>
          </cell>
          <cell r="K440" t="str">
            <v>NON AKTIF</v>
          </cell>
          <cell r="L440">
            <v>3</v>
          </cell>
          <cell r="P440" t="str">
            <v>NON AKTIF</v>
          </cell>
          <cell r="Q440">
            <v>43522</v>
          </cell>
          <cell r="R440" t="str">
            <v>PERAWATAN</v>
          </cell>
          <cell r="S440" t="str">
            <v>BORONGAN</v>
          </cell>
          <cell r="T440" t="str">
            <v>TUNAI</v>
          </cell>
          <cell r="U440" t="str">
            <v>3503071308690001</v>
          </cell>
          <cell r="V440" t="str">
            <v>AKAD</v>
          </cell>
        </row>
        <row r="441">
          <cell r="B441" t="str">
            <v>GM-00453</v>
          </cell>
          <cell r="C441" t="str">
            <v>SUGENG</v>
          </cell>
          <cell r="E441">
            <v>43816</v>
          </cell>
          <cell r="F441" t="str">
            <v>L</v>
          </cell>
          <cell r="G441" t="str">
            <v>PACITAN</v>
          </cell>
          <cell r="H441">
            <v>31241</v>
          </cell>
          <cell r="I441" t="str">
            <v>35 TAHUN</v>
          </cell>
          <cell r="J441" t="str">
            <v>ISLAM</v>
          </cell>
          <cell r="K441" t="str">
            <v>NON AKTIF</v>
          </cell>
          <cell r="L441">
            <v>4</v>
          </cell>
          <cell r="P441" t="str">
            <v>NON AKTIF</v>
          </cell>
          <cell r="Q441">
            <v>43595</v>
          </cell>
          <cell r="R441" t="str">
            <v>PERAWATAN</v>
          </cell>
          <cell r="S441" t="str">
            <v>BORONGAN</v>
          </cell>
          <cell r="T441" t="str">
            <v>TUNAI</v>
          </cell>
          <cell r="U441" t="str">
            <v>3501071307850004</v>
          </cell>
          <cell r="V441" t="str">
            <v>AKAD</v>
          </cell>
        </row>
        <row r="442">
          <cell r="B442" t="str">
            <v>GM-00454</v>
          </cell>
          <cell r="C442" t="str">
            <v>MUSLIMIN</v>
          </cell>
          <cell r="E442">
            <v>43816</v>
          </cell>
          <cell r="F442" t="str">
            <v>L</v>
          </cell>
          <cell r="G442" t="str">
            <v>PACITAN</v>
          </cell>
          <cell r="H442">
            <v>36365</v>
          </cell>
          <cell r="I442" t="str">
            <v>21 TAHUN</v>
          </cell>
          <cell r="J442" t="str">
            <v>ISLAM</v>
          </cell>
          <cell r="K442" t="str">
            <v>NON AKTIF</v>
          </cell>
          <cell r="L442">
            <v>4</v>
          </cell>
          <cell r="P442" t="str">
            <v>NON AKTIF</v>
          </cell>
          <cell r="Q442">
            <v>43595</v>
          </cell>
          <cell r="R442" t="str">
            <v>PERAWATAN</v>
          </cell>
          <cell r="S442" t="str">
            <v>BORONGAN</v>
          </cell>
          <cell r="T442" t="str">
            <v>TUNAI</v>
          </cell>
          <cell r="U442" t="str">
            <v>3501072407990003</v>
          </cell>
          <cell r="V442" t="str">
            <v>AKAD</v>
          </cell>
        </row>
        <row r="443">
          <cell r="B443" t="str">
            <v>GM-00455</v>
          </cell>
          <cell r="C443" t="str">
            <v>SULAIMAN</v>
          </cell>
          <cell r="D443" t="str">
            <v>BARAK G10 DIV 1</v>
          </cell>
          <cell r="E443">
            <v>43822</v>
          </cell>
          <cell r="F443" t="str">
            <v>L</v>
          </cell>
          <cell r="G443" t="str">
            <v>BANYUMAS</v>
          </cell>
          <cell r="H443">
            <v>29799</v>
          </cell>
          <cell r="I443" t="str">
            <v>39 TAHUN</v>
          </cell>
          <cell r="J443" t="str">
            <v>ISLAM</v>
          </cell>
          <cell r="K443" t="str">
            <v>NON AKTIF</v>
          </cell>
          <cell r="L443">
            <v>1</v>
          </cell>
          <cell r="P443" t="str">
            <v>NON AKTIF</v>
          </cell>
          <cell r="Q443">
            <v>43497</v>
          </cell>
          <cell r="R443" t="str">
            <v>PANEN</v>
          </cell>
          <cell r="S443" t="str">
            <v>BORONGAN</v>
          </cell>
          <cell r="T443" t="str">
            <v>TUNAI</v>
          </cell>
          <cell r="U443" t="str">
            <v>6112010108810007</v>
          </cell>
          <cell r="V443" t="str">
            <v>AKAD</v>
          </cell>
        </row>
        <row r="444">
          <cell r="B444" t="str">
            <v>GM-00456</v>
          </cell>
          <cell r="C444" t="str">
            <v>SADARUDIN</v>
          </cell>
          <cell r="D444" t="str">
            <v>BARAK G10 DIV 1</v>
          </cell>
          <cell r="E444">
            <v>43822</v>
          </cell>
          <cell r="F444" t="str">
            <v>L</v>
          </cell>
          <cell r="G444" t="str">
            <v>BANYUMAS</v>
          </cell>
          <cell r="H444">
            <v>28684</v>
          </cell>
          <cell r="I444" t="str">
            <v>42 TAHUN</v>
          </cell>
          <cell r="J444" t="str">
            <v>ISLAM</v>
          </cell>
          <cell r="K444" t="str">
            <v>NON AKTIF</v>
          </cell>
          <cell r="L444">
            <v>1</v>
          </cell>
          <cell r="P444" t="str">
            <v>NON AKTIF</v>
          </cell>
          <cell r="Q444">
            <v>43497</v>
          </cell>
          <cell r="R444" t="str">
            <v>PERAWATAN</v>
          </cell>
          <cell r="S444" t="str">
            <v>BORONGAN</v>
          </cell>
          <cell r="T444" t="str">
            <v>TUNAI</v>
          </cell>
          <cell r="U444" t="str">
            <v>6112011307780005</v>
          </cell>
          <cell r="V444" t="str">
            <v>AKAD</v>
          </cell>
        </row>
        <row r="445">
          <cell r="B445" t="str">
            <v>GM-00457</v>
          </cell>
          <cell r="C445" t="str">
            <v>JUMADI</v>
          </cell>
          <cell r="D445" t="str">
            <v>BARAK G10 DIV 1</v>
          </cell>
          <cell r="E445">
            <v>43822</v>
          </cell>
          <cell r="F445" t="str">
            <v>L</v>
          </cell>
          <cell r="G445" t="str">
            <v>PATI</v>
          </cell>
          <cell r="H445">
            <v>27339</v>
          </cell>
          <cell r="I445" t="str">
            <v>46 TAHUN</v>
          </cell>
          <cell r="J445" t="str">
            <v>ISLAM</v>
          </cell>
          <cell r="K445" t="str">
            <v>NON AKTIF</v>
          </cell>
          <cell r="L445">
            <v>1</v>
          </cell>
          <cell r="P445" t="str">
            <v>NON AKTIF</v>
          </cell>
          <cell r="R445" t="str">
            <v>PANEN</v>
          </cell>
          <cell r="S445" t="str">
            <v>BORONGAN</v>
          </cell>
          <cell r="T445" t="str">
            <v>TUNAI</v>
          </cell>
          <cell r="U445" t="str">
            <v>6112010611740003</v>
          </cell>
          <cell r="V445" t="str">
            <v>AKAD</v>
          </cell>
        </row>
        <row r="446">
          <cell r="B446" t="str">
            <v>GM-00458</v>
          </cell>
          <cell r="C446" t="str">
            <v>WASIMAN</v>
          </cell>
          <cell r="D446" t="str">
            <v>BARAK G10 DIV 1</v>
          </cell>
          <cell r="E446">
            <v>43822</v>
          </cell>
          <cell r="F446" t="str">
            <v>L</v>
          </cell>
          <cell r="G446" t="str">
            <v>BANYUMAS</v>
          </cell>
          <cell r="H446">
            <v>27099</v>
          </cell>
          <cell r="I446" t="str">
            <v>46 TAHUN</v>
          </cell>
          <cell r="J446" t="str">
            <v>ISLAM</v>
          </cell>
          <cell r="K446" t="str">
            <v>NURSAIL</v>
          </cell>
          <cell r="L446">
            <v>1</v>
          </cell>
          <cell r="M446" t="str">
            <v>WASIMAN</v>
          </cell>
          <cell r="N446">
            <v>1110521443</v>
          </cell>
          <cell r="O446" t="str">
            <v>BNI</v>
          </cell>
          <cell r="P446" t="str">
            <v>AKTIF</v>
          </cell>
          <cell r="R446" t="str">
            <v>PANEN</v>
          </cell>
          <cell r="S446" t="str">
            <v>BORONGAN</v>
          </cell>
          <cell r="T446" t="str">
            <v>TRANSFER</v>
          </cell>
          <cell r="U446" t="str">
            <v>6112011103740005</v>
          </cell>
          <cell r="V446" t="str">
            <v>AKAD</v>
          </cell>
        </row>
        <row r="447">
          <cell r="B447" t="str">
            <v>GM-00459</v>
          </cell>
          <cell r="C447" t="str">
            <v>HENY YATI</v>
          </cell>
          <cell r="E447">
            <v>43467</v>
          </cell>
          <cell r="F447" t="str">
            <v>P</v>
          </cell>
          <cell r="G447" t="str">
            <v>SUNGAI EMPANG</v>
          </cell>
          <cell r="H447">
            <v>34081</v>
          </cell>
          <cell r="I447" t="str">
            <v>27 TAHUN</v>
          </cell>
          <cell r="J447" t="str">
            <v>KRISTEN</v>
          </cell>
          <cell r="K447" t="str">
            <v>NON KONTRAKTOR</v>
          </cell>
          <cell r="L447">
            <v>4</v>
          </cell>
          <cell r="M447" t="str">
            <v>HENY YATI</v>
          </cell>
          <cell r="N447">
            <v>910323686</v>
          </cell>
          <cell r="O447" t="str">
            <v>BNI</v>
          </cell>
          <cell r="P447" t="str">
            <v>AKTIF</v>
          </cell>
          <cell r="R447" t="str">
            <v>PERAWATAN</v>
          </cell>
          <cell r="S447" t="str">
            <v>BORONGAN</v>
          </cell>
          <cell r="T447" t="str">
            <v>TRANSFER</v>
          </cell>
          <cell r="U447" t="str">
            <v>6109066204930001</v>
          </cell>
          <cell r="V447" t="str">
            <v>LOKAL</v>
          </cell>
        </row>
        <row r="448">
          <cell r="B448" t="str">
            <v>GM-00460</v>
          </cell>
          <cell r="C448" t="str">
            <v>PINCI</v>
          </cell>
          <cell r="E448">
            <v>43467</v>
          </cell>
          <cell r="F448" t="str">
            <v>P</v>
          </cell>
          <cell r="G448" t="str">
            <v>DANDI</v>
          </cell>
          <cell r="H448">
            <v>27532</v>
          </cell>
          <cell r="I448" t="str">
            <v>45 TAHUN</v>
          </cell>
          <cell r="J448" t="str">
            <v>KRISTEN</v>
          </cell>
          <cell r="K448" t="str">
            <v>NON KONTRAKTOR</v>
          </cell>
          <cell r="L448">
            <v>4</v>
          </cell>
          <cell r="M448" t="str">
            <v>PINCI</v>
          </cell>
          <cell r="N448">
            <v>972091719</v>
          </cell>
          <cell r="O448" t="str">
            <v>BNI</v>
          </cell>
          <cell r="P448" t="str">
            <v>AKTIF</v>
          </cell>
          <cell r="R448" t="str">
            <v>PERAWATAN</v>
          </cell>
          <cell r="S448" t="str">
            <v>BORONGAN</v>
          </cell>
          <cell r="T448" t="str">
            <v>TRANSFER</v>
          </cell>
          <cell r="U448" t="str">
            <v>6109065805750005</v>
          </cell>
          <cell r="V448" t="str">
            <v>LOKAL</v>
          </cell>
        </row>
        <row r="449">
          <cell r="B449" t="str">
            <v>GM-00461</v>
          </cell>
          <cell r="C449" t="str">
            <v>MARTHA</v>
          </cell>
          <cell r="E449">
            <v>43467</v>
          </cell>
          <cell r="F449" t="str">
            <v>P</v>
          </cell>
          <cell r="G449" t="str">
            <v>DANDI</v>
          </cell>
          <cell r="H449">
            <v>23501</v>
          </cell>
          <cell r="I449" t="str">
            <v>56 TAHUN</v>
          </cell>
          <cell r="J449" t="str">
            <v>KRISTEN</v>
          </cell>
          <cell r="K449" t="str">
            <v>NON KONTRAKTOR</v>
          </cell>
          <cell r="L449">
            <v>4</v>
          </cell>
          <cell r="P449" t="str">
            <v>AKTIF</v>
          </cell>
          <cell r="R449" t="str">
            <v>PERAWATAN</v>
          </cell>
          <cell r="S449" t="str">
            <v>BORONGAN</v>
          </cell>
          <cell r="T449" t="str">
            <v>TUNAI</v>
          </cell>
          <cell r="U449" t="str">
            <v>6109064405640001</v>
          </cell>
          <cell r="V449" t="str">
            <v>LOKAL</v>
          </cell>
        </row>
        <row r="450">
          <cell r="B450" t="str">
            <v>GM-00462</v>
          </cell>
          <cell r="C450" t="str">
            <v>JULIYAH</v>
          </cell>
          <cell r="E450">
            <v>43467</v>
          </cell>
          <cell r="F450" t="str">
            <v>P</v>
          </cell>
          <cell r="G450" t="str">
            <v>SUNGAI EMPANG</v>
          </cell>
          <cell r="H450">
            <v>30681</v>
          </cell>
          <cell r="I450" t="str">
            <v>37 TAHUN</v>
          </cell>
          <cell r="J450" t="str">
            <v>KRISTEN</v>
          </cell>
          <cell r="K450" t="str">
            <v>NON KONTRAKTOR</v>
          </cell>
          <cell r="L450">
            <v>4</v>
          </cell>
          <cell r="M450" t="str">
            <v>JULIYAH</v>
          </cell>
          <cell r="N450">
            <v>910323675</v>
          </cell>
          <cell r="O450" t="str">
            <v>BNI</v>
          </cell>
          <cell r="P450" t="str">
            <v>AKTIF</v>
          </cell>
          <cell r="R450" t="str">
            <v>PERAWATAN</v>
          </cell>
          <cell r="S450" t="str">
            <v>BORONGAN</v>
          </cell>
          <cell r="T450" t="str">
            <v>TRANSFER</v>
          </cell>
          <cell r="U450" t="str">
            <v>6109067112830003</v>
          </cell>
          <cell r="V450" t="str">
            <v>LOKAL</v>
          </cell>
        </row>
        <row r="451">
          <cell r="B451" t="str">
            <v>GM-00463</v>
          </cell>
          <cell r="C451" t="str">
            <v>RITA</v>
          </cell>
          <cell r="E451">
            <v>43467</v>
          </cell>
          <cell r="F451" t="str">
            <v>P</v>
          </cell>
          <cell r="G451" t="str">
            <v>NEBUK</v>
          </cell>
          <cell r="H451">
            <v>24264</v>
          </cell>
          <cell r="I451" t="str">
            <v>54 TAHUN</v>
          </cell>
          <cell r="J451" t="str">
            <v>KRISTEN</v>
          </cell>
          <cell r="K451" t="str">
            <v>NON KONTRAKTOR</v>
          </cell>
          <cell r="L451">
            <v>4</v>
          </cell>
          <cell r="M451" t="str">
            <v>RITA</v>
          </cell>
          <cell r="N451">
            <v>910331096</v>
          </cell>
          <cell r="O451" t="str">
            <v>BNI</v>
          </cell>
          <cell r="P451" t="str">
            <v>AKTIF</v>
          </cell>
          <cell r="R451" t="str">
            <v>PERAWATAN</v>
          </cell>
          <cell r="S451" t="str">
            <v>BORONGAN</v>
          </cell>
          <cell r="T451" t="str">
            <v>TRANSFER</v>
          </cell>
          <cell r="U451" t="str">
            <v>6109064806680005</v>
          </cell>
          <cell r="V451" t="str">
            <v>LOKAL</v>
          </cell>
        </row>
        <row r="452">
          <cell r="B452" t="str">
            <v>GM-00464</v>
          </cell>
          <cell r="C452" t="str">
            <v>MARTASIA ATIH</v>
          </cell>
          <cell r="E452">
            <v>43467</v>
          </cell>
          <cell r="F452" t="str">
            <v>P</v>
          </cell>
          <cell r="G452" t="str">
            <v>PERUNTAN</v>
          </cell>
          <cell r="H452">
            <v>23538</v>
          </cell>
          <cell r="I452" t="str">
            <v>56 TAHUN</v>
          </cell>
          <cell r="J452" t="str">
            <v>KRISTEN</v>
          </cell>
          <cell r="K452" t="str">
            <v>NON KONTRAKTOR</v>
          </cell>
          <cell r="L452">
            <v>4</v>
          </cell>
          <cell r="M452" t="str">
            <v>MARTASIA ATIH</v>
          </cell>
          <cell r="N452">
            <v>910323700</v>
          </cell>
          <cell r="O452" t="str">
            <v>BNI</v>
          </cell>
          <cell r="P452" t="str">
            <v>AKTIF</v>
          </cell>
          <cell r="R452" t="str">
            <v>PERAWATAN</v>
          </cell>
          <cell r="S452" t="str">
            <v>BORONGAN</v>
          </cell>
          <cell r="T452" t="str">
            <v>TRANSFER</v>
          </cell>
          <cell r="U452" t="str">
            <v>6109065006640002</v>
          </cell>
          <cell r="V452" t="str">
            <v>LOKAL</v>
          </cell>
        </row>
        <row r="453">
          <cell r="B453" t="str">
            <v>GM-00465</v>
          </cell>
          <cell r="C453" t="str">
            <v>SELVIA</v>
          </cell>
          <cell r="E453">
            <v>43467</v>
          </cell>
          <cell r="F453" t="str">
            <v>P</v>
          </cell>
          <cell r="G453" t="str">
            <v>DANDI</v>
          </cell>
          <cell r="H453">
            <v>27856</v>
          </cell>
          <cell r="I453" t="str">
            <v>44 TAHUN</v>
          </cell>
          <cell r="J453" t="str">
            <v>KRISTEN</v>
          </cell>
          <cell r="K453" t="str">
            <v>NON KONTRAKTOR</v>
          </cell>
          <cell r="L453">
            <v>4</v>
          </cell>
          <cell r="P453" t="str">
            <v>AKTIF</v>
          </cell>
          <cell r="R453" t="str">
            <v>PERAWATAN</v>
          </cell>
          <cell r="S453" t="str">
            <v>BORONGAN</v>
          </cell>
          <cell r="T453" t="str">
            <v>TUNAI</v>
          </cell>
          <cell r="U453" t="str">
            <v>6109064604760002</v>
          </cell>
          <cell r="V453" t="str">
            <v>LOKAL</v>
          </cell>
        </row>
        <row r="454">
          <cell r="B454" t="str">
            <v>GM-00466</v>
          </cell>
          <cell r="C454" t="str">
            <v>ROBI NARDI</v>
          </cell>
          <cell r="E454">
            <v>43467</v>
          </cell>
          <cell r="F454" t="str">
            <v>L</v>
          </cell>
          <cell r="G454" t="str">
            <v>DANDI</v>
          </cell>
          <cell r="H454">
            <v>32826</v>
          </cell>
          <cell r="I454" t="str">
            <v>31 TAHUN</v>
          </cell>
          <cell r="J454" t="str">
            <v>KRISTEN</v>
          </cell>
          <cell r="K454" t="str">
            <v>NON KONTRAKTOR</v>
          </cell>
          <cell r="L454">
            <v>3</v>
          </cell>
          <cell r="M454" t="str">
            <v>ROBI NARDI</v>
          </cell>
          <cell r="N454">
            <v>905142777</v>
          </cell>
          <cell r="O454" t="str">
            <v>BNI</v>
          </cell>
          <cell r="P454" t="str">
            <v>AKTIF</v>
          </cell>
          <cell r="R454" t="str">
            <v>PERAWATAN</v>
          </cell>
          <cell r="S454" t="str">
            <v>BORONGAN</v>
          </cell>
          <cell r="T454" t="str">
            <v>TRANSFER</v>
          </cell>
          <cell r="U454" t="str">
            <v>6109061411890003</v>
          </cell>
          <cell r="V454" t="str">
            <v>LOKAL</v>
          </cell>
        </row>
        <row r="455">
          <cell r="B455" t="str">
            <v>GM-00467</v>
          </cell>
          <cell r="C455" t="str">
            <v>NELCY PURWANTI</v>
          </cell>
          <cell r="E455">
            <v>43467</v>
          </cell>
          <cell r="F455" t="str">
            <v>P</v>
          </cell>
          <cell r="G455" t="str">
            <v>DANDI</v>
          </cell>
          <cell r="H455">
            <v>24472</v>
          </cell>
          <cell r="I455" t="str">
            <v>54 TAHUN</v>
          </cell>
          <cell r="J455" t="str">
            <v>KRISTEN</v>
          </cell>
          <cell r="K455" t="str">
            <v>NON KONTRAKTOR</v>
          </cell>
          <cell r="L455">
            <v>4</v>
          </cell>
          <cell r="P455" t="str">
            <v>AKTIF</v>
          </cell>
          <cell r="R455" t="str">
            <v>PERAWATAN</v>
          </cell>
          <cell r="S455" t="str">
            <v>BORONGAN</v>
          </cell>
          <cell r="T455" t="str">
            <v>TUNAI</v>
          </cell>
          <cell r="U455" t="str">
            <v>6109067112860002</v>
          </cell>
          <cell r="V455" t="str">
            <v>LOKAL</v>
          </cell>
        </row>
        <row r="456">
          <cell r="B456" t="str">
            <v>GM-00468</v>
          </cell>
          <cell r="C456" t="str">
            <v>TRUKANILA</v>
          </cell>
          <cell r="E456">
            <v>43467</v>
          </cell>
          <cell r="F456" t="str">
            <v>P</v>
          </cell>
          <cell r="G456" t="str">
            <v>DANDI</v>
          </cell>
          <cell r="H456">
            <v>30440</v>
          </cell>
          <cell r="I456" t="str">
            <v>37 TAHUN</v>
          </cell>
          <cell r="J456" t="str">
            <v>KRISTEN</v>
          </cell>
          <cell r="K456" t="str">
            <v>NON KONTRAKTOR</v>
          </cell>
          <cell r="L456">
            <v>4</v>
          </cell>
          <cell r="M456" t="str">
            <v>TRUKANILA</v>
          </cell>
          <cell r="N456">
            <v>910323697</v>
          </cell>
          <cell r="O456" t="str">
            <v>BNI</v>
          </cell>
          <cell r="P456" t="str">
            <v>AKTIF</v>
          </cell>
          <cell r="R456" t="str">
            <v>PERAWATAN</v>
          </cell>
          <cell r="S456" t="str">
            <v>BORONGAN</v>
          </cell>
          <cell r="T456" t="str">
            <v>TRANSFER</v>
          </cell>
          <cell r="U456" t="str">
            <v>6109064405800002</v>
          </cell>
          <cell r="V456" t="str">
            <v>LOKAL</v>
          </cell>
        </row>
        <row r="457">
          <cell r="B457" t="str">
            <v>GM-00469</v>
          </cell>
          <cell r="C457" t="str">
            <v>ARMAN</v>
          </cell>
          <cell r="E457">
            <v>43467</v>
          </cell>
          <cell r="F457" t="str">
            <v>L</v>
          </cell>
          <cell r="J457" t="str">
            <v>ISLAM</v>
          </cell>
          <cell r="K457" t="str">
            <v>NON KONTRAKTOR</v>
          </cell>
          <cell r="L457">
            <v>3</v>
          </cell>
          <cell r="P457" t="str">
            <v>AKTIF</v>
          </cell>
          <cell r="R457" t="str">
            <v>PERAWATAN</v>
          </cell>
          <cell r="S457" t="str">
            <v>BORONGAN</v>
          </cell>
          <cell r="T457" t="str">
            <v>TUNAI</v>
          </cell>
          <cell r="V457" t="str">
            <v>LOKAL</v>
          </cell>
        </row>
        <row r="458">
          <cell r="B458" t="str">
            <v>GM-00470</v>
          </cell>
          <cell r="C458" t="str">
            <v>DELLY AMIRA</v>
          </cell>
          <cell r="E458">
            <v>43477</v>
          </cell>
          <cell r="F458" t="str">
            <v>P</v>
          </cell>
          <cell r="G458" t="str">
            <v>NANGA SADUS</v>
          </cell>
          <cell r="H458">
            <v>36877</v>
          </cell>
          <cell r="I458" t="str">
            <v>20 TAHUN</v>
          </cell>
          <cell r="J458" t="str">
            <v>KRISTEN</v>
          </cell>
          <cell r="K458" t="str">
            <v>NON KONTRAKTOR</v>
          </cell>
          <cell r="L458">
            <v>4</v>
          </cell>
          <cell r="P458" t="str">
            <v>AKTIF</v>
          </cell>
          <cell r="R458" t="str">
            <v>PERAWATAN</v>
          </cell>
          <cell r="S458" t="str">
            <v>BORONGAN</v>
          </cell>
          <cell r="T458" t="str">
            <v>TUNAI</v>
          </cell>
          <cell r="U458" t="str">
            <v>6109061712000001</v>
          </cell>
          <cell r="V458" t="str">
            <v>LOKAL</v>
          </cell>
        </row>
        <row r="459">
          <cell r="B459" t="str">
            <v>GM-00471</v>
          </cell>
          <cell r="C459" t="str">
            <v>SUSILAWATI</v>
          </cell>
          <cell r="D459" t="str">
            <v>Ds. SEPURU</v>
          </cell>
          <cell r="E459">
            <v>43480</v>
          </cell>
          <cell r="F459" t="str">
            <v>P</v>
          </cell>
          <cell r="G459" t="str">
            <v>DUSUN SEPURU</v>
          </cell>
          <cell r="H459">
            <v>31899</v>
          </cell>
          <cell r="I459" t="str">
            <v>33 TAHUN</v>
          </cell>
          <cell r="J459" t="str">
            <v>KRISTEN</v>
          </cell>
          <cell r="K459" t="str">
            <v>NON KONTRAKTOR</v>
          </cell>
          <cell r="L459">
            <v>1</v>
          </cell>
          <cell r="P459" t="str">
            <v>AKTIF</v>
          </cell>
          <cell r="R459" t="str">
            <v>PERAWATAN</v>
          </cell>
          <cell r="S459" t="str">
            <v>BORONGAN</v>
          </cell>
          <cell r="T459" t="str">
            <v>TUNAI</v>
          </cell>
          <cell r="U459" t="str">
            <v>6109064205870003</v>
          </cell>
          <cell r="V459" t="str">
            <v>LOKAL</v>
          </cell>
        </row>
        <row r="460">
          <cell r="B460" t="str">
            <v>GM-00472</v>
          </cell>
          <cell r="C460" t="str">
            <v>ALAU</v>
          </cell>
          <cell r="D460" t="str">
            <v>Ds. SEPURU</v>
          </cell>
          <cell r="E460">
            <v>43480</v>
          </cell>
          <cell r="F460" t="str">
            <v>P</v>
          </cell>
          <cell r="G460" t="str">
            <v>DUSUN SEPURU</v>
          </cell>
          <cell r="H460">
            <v>23559</v>
          </cell>
          <cell r="I460" t="str">
            <v>56 TAHUN</v>
          </cell>
          <cell r="J460" t="str">
            <v>KRISTEN</v>
          </cell>
          <cell r="K460" t="str">
            <v>NON KONTRAKTOR</v>
          </cell>
          <cell r="L460">
            <v>1</v>
          </cell>
          <cell r="M460" t="str">
            <v>ALAU</v>
          </cell>
          <cell r="N460">
            <v>1055538458</v>
          </cell>
          <cell r="O460" t="str">
            <v>BNI</v>
          </cell>
          <cell r="P460" t="str">
            <v>AKTIF</v>
          </cell>
          <cell r="R460" t="str">
            <v>PERAWATAN</v>
          </cell>
          <cell r="S460" t="str">
            <v>BORONGAN</v>
          </cell>
          <cell r="T460" t="str">
            <v>TRANSFER</v>
          </cell>
          <cell r="U460" t="str">
            <v>6109060107640038</v>
          </cell>
          <cell r="V460" t="str">
            <v>LOKAL</v>
          </cell>
        </row>
        <row r="461">
          <cell r="B461" t="str">
            <v>GM-00473</v>
          </cell>
          <cell r="C461" t="str">
            <v>AYEK</v>
          </cell>
          <cell r="D461" t="str">
            <v>Ds. SEPURU</v>
          </cell>
          <cell r="E461">
            <v>43480</v>
          </cell>
          <cell r="F461" t="str">
            <v>P</v>
          </cell>
          <cell r="G461" t="str">
            <v>DUSUN SEPURU</v>
          </cell>
          <cell r="H461">
            <v>24664</v>
          </cell>
          <cell r="I461" t="str">
            <v>53 TAHUN</v>
          </cell>
          <cell r="J461" t="str">
            <v>KRISTEN</v>
          </cell>
          <cell r="K461" t="str">
            <v>NON KONTRAKTOR</v>
          </cell>
          <cell r="L461">
            <v>1</v>
          </cell>
          <cell r="M461" t="str">
            <v>AYEK</v>
          </cell>
          <cell r="N461">
            <v>954802272</v>
          </cell>
          <cell r="O461" t="str">
            <v>BNI</v>
          </cell>
          <cell r="P461" t="str">
            <v>AKTIF</v>
          </cell>
          <cell r="R461" t="str">
            <v>PERAWATAN</v>
          </cell>
          <cell r="S461" t="str">
            <v>BORONGAN</v>
          </cell>
          <cell r="T461" t="str">
            <v>TRANSFER</v>
          </cell>
          <cell r="U461" t="str">
            <v>6109065107670001</v>
          </cell>
          <cell r="V461" t="str">
            <v>LOKAL</v>
          </cell>
        </row>
        <row r="462">
          <cell r="B462" t="str">
            <v>GM-00474</v>
          </cell>
          <cell r="C462" t="str">
            <v>MELATI</v>
          </cell>
          <cell r="E462">
            <v>43480</v>
          </cell>
          <cell r="F462" t="str">
            <v>P</v>
          </cell>
          <cell r="G462" t="str">
            <v>SUNGAI ANTU PULAU</v>
          </cell>
          <cell r="H462">
            <v>31305</v>
          </cell>
          <cell r="I462" t="str">
            <v>35 TAHUN</v>
          </cell>
          <cell r="J462" t="str">
            <v>KRISTEN</v>
          </cell>
          <cell r="K462" t="str">
            <v>NON KONTRAKTOR</v>
          </cell>
          <cell r="L462">
            <v>1</v>
          </cell>
          <cell r="P462" t="str">
            <v>AKTIF</v>
          </cell>
          <cell r="R462" t="str">
            <v>PERAWATAN</v>
          </cell>
          <cell r="S462" t="str">
            <v>BORONGAN</v>
          </cell>
          <cell r="T462" t="str">
            <v>TUNAI</v>
          </cell>
          <cell r="U462" t="str">
            <v>6109065509850002</v>
          </cell>
          <cell r="V462" t="str">
            <v>LOKAL</v>
          </cell>
        </row>
        <row r="463">
          <cell r="B463" t="str">
            <v>GM-00475</v>
          </cell>
          <cell r="C463" t="str">
            <v>SITI ROHANI</v>
          </cell>
          <cell r="E463">
            <v>43480</v>
          </cell>
          <cell r="F463" t="str">
            <v>P</v>
          </cell>
          <cell r="G463" t="str">
            <v>BATUK</v>
          </cell>
          <cell r="H463">
            <v>29895</v>
          </cell>
          <cell r="I463" t="str">
            <v>39 TAHUN</v>
          </cell>
          <cell r="J463" t="str">
            <v>ISLAM</v>
          </cell>
          <cell r="K463" t="str">
            <v>NON KONTRAKTOR</v>
          </cell>
          <cell r="L463">
            <v>1</v>
          </cell>
          <cell r="P463" t="str">
            <v>AKTIF</v>
          </cell>
          <cell r="R463" t="str">
            <v>PERAWATAN</v>
          </cell>
          <cell r="S463" t="str">
            <v>BORONGAN</v>
          </cell>
          <cell r="T463" t="str">
            <v>TUNAI</v>
          </cell>
          <cell r="U463" t="str">
            <v>6109064511810002</v>
          </cell>
          <cell r="V463" t="str">
            <v>LOKAL</v>
          </cell>
        </row>
        <row r="464">
          <cell r="B464" t="str">
            <v>GM-00476</v>
          </cell>
          <cell r="C464" t="str">
            <v>KEDI</v>
          </cell>
          <cell r="E464">
            <v>43475</v>
          </cell>
          <cell r="F464" t="str">
            <v>L</v>
          </cell>
          <cell r="J464" t="str">
            <v>KRISTEN</v>
          </cell>
          <cell r="K464" t="str">
            <v>NON KONTRAKTOR</v>
          </cell>
          <cell r="L464">
            <v>2</v>
          </cell>
          <cell r="P464" t="str">
            <v>AKTIF</v>
          </cell>
          <cell r="R464" t="str">
            <v>PERAWATAN</v>
          </cell>
          <cell r="S464" t="str">
            <v>BORONGAN</v>
          </cell>
          <cell r="T464" t="str">
            <v>TUNAI</v>
          </cell>
          <cell r="V464" t="str">
            <v>LOKAL</v>
          </cell>
        </row>
        <row r="465">
          <cell r="B465" t="str">
            <v>GM-00477</v>
          </cell>
          <cell r="C465" t="str">
            <v>DANG</v>
          </cell>
          <cell r="E465">
            <v>43480</v>
          </cell>
          <cell r="F465" t="str">
            <v>L</v>
          </cell>
          <cell r="J465" t="str">
            <v>KRISTEN</v>
          </cell>
          <cell r="K465" t="str">
            <v>NON KONTRAKTOR</v>
          </cell>
          <cell r="L465">
            <v>2</v>
          </cell>
          <cell r="P465" t="str">
            <v>AKTIF</v>
          </cell>
          <cell r="R465" t="str">
            <v>PERAWATAN</v>
          </cell>
          <cell r="S465" t="str">
            <v>BORONGAN</v>
          </cell>
          <cell r="T465" t="str">
            <v>TUNAI</v>
          </cell>
          <cell r="V465" t="str">
            <v>LOKAL</v>
          </cell>
        </row>
        <row r="466">
          <cell r="B466" t="str">
            <v>GM-00478</v>
          </cell>
          <cell r="C466" t="str">
            <v>NELSON HELMI</v>
          </cell>
          <cell r="E466">
            <v>43497</v>
          </cell>
          <cell r="F466" t="str">
            <v>L</v>
          </cell>
          <cell r="G466" t="str">
            <v>AMOH</v>
          </cell>
          <cell r="H466">
            <v>30312</v>
          </cell>
          <cell r="I466" t="str">
            <v>38 TAHUN</v>
          </cell>
          <cell r="J466" t="str">
            <v>KRISTEN</v>
          </cell>
          <cell r="K466" t="str">
            <v>NON KONTRAKTOR</v>
          </cell>
          <cell r="L466">
            <v>5</v>
          </cell>
          <cell r="P466" t="str">
            <v>AKTIF</v>
          </cell>
          <cell r="R466" t="str">
            <v>PERAWATAN</v>
          </cell>
          <cell r="S466" t="str">
            <v>BORONGAN</v>
          </cell>
          <cell r="T466" t="str">
            <v>TUNAI</v>
          </cell>
          <cell r="U466" t="str">
            <v>6109062712820001</v>
          </cell>
          <cell r="V466" t="str">
            <v>LOKAL</v>
          </cell>
        </row>
        <row r="467">
          <cell r="B467" t="str">
            <v>GM-00479</v>
          </cell>
          <cell r="C467" t="str">
            <v>JELANI YULIUS</v>
          </cell>
          <cell r="E467">
            <v>43497</v>
          </cell>
          <cell r="F467" t="str">
            <v>L</v>
          </cell>
          <cell r="G467" t="str">
            <v>SEI ANTU KEMUNTING</v>
          </cell>
          <cell r="H467">
            <v>32272</v>
          </cell>
          <cell r="I467" t="str">
            <v>32 TAHUN</v>
          </cell>
          <cell r="J467" t="str">
            <v>KATHOLIK</v>
          </cell>
          <cell r="K467" t="str">
            <v>NON KONTRAKTOR</v>
          </cell>
          <cell r="L467">
            <v>5</v>
          </cell>
          <cell r="M467" t="str">
            <v>JELANI YULIUS</v>
          </cell>
          <cell r="N467">
            <v>1106440683</v>
          </cell>
          <cell r="O467" t="str">
            <v>BNI</v>
          </cell>
          <cell r="P467" t="str">
            <v>AKTIF</v>
          </cell>
          <cell r="R467" t="str">
            <v>PANEN</v>
          </cell>
          <cell r="S467" t="str">
            <v>BORONGAN</v>
          </cell>
          <cell r="T467" t="str">
            <v>TRANSFER</v>
          </cell>
          <cell r="U467" t="str">
            <v>6109060905880003</v>
          </cell>
          <cell r="V467" t="str">
            <v>LOKAL</v>
          </cell>
        </row>
        <row r="468">
          <cell r="B468" t="str">
            <v>GM-00480</v>
          </cell>
          <cell r="C468" t="str">
            <v>PURNIA YUNITA</v>
          </cell>
          <cell r="E468">
            <v>43497</v>
          </cell>
          <cell r="F468" t="str">
            <v>P</v>
          </cell>
          <cell r="G468" t="str">
            <v>NGELAI</v>
          </cell>
          <cell r="H468">
            <v>31449</v>
          </cell>
          <cell r="I468" t="str">
            <v>34 TAHUN</v>
          </cell>
          <cell r="J468" t="str">
            <v>KRISTEN</v>
          </cell>
          <cell r="K468" t="str">
            <v>NON KONTRAKTOR</v>
          </cell>
          <cell r="L468">
            <v>5</v>
          </cell>
          <cell r="M468" t="str">
            <v>PURNIA YUNITA</v>
          </cell>
          <cell r="N468">
            <v>908118707</v>
          </cell>
          <cell r="O468" t="str">
            <v>BNI</v>
          </cell>
          <cell r="P468" t="str">
            <v>AKTIF</v>
          </cell>
          <cell r="R468" t="str">
            <v>PERAWATAN</v>
          </cell>
          <cell r="S468" t="str">
            <v>BORONGAN</v>
          </cell>
          <cell r="T468" t="str">
            <v>TRANSFER</v>
          </cell>
          <cell r="U468" t="str">
            <v>6109064602860005</v>
          </cell>
          <cell r="V468" t="str">
            <v>LOKAL</v>
          </cell>
        </row>
        <row r="469">
          <cell r="B469" t="str">
            <v>GM-00481</v>
          </cell>
          <cell r="C469" t="str">
            <v>SELIA</v>
          </cell>
          <cell r="E469">
            <v>43497</v>
          </cell>
          <cell r="F469" t="str">
            <v>L</v>
          </cell>
          <cell r="G469" t="str">
            <v>SADUS</v>
          </cell>
          <cell r="H469">
            <v>30107</v>
          </cell>
          <cell r="I469" t="str">
            <v>38 TAHUN</v>
          </cell>
          <cell r="J469" t="str">
            <v>KRISTEN</v>
          </cell>
          <cell r="K469" t="str">
            <v>NON KONTRAKTOR</v>
          </cell>
          <cell r="L469">
            <v>5</v>
          </cell>
          <cell r="M469" t="str">
            <v>SELIA</v>
          </cell>
          <cell r="N469">
            <v>1135573867</v>
          </cell>
          <cell r="O469" t="str">
            <v>BNI</v>
          </cell>
          <cell r="P469" t="str">
            <v>AKTIF</v>
          </cell>
          <cell r="R469" t="str">
            <v>PERAWATAN</v>
          </cell>
          <cell r="S469" t="str">
            <v>BORONGAN</v>
          </cell>
          <cell r="T469" t="str">
            <v>TRANSFER</v>
          </cell>
          <cell r="U469" t="str">
            <v>6109064506820005</v>
          </cell>
          <cell r="V469" t="str">
            <v>LOKAL</v>
          </cell>
        </row>
        <row r="470">
          <cell r="B470" t="str">
            <v>GM-00482</v>
          </cell>
          <cell r="C470" t="str">
            <v>MARINI</v>
          </cell>
          <cell r="E470">
            <v>43497</v>
          </cell>
          <cell r="F470" t="str">
            <v>P</v>
          </cell>
          <cell r="G470" t="str">
            <v>AMOH</v>
          </cell>
          <cell r="H470">
            <v>29230</v>
          </cell>
          <cell r="I470" t="str">
            <v>41 TAHUN</v>
          </cell>
          <cell r="J470" t="str">
            <v>KRISTEN</v>
          </cell>
          <cell r="K470" t="str">
            <v>NON KONTRAKTOR</v>
          </cell>
          <cell r="L470">
            <v>5</v>
          </cell>
          <cell r="M470" t="str">
            <v>MARINI</v>
          </cell>
          <cell r="N470">
            <v>954802363</v>
          </cell>
          <cell r="O470" t="str">
            <v>BNI</v>
          </cell>
          <cell r="P470" t="str">
            <v>AKTIF</v>
          </cell>
          <cell r="R470" t="str">
            <v>PERAWATAN</v>
          </cell>
          <cell r="S470" t="str">
            <v>BORONGAN</v>
          </cell>
          <cell r="T470" t="str">
            <v>TRANSFER</v>
          </cell>
          <cell r="U470" t="str">
            <v>6109065001800001</v>
          </cell>
          <cell r="V470" t="str">
            <v>LOKAL</v>
          </cell>
        </row>
        <row r="471">
          <cell r="B471" t="str">
            <v>GM-00483</v>
          </cell>
          <cell r="C471" t="str">
            <v>R. NUNI SARI</v>
          </cell>
          <cell r="E471">
            <v>43497</v>
          </cell>
          <cell r="F471" t="str">
            <v>P</v>
          </cell>
          <cell r="G471" t="str">
            <v>AMOH</v>
          </cell>
          <cell r="H471">
            <v>33856</v>
          </cell>
          <cell r="I471" t="str">
            <v>28 TAHUN</v>
          </cell>
          <cell r="J471" t="str">
            <v>KRISTEN</v>
          </cell>
          <cell r="K471" t="str">
            <v>NON KONTRAKTOR</v>
          </cell>
          <cell r="L471">
            <v>5</v>
          </cell>
          <cell r="M471" t="str">
            <v>R.NUNI SARI</v>
          </cell>
          <cell r="N471">
            <v>908304362</v>
          </cell>
          <cell r="O471" t="str">
            <v>BNI</v>
          </cell>
          <cell r="P471" t="str">
            <v>AKTIF</v>
          </cell>
          <cell r="R471" t="str">
            <v>PERAWATAN</v>
          </cell>
          <cell r="S471" t="str">
            <v>BORONGAN</v>
          </cell>
          <cell r="T471" t="str">
            <v>TRANSFER</v>
          </cell>
          <cell r="U471" t="str">
            <v>6109064909920001</v>
          </cell>
          <cell r="V471" t="str">
            <v>LOKAL</v>
          </cell>
        </row>
        <row r="472">
          <cell r="B472" t="str">
            <v>GM-00484</v>
          </cell>
          <cell r="C472" t="str">
            <v>RIAH WATI</v>
          </cell>
          <cell r="E472">
            <v>43497</v>
          </cell>
          <cell r="F472" t="str">
            <v>P</v>
          </cell>
          <cell r="G472" t="str">
            <v>SEI ANTU</v>
          </cell>
          <cell r="H472">
            <v>30657</v>
          </cell>
          <cell r="I472" t="str">
            <v>37 TAHUN</v>
          </cell>
          <cell r="J472" t="str">
            <v>KRISTEN</v>
          </cell>
          <cell r="K472" t="str">
            <v>NON KONTRAKTOR</v>
          </cell>
          <cell r="L472">
            <v>5</v>
          </cell>
          <cell r="M472" t="str">
            <v>RIAH WATI</v>
          </cell>
          <cell r="N472">
            <v>954802341</v>
          </cell>
          <cell r="O472" t="str">
            <v>BNI</v>
          </cell>
          <cell r="P472" t="str">
            <v>AKTIF</v>
          </cell>
          <cell r="R472" t="str">
            <v>PERAWATAN</v>
          </cell>
          <cell r="S472" t="str">
            <v>BORONGAN</v>
          </cell>
          <cell r="T472" t="str">
            <v>TRANSFER</v>
          </cell>
          <cell r="U472" t="str">
            <v>6109064712830001</v>
          </cell>
          <cell r="V472" t="str">
            <v>LOKAL</v>
          </cell>
        </row>
        <row r="473">
          <cell r="B473" t="str">
            <v>GM-00485</v>
          </cell>
          <cell r="C473" t="str">
            <v>LIHA</v>
          </cell>
          <cell r="E473">
            <v>43497</v>
          </cell>
          <cell r="F473" t="str">
            <v>P</v>
          </cell>
          <cell r="G473" t="str">
            <v>AMOH</v>
          </cell>
          <cell r="H473">
            <v>25252</v>
          </cell>
          <cell r="I473" t="str">
            <v>51 TAHUN</v>
          </cell>
          <cell r="J473" t="str">
            <v>KRISTEN</v>
          </cell>
          <cell r="K473" t="str">
            <v>NON KONTRAKTOR</v>
          </cell>
          <cell r="L473">
            <v>5</v>
          </cell>
          <cell r="M473" t="str">
            <v>LIHA</v>
          </cell>
          <cell r="N473">
            <v>954802352</v>
          </cell>
          <cell r="O473" t="str">
            <v>BNI</v>
          </cell>
          <cell r="P473" t="str">
            <v>AKTIF</v>
          </cell>
          <cell r="R473" t="str">
            <v>PERAWATAN</v>
          </cell>
          <cell r="S473" t="str">
            <v>BORONGAN</v>
          </cell>
          <cell r="T473" t="str">
            <v>TRANSFER</v>
          </cell>
          <cell r="U473" t="str">
            <v>6109065802690002</v>
          </cell>
          <cell r="V473" t="str">
            <v>LOKAL</v>
          </cell>
        </row>
        <row r="474">
          <cell r="B474" t="str">
            <v>GM-00486</v>
          </cell>
          <cell r="C474" t="str">
            <v>WASNI</v>
          </cell>
          <cell r="E474">
            <v>43497</v>
          </cell>
          <cell r="F474" t="str">
            <v>P</v>
          </cell>
          <cell r="G474" t="str">
            <v>DANDI</v>
          </cell>
          <cell r="H474">
            <v>32748</v>
          </cell>
          <cell r="I474" t="str">
            <v>31 TAHUN</v>
          </cell>
          <cell r="J474" t="str">
            <v>KRISTEN</v>
          </cell>
          <cell r="K474" t="str">
            <v>NON KONTRAKTOR</v>
          </cell>
          <cell r="L474">
            <v>3</v>
          </cell>
          <cell r="P474" t="str">
            <v>AKTIF</v>
          </cell>
          <cell r="R474" t="str">
            <v>PERAWATAN</v>
          </cell>
          <cell r="S474" t="str">
            <v>BORONGAN</v>
          </cell>
          <cell r="T474" t="str">
            <v>TUNAI</v>
          </cell>
          <cell r="U474" t="str">
            <v>6109066808690007</v>
          </cell>
          <cell r="V474" t="str">
            <v>LOKAL</v>
          </cell>
        </row>
        <row r="475">
          <cell r="B475" t="str">
            <v>GM-00487</v>
          </cell>
          <cell r="C475" t="str">
            <v>JERRY UCOK</v>
          </cell>
          <cell r="E475">
            <v>43497</v>
          </cell>
          <cell r="F475" t="str">
            <v>L</v>
          </cell>
          <cell r="G475" t="str">
            <v>DANDI</v>
          </cell>
          <cell r="H475">
            <v>37407</v>
          </cell>
          <cell r="I475" t="str">
            <v>18 TAHUN</v>
          </cell>
          <cell r="J475" t="str">
            <v>KRISTEN</v>
          </cell>
          <cell r="K475" t="str">
            <v>NON KONTRAKTOR</v>
          </cell>
          <cell r="L475">
            <v>4</v>
          </cell>
          <cell r="P475" t="str">
            <v>AKTIF</v>
          </cell>
          <cell r="R475" t="str">
            <v>PERAWATAN</v>
          </cell>
          <cell r="S475" t="str">
            <v>BORONGAN</v>
          </cell>
          <cell r="T475" t="str">
            <v>TUNAI</v>
          </cell>
          <cell r="U475" t="str">
            <v>6109063110020001</v>
          </cell>
          <cell r="V475" t="str">
            <v>LOKAL</v>
          </cell>
        </row>
        <row r="476">
          <cell r="B476" t="str">
            <v>GM-00488</v>
          </cell>
          <cell r="C476" t="str">
            <v>RITAWATI</v>
          </cell>
          <cell r="E476">
            <v>43497</v>
          </cell>
          <cell r="F476" t="str">
            <v>P</v>
          </cell>
          <cell r="G476" t="str">
            <v>PAKIT MULAU</v>
          </cell>
          <cell r="H476">
            <v>29580</v>
          </cell>
          <cell r="I476" t="str">
            <v>40 TAHUN</v>
          </cell>
          <cell r="J476" t="str">
            <v>KRISTEN</v>
          </cell>
          <cell r="K476" t="str">
            <v>NON KONTRAKTOR</v>
          </cell>
          <cell r="L476">
            <v>3</v>
          </cell>
          <cell r="P476" t="str">
            <v>AKTIF</v>
          </cell>
          <cell r="R476" t="str">
            <v>PERAWATAN</v>
          </cell>
          <cell r="S476" t="str">
            <v>BORONGAN</v>
          </cell>
          <cell r="T476" t="str">
            <v>TUNAI</v>
          </cell>
          <cell r="U476" t="str">
            <v>6109066512800005</v>
          </cell>
          <cell r="V476" t="str">
            <v>LOKAL</v>
          </cell>
        </row>
        <row r="477">
          <cell r="B477" t="str">
            <v>GM-00489</v>
          </cell>
          <cell r="C477" t="str">
            <v>SEMUEL. M</v>
          </cell>
          <cell r="E477">
            <v>43507</v>
          </cell>
          <cell r="F477" t="str">
            <v>L</v>
          </cell>
          <cell r="G477" t="str">
            <v>ENGKUDU</v>
          </cell>
          <cell r="H477">
            <v>20770</v>
          </cell>
          <cell r="I477" t="str">
            <v>64 TAHUN</v>
          </cell>
          <cell r="J477" t="str">
            <v>KRISTEN</v>
          </cell>
          <cell r="K477" t="str">
            <v>NON KONTRAKTOR</v>
          </cell>
          <cell r="L477">
            <v>2</v>
          </cell>
          <cell r="M477" t="str">
            <v>SEMUEL. M</v>
          </cell>
          <cell r="N477">
            <v>847578669</v>
          </cell>
          <cell r="O477" t="str">
            <v>BNI</v>
          </cell>
          <cell r="P477" t="str">
            <v>AKTIF</v>
          </cell>
          <cell r="R477" t="str">
            <v>PANEN</v>
          </cell>
          <cell r="S477" t="str">
            <v>BORONGAN</v>
          </cell>
          <cell r="T477" t="str">
            <v>TRANSFER</v>
          </cell>
          <cell r="U477" t="str">
            <v>6109061111560005</v>
          </cell>
          <cell r="V477" t="str">
            <v>LOKAL</v>
          </cell>
        </row>
        <row r="478">
          <cell r="B478" t="str">
            <v>GM-00490</v>
          </cell>
          <cell r="C478" t="str">
            <v>NONG YAN</v>
          </cell>
          <cell r="E478">
            <v>43507</v>
          </cell>
          <cell r="F478" t="str">
            <v>L</v>
          </cell>
          <cell r="G478" t="str">
            <v>SINGAI JAUNG</v>
          </cell>
          <cell r="H478">
            <v>30681</v>
          </cell>
          <cell r="I478" t="str">
            <v>37 TAHUN</v>
          </cell>
          <cell r="J478" t="str">
            <v>KATHOLIK</v>
          </cell>
          <cell r="K478" t="str">
            <v>NON KONTRAKTOR</v>
          </cell>
          <cell r="L478">
            <v>2</v>
          </cell>
          <cell r="M478" t="str">
            <v>NONG YAN</v>
          </cell>
          <cell r="N478">
            <v>847578658</v>
          </cell>
          <cell r="O478" t="str">
            <v>BNI</v>
          </cell>
          <cell r="P478" t="str">
            <v>AKTIF</v>
          </cell>
          <cell r="R478" t="str">
            <v>PANEN</v>
          </cell>
          <cell r="S478" t="str">
            <v>BORONGAN</v>
          </cell>
          <cell r="T478" t="str">
            <v>TRANSFER</v>
          </cell>
          <cell r="U478" t="str">
            <v>6105033112830002</v>
          </cell>
          <cell r="V478" t="str">
            <v>LOKAL</v>
          </cell>
        </row>
        <row r="479">
          <cell r="B479" t="str">
            <v>GM-00491</v>
          </cell>
          <cell r="C479" t="str">
            <v>MASIYAH</v>
          </cell>
          <cell r="D479" t="str">
            <v>BARAK G10 DIV 1</v>
          </cell>
          <cell r="E479">
            <v>43509</v>
          </cell>
          <cell r="F479" t="str">
            <v>L</v>
          </cell>
          <cell r="G479" t="str">
            <v>AIK MUAL</v>
          </cell>
          <cell r="H479">
            <v>36402</v>
          </cell>
          <cell r="I479" t="str">
            <v>21 TAHUN</v>
          </cell>
          <cell r="J479" t="str">
            <v>ISLAM</v>
          </cell>
          <cell r="K479" t="str">
            <v>NON AKTIF</v>
          </cell>
          <cell r="L479">
            <v>1</v>
          </cell>
          <cell r="P479" t="str">
            <v>NON AKTIF</v>
          </cell>
          <cell r="Q479">
            <v>43687</v>
          </cell>
          <cell r="R479" t="str">
            <v>PANEN</v>
          </cell>
          <cell r="S479" t="str">
            <v>BORONGAN</v>
          </cell>
          <cell r="T479" t="str">
            <v>TUNAI</v>
          </cell>
          <cell r="U479" t="str">
            <v>5201073008990001</v>
          </cell>
          <cell r="V479" t="str">
            <v>AKAD</v>
          </cell>
        </row>
        <row r="480">
          <cell r="B480" t="str">
            <v>GM-00492</v>
          </cell>
          <cell r="C480" t="str">
            <v>NURSAIL</v>
          </cell>
          <cell r="D480" t="str">
            <v>BARAK G10 DIV 1</v>
          </cell>
          <cell r="E480">
            <v>43509</v>
          </cell>
          <cell r="F480" t="str">
            <v>L</v>
          </cell>
          <cell r="G480" t="str">
            <v>LEBAH</v>
          </cell>
          <cell r="H480">
            <v>26664</v>
          </cell>
          <cell r="I480" t="str">
            <v>48 TAHUN</v>
          </cell>
          <cell r="J480" t="str">
            <v>ISLAM</v>
          </cell>
          <cell r="K480" t="str">
            <v>NURSAIL</v>
          </cell>
          <cell r="L480">
            <v>1</v>
          </cell>
          <cell r="P480" t="str">
            <v>AKTIF</v>
          </cell>
          <cell r="R480" t="str">
            <v>PANEN</v>
          </cell>
          <cell r="S480" t="str">
            <v>BORONGAN</v>
          </cell>
          <cell r="T480" t="str">
            <v>TUNAI</v>
          </cell>
          <cell r="U480" t="str">
            <v>5202073112720203</v>
          </cell>
          <cell r="V480" t="str">
            <v>AKAD</v>
          </cell>
        </row>
        <row r="481">
          <cell r="B481" t="str">
            <v>GM-00493</v>
          </cell>
          <cell r="C481" t="str">
            <v>SAINAH</v>
          </cell>
          <cell r="D481" t="str">
            <v>BARAK G10 DIV 1</v>
          </cell>
          <cell r="E481">
            <v>43509</v>
          </cell>
          <cell r="F481" t="str">
            <v>P</v>
          </cell>
          <cell r="G481" t="str">
            <v>SAUH</v>
          </cell>
          <cell r="H481">
            <v>32873</v>
          </cell>
          <cell r="I481" t="str">
            <v>31 TAHUN</v>
          </cell>
          <cell r="J481" t="str">
            <v>ISLAM</v>
          </cell>
          <cell r="K481" t="str">
            <v>NON AKTIF</v>
          </cell>
          <cell r="L481">
            <v>1</v>
          </cell>
          <cell r="M481" t="str">
            <v>SAINAH</v>
          </cell>
          <cell r="N481">
            <v>897169556</v>
          </cell>
          <cell r="O481" t="str">
            <v>BNI</v>
          </cell>
          <cell r="P481" t="str">
            <v>NON AKTIF</v>
          </cell>
          <cell r="R481" t="str">
            <v>PANEN</v>
          </cell>
          <cell r="S481" t="str">
            <v>BORONGAN</v>
          </cell>
          <cell r="T481" t="str">
            <v>TRANSFER</v>
          </cell>
          <cell r="U481" t="str">
            <v>5201077112890336</v>
          </cell>
          <cell r="V481" t="str">
            <v>AKAD</v>
          </cell>
        </row>
        <row r="482">
          <cell r="B482" t="str">
            <v>GM-00494</v>
          </cell>
          <cell r="C482" t="str">
            <v>MUHADI</v>
          </cell>
          <cell r="D482" t="str">
            <v>BARAK G10 DIV 1</v>
          </cell>
          <cell r="E482">
            <v>43871</v>
          </cell>
          <cell r="F482" t="str">
            <v>L</v>
          </cell>
          <cell r="G482" t="str">
            <v>SEMPAKOK</v>
          </cell>
          <cell r="H482">
            <v>28855</v>
          </cell>
          <cell r="I482" t="str">
            <v>42 TAHUN</v>
          </cell>
          <cell r="J482" t="str">
            <v>ISLAM</v>
          </cell>
          <cell r="K482" t="str">
            <v>NURSAIL</v>
          </cell>
          <cell r="L482">
            <v>1</v>
          </cell>
          <cell r="M482" t="str">
            <v>MUHADI</v>
          </cell>
          <cell r="N482">
            <v>1132022619</v>
          </cell>
          <cell r="O482" t="str">
            <v>BNI</v>
          </cell>
          <cell r="P482" t="str">
            <v>AKTIF</v>
          </cell>
          <cell r="R482" t="str">
            <v>PANEN</v>
          </cell>
          <cell r="S482" t="str">
            <v>BORONGAN</v>
          </cell>
          <cell r="T482" t="str">
            <v>TRANSFER</v>
          </cell>
          <cell r="U482" t="str">
            <v>5208033112780027</v>
          </cell>
          <cell r="V482" t="str">
            <v>AKAD</v>
          </cell>
        </row>
        <row r="483">
          <cell r="B483" t="str">
            <v>GM-00495</v>
          </cell>
          <cell r="C483" t="str">
            <v>SEPINAH</v>
          </cell>
          <cell r="D483" t="str">
            <v>BARAK G10 DIV 1</v>
          </cell>
          <cell r="E483">
            <v>43509</v>
          </cell>
          <cell r="F483" t="str">
            <v>L</v>
          </cell>
          <cell r="G483" t="str">
            <v>AIK MUAL</v>
          </cell>
          <cell r="H483">
            <v>31346</v>
          </cell>
          <cell r="I483" t="str">
            <v>35 TAHUN</v>
          </cell>
          <cell r="J483" t="str">
            <v>ISLAM</v>
          </cell>
          <cell r="K483" t="str">
            <v>NURSAIL</v>
          </cell>
          <cell r="L483">
            <v>1</v>
          </cell>
          <cell r="M483" t="str">
            <v>SEPINAH</v>
          </cell>
          <cell r="N483">
            <v>897302793</v>
          </cell>
          <cell r="O483" t="str">
            <v>BNI</v>
          </cell>
          <cell r="P483" t="str">
            <v>AKTIF</v>
          </cell>
          <cell r="R483" t="str">
            <v>PANEN</v>
          </cell>
          <cell r="S483" t="str">
            <v>BORONGAN</v>
          </cell>
          <cell r="T483" t="str">
            <v>TRANSFER</v>
          </cell>
          <cell r="U483" t="str">
            <v>5201072610850001</v>
          </cell>
          <cell r="V483" t="str">
            <v>AKAD</v>
          </cell>
        </row>
        <row r="484">
          <cell r="B484" t="str">
            <v>GM-00496</v>
          </cell>
          <cell r="C484" t="str">
            <v>IDHAM KHALIK</v>
          </cell>
          <cell r="D484" t="str">
            <v>BARAK G10 DIV 1</v>
          </cell>
          <cell r="E484">
            <v>43509</v>
          </cell>
          <cell r="F484" t="str">
            <v>L</v>
          </cell>
          <cell r="H484">
            <v>30316</v>
          </cell>
          <cell r="I484" t="str">
            <v>38 TAHUN</v>
          </cell>
          <cell r="J484" t="str">
            <v>ISLAM</v>
          </cell>
          <cell r="K484" t="str">
            <v>NON AKTIF</v>
          </cell>
          <cell r="L484">
            <v>2</v>
          </cell>
          <cell r="P484" t="str">
            <v>NON AKTIF</v>
          </cell>
          <cell r="Q484">
            <v>43759</v>
          </cell>
          <cell r="R484" t="str">
            <v>PANEN</v>
          </cell>
          <cell r="S484" t="str">
            <v>BORONGAN</v>
          </cell>
          <cell r="T484" t="str">
            <v>TUNAI</v>
          </cell>
          <cell r="U484" t="str">
            <v>61120833112820006</v>
          </cell>
          <cell r="V484" t="str">
            <v>AKAD</v>
          </cell>
        </row>
        <row r="485">
          <cell r="B485" t="str">
            <v>GM-00497</v>
          </cell>
          <cell r="C485" t="str">
            <v>SUGITO</v>
          </cell>
          <cell r="E485">
            <v>43509</v>
          </cell>
          <cell r="F485" t="str">
            <v>L</v>
          </cell>
          <cell r="I485" t="str">
            <v>121 TAHUN</v>
          </cell>
          <cell r="J485" t="str">
            <v>ISLAM</v>
          </cell>
          <cell r="K485" t="str">
            <v>NON KONTRAKTOR</v>
          </cell>
          <cell r="L485">
            <v>1</v>
          </cell>
          <cell r="P485" t="str">
            <v>AKTIF</v>
          </cell>
          <cell r="R485" t="str">
            <v>PANEN</v>
          </cell>
          <cell r="S485" t="str">
            <v>BORONGAN</v>
          </cell>
          <cell r="T485" t="str">
            <v>TUNAI</v>
          </cell>
          <cell r="V485" t="str">
            <v>AKAD</v>
          </cell>
        </row>
        <row r="486">
          <cell r="B486" t="str">
            <v>GM-00498</v>
          </cell>
          <cell r="C486" t="str">
            <v>NIKO DIMOS</v>
          </cell>
          <cell r="E486">
            <v>43523</v>
          </cell>
          <cell r="F486" t="str">
            <v>L</v>
          </cell>
          <cell r="G486" t="str">
            <v>SENA</v>
          </cell>
          <cell r="H486">
            <v>36954</v>
          </cell>
          <cell r="I486" t="str">
            <v>19 TAHUN</v>
          </cell>
          <cell r="J486" t="str">
            <v>KRISTEN</v>
          </cell>
          <cell r="K486" t="str">
            <v>NON KONTRAKTOR</v>
          </cell>
          <cell r="L486">
            <v>2</v>
          </cell>
          <cell r="P486" t="str">
            <v>AKTIF</v>
          </cell>
          <cell r="R486" t="str">
            <v>PERAWATAN</v>
          </cell>
          <cell r="S486" t="str">
            <v>BORONGAN</v>
          </cell>
          <cell r="T486" t="str">
            <v>TUNAI</v>
          </cell>
          <cell r="U486" t="str">
            <v>6109060409010002</v>
          </cell>
          <cell r="V486" t="str">
            <v>LOKAL</v>
          </cell>
        </row>
        <row r="487">
          <cell r="B487" t="str">
            <v>GM-00499</v>
          </cell>
          <cell r="C487" t="str">
            <v>AMAN SANI</v>
          </cell>
          <cell r="E487">
            <v>43530</v>
          </cell>
          <cell r="F487" t="str">
            <v>L</v>
          </cell>
          <cell r="G487" t="str">
            <v>RANSA</v>
          </cell>
          <cell r="H487">
            <v>35154</v>
          </cell>
          <cell r="I487" t="str">
            <v>24 TAHUN</v>
          </cell>
          <cell r="J487" t="str">
            <v>KRISTEN</v>
          </cell>
          <cell r="K487" t="str">
            <v>NON KONTRAKTOR</v>
          </cell>
          <cell r="L487">
            <v>2</v>
          </cell>
          <cell r="P487" t="str">
            <v>AKTIF</v>
          </cell>
          <cell r="R487" t="str">
            <v>PERAWATAN</v>
          </cell>
          <cell r="S487" t="str">
            <v>BORONGAN</v>
          </cell>
          <cell r="T487" t="str">
            <v>TUNAI</v>
          </cell>
          <cell r="U487" t="str">
            <v>6109063003960001</v>
          </cell>
          <cell r="V487" t="str">
            <v>LOKAL</v>
          </cell>
        </row>
        <row r="488">
          <cell r="B488" t="str">
            <v>GM-00500</v>
          </cell>
          <cell r="C488" t="str">
            <v>SALWIN SIMAN</v>
          </cell>
          <cell r="E488">
            <v>43517</v>
          </cell>
          <cell r="F488" t="str">
            <v>L</v>
          </cell>
          <cell r="G488" t="str">
            <v>SEPAUH</v>
          </cell>
          <cell r="H488">
            <v>29537</v>
          </cell>
          <cell r="I488" t="str">
            <v>40 TAHUN</v>
          </cell>
          <cell r="J488" t="str">
            <v>KRISTEN</v>
          </cell>
          <cell r="K488" t="str">
            <v>NON KONTRAKTOR</v>
          </cell>
          <cell r="L488">
            <v>5</v>
          </cell>
          <cell r="P488" t="str">
            <v>AKTIF</v>
          </cell>
          <cell r="R488" t="str">
            <v>PANEN</v>
          </cell>
          <cell r="S488" t="str">
            <v>BORONGAN</v>
          </cell>
          <cell r="T488" t="str">
            <v>TUNAI</v>
          </cell>
          <cell r="U488" t="str">
            <v>6109061211800001</v>
          </cell>
          <cell r="V488" t="str">
            <v>LOKAL</v>
          </cell>
        </row>
        <row r="489">
          <cell r="B489" t="str">
            <v>GM-00501</v>
          </cell>
          <cell r="C489" t="str">
            <v>MANILA</v>
          </cell>
          <cell r="E489">
            <v>43532</v>
          </cell>
          <cell r="F489" t="str">
            <v>P</v>
          </cell>
          <cell r="G489" t="str">
            <v>SUNGAI ANTU RANGAH</v>
          </cell>
          <cell r="H489">
            <v>43761</v>
          </cell>
          <cell r="I489" t="str">
            <v>1 TAHUN</v>
          </cell>
          <cell r="J489" t="str">
            <v>KRISTEN</v>
          </cell>
          <cell r="K489" t="str">
            <v>NON KONTRAKTOR</v>
          </cell>
          <cell r="L489">
            <v>2</v>
          </cell>
          <cell r="P489" t="str">
            <v>AKTIF</v>
          </cell>
          <cell r="R489" t="str">
            <v>PERAWATAN</v>
          </cell>
          <cell r="S489" t="str">
            <v>BORONGAN</v>
          </cell>
          <cell r="T489" t="str">
            <v>TUNAI</v>
          </cell>
          <cell r="V489" t="str">
            <v>LOKAL</v>
          </cell>
        </row>
        <row r="490">
          <cell r="B490" t="str">
            <v>GM-00502</v>
          </cell>
          <cell r="C490" t="str">
            <v>DONATUS</v>
          </cell>
          <cell r="E490">
            <v>43517</v>
          </cell>
          <cell r="F490" t="str">
            <v>L</v>
          </cell>
          <cell r="G490" t="str">
            <v>TERDUK DAMPAK</v>
          </cell>
          <cell r="H490">
            <v>28399</v>
          </cell>
          <cell r="I490" t="str">
            <v>43 TAHUN</v>
          </cell>
          <cell r="J490" t="str">
            <v>KRISTEN</v>
          </cell>
          <cell r="K490" t="str">
            <v>NON KONTRAKTOR</v>
          </cell>
          <cell r="L490">
            <v>5</v>
          </cell>
          <cell r="P490" t="str">
            <v>AKTIF</v>
          </cell>
          <cell r="R490" t="str">
            <v>PANEN</v>
          </cell>
          <cell r="S490" t="str">
            <v>BORONGAN</v>
          </cell>
          <cell r="T490" t="str">
            <v>TUNAI</v>
          </cell>
          <cell r="U490" t="str">
            <v>6109060110770002</v>
          </cell>
          <cell r="V490" t="str">
            <v>LOKAL</v>
          </cell>
        </row>
        <row r="491">
          <cell r="B491" t="str">
            <v>GM-00503</v>
          </cell>
          <cell r="C491" t="str">
            <v>DEDI CANDRA</v>
          </cell>
          <cell r="E491">
            <v>43517</v>
          </cell>
          <cell r="F491" t="str">
            <v>L</v>
          </cell>
          <cell r="G491" t="str">
            <v>DANDI</v>
          </cell>
          <cell r="H491">
            <v>37568</v>
          </cell>
          <cell r="I491" t="str">
            <v>18 TAHUN</v>
          </cell>
          <cell r="J491" t="str">
            <v>KRISTEN</v>
          </cell>
          <cell r="K491" t="str">
            <v>NON KONTRAKTOR</v>
          </cell>
          <cell r="L491">
            <v>5</v>
          </cell>
          <cell r="P491" t="str">
            <v>AKTIF</v>
          </cell>
          <cell r="R491" t="str">
            <v>PANEN</v>
          </cell>
          <cell r="S491" t="str">
            <v>BORONGAN</v>
          </cell>
          <cell r="T491" t="str">
            <v>TUNAI</v>
          </cell>
          <cell r="U491" t="str">
            <v>6109060811020001</v>
          </cell>
          <cell r="V491" t="str">
            <v>LOKAL</v>
          </cell>
        </row>
        <row r="492">
          <cell r="B492" t="str">
            <v>GM-00504</v>
          </cell>
          <cell r="C492" t="str">
            <v>KARDI</v>
          </cell>
          <cell r="E492">
            <v>43538</v>
          </cell>
          <cell r="F492" t="str">
            <v>L</v>
          </cell>
          <cell r="G492" t="str">
            <v>SUNGAI BUAYA</v>
          </cell>
          <cell r="H492">
            <v>36047</v>
          </cell>
          <cell r="I492" t="str">
            <v>22 TAHUN</v>
          </cell>
          <cell r="J492" t="str">
            <v>KRISTEN</v>
          </cell>
          <cell r="K492" t="str">
            <v>NON KONTRAKTOR</v>
          </cell>
          <cell r="L492">
            <v>2</v>
          </cell>
          <cell r="P492" t="str">
            <v>AKTIF</v>
          </cell>
          <cell r="R492" t="str">
            <v>PERAWATAN</v>
          </cell>
          <cell r="S492" t="str">
            <v>BORONGAN</v>
          </cell>
          <cell r="T492" t="str">
            <v>TUNAI</v>
          </cell>
          <cell r="U492" t="str">
            <v>6105050909980002</v>
          </cell>
          <cell r="V492" t="str">
            <v>LOKAL</v>
          </cell>
        </row>
        <row r="493">
          <cell r="B493" t="str">
            <v>GM-00505</v>
          </cell>
          <cell r="C493" t="str">
            <v>IROT</v>
          </cell>
          <cell r="E493">
            <v>43538</v>
          </cell>
          <cell r="F493" t="str">
            <v>L</v>
          </cell>
          <cell r="G493" t="str">
            <v>RANSA</v>
          </cell>
          <cell r="H493">
            <v>30728</v>
          </cell>
          <cell r="I493" t="str">
            <v>36 TAHUN</v>
          </cell>
          <cell r="J493" t="str">
            <v>KRISTEN</v>
          </cell>
          <cell r="K493" t="str">
            <v>NON KONTRAKTOR</v>
          </cell>
          <cell r="L493">
            <v>2</v>
          </cell>
          <cell r="P493" t="str">
            <v>AKTIF</v>
          </cell>
          <cell r="R493" t="str">
            <v>PERAWATAN</v>
          </cell>
          <cell r="S493" t="str">
            <v>BORONGAN</v>
          </cell>
          <cell r="T493" t="str">
            <v>TUNAI</v>
          </cell>
          <cell r="U493" t="str">
            <v>6109061602840001</v>
          </cell>
          <cell r="V493" t="str">
            <v>LOKAL</v>
          </cell>
        </row>
        <row r="494">
          <cell r="B494" t="str">
            <v>GM-00506</v>
          </cell>
          <cell r="C494" t="str">
            <v>RENDI HENDRIKSON</v>
          </cell>
          <cell r="E494">
            <v>43538</v>
          </cell>
          <cell r="F494" t="str">
            <v>L</v>
          </cell>
          <cell r="G494" t="str">
            <v>DANDI</v>
          </cell>
          <cell r="H494">
            <v>36537</v>
          </cell>
          <cell r="I494" t="str">
            <v>21 TAHUN</v>
          </cell>
          <cell r="J494" t="str">
            <v>KRISTEN</v>
          </cell>
          <cell r="K494" t="str">
            <v>NON KONTRAKTOR</v>
          </cell>
          <cell r="L494">
            <v>4</v>
          </cell>
          <cell r="M494" t="str">
            <v>RENDI HENDREKSON</v>
          </cell>
          <cell r="N494">
            <v>1157762804</v>
          </cell>
          <cell r="O494" t="str">
            <v>BNI</v>
          </cell>
          <cell r="P494" t="str">
            <v>AKTIF</v>
          </cell>
          <cell r="R494" t="str">
            <v>PERAWATAN</v>
          </cell>
          <cell r="S494" t="str">
            <v>BORONGAN</v>
          </cell>
          <cell r="T494" t="str">
            <v>TRANSFER</v>
          </cell>
          <cell r="U494" t="str">
            <v>6109061201000005</v>
          </cell>
          <cell r="V494" t="str">
            <v>LOKAL</v>
          </cell>
        </row>
        <row r="495">
          <cell r="B495" t="str">
            <v>GM-00507</v>
          </cell>
          <cell r="C495" t="str">
            <v>ANCU MAMAN</v>
          </cell>
          <cell r="D495" t="str">
            <v>BARAK G10 DIV 2</v>
          </cell>
          <cell r="E495">
            <v>43861</v>
          </cell>
          <cell r="F495" t="str">
            <v>L</v>
          </cell>
          <cell r="G495" t="str">
            <v>BULUKUMBA</v>
          </cell>
          <cell r="H495">
            <v>32509</v>
          </cell>
          <cell r="I495" t="str">
            <v>32 TAHUN</v>
          </cell>
          <cell r="J495" t="str">
            <v>ISLAM</v>
          </cell>
          <cell r="K495" t="str">
            <v>NURSAIL</v>
          </cell>
          <cell r="L495">
            <v>2</v>
          </cell>
          <cell r="P495" t="str">
            <v>AKTIF</v>
          </cell>
          <cell r="R495" t="str">
            <v>PANEN</v>
          </cell>
          <cell r="S495" t="str">
            <v>BORONGAN</v>
          </cell>
          <cell r="T495" t="str">
            <v>TUNAI</v>
          </cell>
          <cell r="U495" t="str">
            <v>7302020101890009</v>
          </cell>
          <cell r="V495" t="str">
            <v>AKAD</v>
          </cell>
        </row>
        <row r="496">
          <cell r="B496" t="str">
            <v>GM-00508</v>
          </cell>
          <cell r="C496" t="str">
            <v>AHMAD RIJAL</v>
          </cell>
          <cell r="E496">
            <v>43545</v>
          </cell>
          <cell r="F496" t="str">
            <v>L</v>
          </cell>
          <cell r="G496" t="str">
            <v>PONTIANAK</v>
          </cell>
          <cell r="H496">
            <v>29934</v>
          </cell>
          <cell r="I496" t="str">
            <v>39 TAHUN</v>
          </cell>
          <cell r="J496" t="str">
            <v>ISLAM</v>
          </cell>
          <cell r="K496" t="str">
            <v>NON KONTRAKTOR</v>
          </cell>
          <cell r="L496">
            <v>3</v>
          </cell>
          <cell r="P496" t="str">
            <v>AKTIF</v>
          </cell>
          <cell r="R496" t="str">
            <v>PERAWATAN</v>
          </cell>
          <cell r="S496" t="str">
            <v>BORONGAN</v>
          </cell>
          <cell r="T496" t="str">
            <v>TUNAI</v>
          </cell>
          <cell r="U496" t="str">
            <v>6109061412810004</v>
          </cell>
          <cell r="V496" t="str">
            <v>LOKAL</v>
          </cell>
        </row>
        <row r="497">
          <cell r="B497" t="str">
            <v>GM-00509</v>
          </cell>
          <cell r="C497" t="str">
            <v>SURIANTI</v>
          </cell>
          <cell r="E497">
            <v>43545</v>
          </cell>
          <cell r="F497" t="str">
            <v>P</v>
          </cell>
          <cell r="G497" t="str">
            <v>BULUKUMBA</v>
          </cell>
          <cell r="H497">
            <v>25933</v>
          </cell>
          <cell r="I497" t="str">
            <v>50 TAHUN</v>
          </cell>
          <cell r="J497" t="str">
            <v>ISLAM</v>
          </cell>
          <cell r="K497" t="str">
            <v>NURSAIL</v>
          </cell>
          <cell r="L497">
            <v>3</v>
          </cell>
          <cell r="M497" t="str">
            <v>SURIANTI</v>
          </cell>
          <cell r="N497">
            <v>912301220</v>
          </cell>
          <cell r="O497" t="str">
            <v>BNI</v>
          </cell>
          <cell r="P497" t="str">
            <v>AKTIF</v>
          </cell>
          <cell r="R497" t="str">
            <v>PERAWATAN</v>
          </cell>
          <cell r="S497" t="str">
            <v>BORONGAN</v>
          </cell>
          <cell r="T497" t="str">
            <v>TRANSFER</v>
          </cell>
          <cell r="U497" t="str">
            <v>7302047112700135</v>
          </cell>
          <cell r="V497" t="str">
            <v>AKAD</v>
          </cell>
        </row>
        <row r="498">
          <cell r="B498" t="str">
            <v>GM-00510</v>
          </cell>
          <cell r="C498" t="str">
            <v>BASRI</v>
          </cell>
          <cell r="E498">
            <v>43545</v>
          </cell>
          <cell r="F498" t="str">
            <v>L</v>
          </cell>
          <cell r="G498" t="str">
            <v>BULUKUMBA</v>
          </cell>
          <cell r="H498">
            <v>25203</v>
          </cell>
          <cell r="I498" t="str">
            <v>52 TAHUN</v>
          </cell>
          <cell r="J498" t="str">
            <v>ISLAM</v>
          </cell>
          <cell r="K498" t="str">
            <v>NURSAIL</v>
          </cell>
          <cell r="L498">
            <v>3</v>
          </cell>
          <cell r="M498" t="str">
            <v>BASRI</v>
          </cell>
          <cell r="N498">
            <v>912301219</v>
          </cell>
          <cell r="O498" t="str">
            <v>BNI</v>
          </cell>
          <cell r="P498" t="str">
            <v>AKTIF</v>
          </cell>
          <cell r="R498" t="str">
            <v>PANEN</v>
          </cell>
          <cell r="S498" t="str">
            <v>BORONGAN</v>
          </cell>
          <cell r="T498" t="str">
            <v>TRANSFER</v>
          </cell>
          <cell r="U498" t="str">
            <v>7302043112680078</v>
          </cell>
          <cell r="V498" t="str">
            <v>AKAD</v>
          </cell>
        </row>
        <row r="499">
          <cell r="B499" t="str">
            <v>GM-00511</v>
          </cell>
          <cell r="C499" t="str">
            <v>HELPAN</v>
          </cell>
          <cell r="E499">
            <v>43545</v>
          </cell>
          <cell r="F499" t="str">
            <v>L</v>
          </cell>
          <cell r="G499" t="str">
            <v>JUNAK</v>
          </cell>
          <cell r="H499">
            <v>35064</v>
          </cell>
          <cell r="I499" t="str">
            <v>25 TAHUN</v>
          </cell>
          <cell r="J499" t="str">
            <v>KRISTEN</v>
          </cell>
          <cell r="K499" t="str">
            <v>NON KONTRAKTOR</v>
          </cell>
          <cell r="L499">
            <v>1</v>
          </cell>
          <cell r="M499" t="str">
            <v>HELPAN</v>
          </cell>
          <cell r="N499">
            <v>844000410</v>
          </cell>
          <cell r="O499" t="str">
            <v>BNI</v>
          </cell>
          <cell r="P499" t="str">
            <v>AKTIF</v>
          </cell>
          <cell r="R499" t="str">
            <v>PANEN</v>
          </cell>
          <cell r="S499" t="str">
            <v>BORONGAN</v>
          </cell>
          <cell r="T499" t="str">
            <v>TRANSFER</v>
          </cell>
          <cell r="U499" t="str">
            <v>6109063112950005</v>
          </cell>
          <cell r="V499" t="str">
            <v>LOKAL</v>
          </cell>
        </row>
        <row r="500">
          <cell r="B500" t="str">
            <v>GM-00512</v>
          </cell>
          <cell r="C500" t="str">
            <v>JON KENEDI</v>
          </cell>
          <cell r="E500">
            <v>43545</v>
          </cell>
          <cell r="F500" t="str">
            <v>L</v>
          </cell>
          <cell r="G500" t="str">
            <v>RANSA</v>
          </cell>
          <cell r="H500">
            <v>34414</v>
          </cell>
          <cell r="I500" t="str">
            <v>26 TAHUN</v>
          </cell>
          <cell r="J500" t="str">
            <v>KRISTEN</v>
          </cell>
          <cell r="K500" t="str">
            <v>NON KONTRAKTOR</v>
          </cell>
          <cell r="L500">
            <v>2</v>
          </cell>
          <cell r="P500" t="str">
            <v>AKTIF</v>
          </cell>
          <cell r="R500" t="str">
            <v>PERAWATAN</v>
          </cell>
          <cell r="S500" t="str">
            <v>BORONGAN</v>
          </cell>
          <cell r="T500" t="str">
            <v>TUNAI</v>
          </cell>
          <cell r="U500" t="str">
            <v>6109062103940002</v>
          </cell>
          <cell r="V500" t="str">
            <v>LOKAL</v>
          </cell>
        </row>
        <row r="501">
          <cell r="B501" t="str">
            <v>GM-00513</v>
          </cell>
          <cell r="C501" t="str">
            <v>LINDA</v>
          </cell>
          <cell r="E501">
            <v>43545</v>
          </cell>
          <cell r="F501" t="str">
            <v>P</v>
          </cell>
          <cell r="G501" t="str">
            <v>SEI ANTU HULU</v>
          </cell>
          <cell r="H501">
            <v>33164</v>
          </cell>
          <cell r="I501" t="str">
            <v>30 TAHUN</v>
          </cell>
          <cell r="J501" t="str">
            <v>KRISTEN</v>
          </cell>
          <cell r="K501" t="str">
            <v>NON KONTRAKTOR</v>
          </cell>
          <cell r="L501">
            <v>2</v>
          </cell>
          <cell r="P501" t="str">
            <v>AKTIF</v>
          </cell>
          <cell r="R501" t="str">
            <v>PERAWATAN</v>
          </cell>
          <cell r="S501" t="str">
            <v>BORONGAN</v>
          </cell>
          <cell r="T501" t="str">
            <v>TUNAI</v>
          </cell>
          <cell r="U501" t="str">
            <v>610906580900001</v>
          </cell>
          <cell r="V501" t="str">
            <v>LOKAL</v>
          </cell>
        </row>
        <row r="502">
          <cell r="B502" t="str">
            <v>GM-00514</v>
          </cell>
          <cell r="C502" t="str">
            <v>M. YUNUS</v>
          </cell>
          <cell r="D502" t="str">
            <v>BARAK G10 DIV 1</v>
          </cell>
          <cell r="E502">
            <v>43547</v>
          </cell>
          <cell r="F502" t="str">
            <v>L</v>
          </cell>
          <cell r="G502" t="str">
            <v>TUNTEL</v>
          </cell>
          <cell r="H502">
            <v>22646</v>
          </cell>
          <cell r="I502" t="str">
            <v>59 TAHUN</v>
          </cell>
          <cell r="J502" t="str">
            <v>ISLAM</v>
          </cell>
          <cell r="K502" t="str">
            <v>NURSAIL</v>
          </cell>
          <cell r="L502">
            <v>3</v>
          </cell>
          <cell r="P502" t="str">
            <v>AKTIF</v>
          </cell>
          <cell r="R502" t="str">
            <v>PANEN</v>
          </cell>
          <cell r="S502" t="str">
            <v>BORONGAN</v>
          </cell>
          <cell r="T502" t="str">
            <v>TUNAI</v>
          </cell>
          <cell r="U502" t="str">
            <v>5203053112810240</v>
          </cell>
          <cell r="V502" t="str">
            <v>AKAD</v>
          </cell>
        </row>
        <row r="503">
          <cell r="B503" t="str">
            <v>GM-00515</v>
          </cell>
          <cell r="C503" t="str">
            <v>WARDI</v>
          </cell>
          <cell r="E503">
            <v>43547</v>
          </cell>
          <cell r="F503" t="str">
            <v>L</v>
          </cell>
          <cell r="G503" t="str">
            <v>TUNTEL</v>
          </cell>
          <cell r="H503">
            <v>26344</v>
          </cell>
          <cell r="I503" t="str">
            <v>48 TAHUN</v>
          </cell>
          <cell r="J503" t="str">
            <v>ISLAM</v>
          </cell>
          <cell r="K503" t="str">
            <v>NON AKTIF</v>
          </cell>
          <cell r="L503">
            <v>3</v>
          </cell>
          <cell r="P503" t="str">
            <v>NON AKTIF</v>
          </cell>
          <cell r="Q503">
            <v>43682</v>
          </cell>
          <cell r="R503" t="str">
            <v>PERAWATAN</v>
          </cell>
          <cell r="S503" t="str">
            <v>BORONGAN</v>
          </cell>
          <cell r="T503" t="str">
            <v>TUNAI</v>
          </cell>
          <cell r="U503" t="str">
            <v>5203051502780002</v>
          </cell>
          <cell r="V503" t="str">
            <v>AKAD</v>
          </cell>
        </row>
        <row r="504">
          <cell r="B504" t="str">
            <v>GM-00516</v>
          </cell>
          <cell r="C504" t="str">
            <v>AJAT SUDRAJAT</v>
          </cell>
          <cell r="E504">
            <v>43547</v>
          </cell>
          <cell r="F504" t="str">
            <v>L</v>
          </cell>
          <cell r="G504" t="str">
            <v>TAOK</v>
          </cell>
          <cell r="H504">
            <v>35032</v>
          </cell>
          <cell r="I504" t="str">
            <v>25 TAHUN</v>
          </cell>
          <cell r="J504" t="str">
            <v>ISLAM</v>
          </cell>
          <cell r="K504" t="str">
            <v>NON AKTIF</v>
          </cell>
          <cell r="L504">
            <v>4</v>
          </cell>
          <cell r="P504" t="str">
            <v>NON AKTIF</v>
          </cell>
          <cell r="Q504">
            <v>43595</v>
          </cell>
          <cell r="R504" t="str">
            <v>PERAWATAN</v>
          </cell>
          <cell r="S504" t="str">
            <v>BORONGAN</v>
          </cell>
          <cell r="T504" t="str">
            <v>TUNAI</v>
          </cell>
          <cell r="U504" t="str">
            <v>6110102911950001</v>
          </cell>
          <cell r="V504" t="str">
            <v>AKAD</v>
          </cell>
        </row>
        <row r="505">
          <cell r="B505" t="str">
            <v>GM-00517</v>
          </cell>
          <cell r="C505" t="str">
            <v>YANAK</v>
          </cell>
          <cell r="E505">
            <v>43547</v>
          </cell>
          <cell r="F505" t="str">
            <v>L</v>
          </cell>
          <cell r="G505" t="str">
            <v>PEREMBANG</v>
          </cell>
          <cell r="H505">
            <v>34791</v>
          </cell>
          <cell r="I505" t="str">
            <v>25 TAHUN</v>
          </cell>
          <cell r="J505" t="str">
            <v>ISLAM</v>
          </cell>
          <cell r="K505" t="str">
            <v>NON AKTIF</v>
          </cell>
          <cell r="L505">
            <v>3</v>
          </cell>
          <cell r="P505" t="str">
            <v>NON AKTIF</v>
          </cell>
          <cell r="Q505">
            <v>43682</v>
          </cell>
          <cell r="R505" t="str">
            <v>PERAWATAN</v>
          </cell>
          <cell r="S505" t="str">
            <v>BORONGAN</v>
          </cell>
          <cell r="T505" t="str">
            <v>TUNAI</v>
          </cell>
          <cell r="U505" t="str">
            <v>6110100204950002</v>
          </cell>
          <cell r="V505" t="str">
            <v>AKAD</v>
          </cell>
        </row>
        <row r="506">
          <cell r="B506" t="str">
            <v>GM-00518</v>
          </cell>
          <cell r="C506" t="str">
            <v>MUHAMAD AKHIR</v>
          </cell>
          <cell r="D506" t="str">
            <v>BARAK G10 DIV 5</v>
          </cell>
          <cell r="E506">
            <v>43547</v>
          </cell>
          <cell r="F506" t="str">
            <v>L</v>
          </cell>
          <cell r="G506" t="str">
            <v>JEBAK</v>
          </cell>
          <cell r="H506">
            <v>34643</v>
          </cell>
          <cell r="I506" t="str">
            <v>26 TAHUN</v>
          </cell>
          <cell r="J506" t="str">
            <v>ISLAM</v>
          </cell>
          <cell r="K506" t="str">
            <v>NURSAIL</v>
          </cell>
          <cell r="L506">
            <v>5</v>
          </cell>
          <cell r="P506" t="str">
            <v>NON AKTIF</v>
          </cell>
          <cell r="R506" t="str">
            <v>PANEN</v>
          </cell>
          <cell r="S506" t="str">
            <v>BORONGAN</v>
          </cell>
          <cell r="T506" t="str">
            <v>TUNAI</v>
          </cell>
          <cell r="U506" t="str">
            <v>5202020511940003</v>
          </cell>
          <cell r="V506" t="str">
            <v>AKAD</v>
          </cell>
        </row>
        <row r="507">
          <cell r="B507" t="str">
            <v>GM-00519</v>
          </cell>
          <cell r="C507" t="str">
            <v>AGUS PERMANA</v>
          </cell>
          <cell r="E507">
            <v>43547</v>
          </cell>
          <cell r="F507" t="str">
            <v>L</v>
          </cell>
          <cell r="G507" t="str">
            <v>BANDUNG</v>
          </cell>
          <cell r="H507">
            <v>36744</v>
          </cell>
          <cell r="I507" t="str">
            <v>20 TAHUN</v>
          </cell>
          <cell r="J507" t="str">
            <v>ISLAM</v>
          </cell>
          <cell r="K507" t="str">
            <v>NON AKTIF</v>
          </cell>
          <cell r="L507">
            <v>3</v>
          </cell>
          <cell r="P507" t="str">
            <v>NON AKTIF</v>
          </cell>
          <cell r="Q507">
            <v>43682</v>
          </cell>
          <cell r="R507" t="str">
            <v>PERAWATAN</v>
          </cell>
          <cell r="S507" t="str">
            <v>BORONGAN</v>
          </cell>
          <cell r="T507" t="str">
            <v>TUNAI</v>
          </cell>
          <cell r="U507" t="str">
            <v>3204290608000002</v>
          </cell>
          <cell r="V507" t="str">
            <v>AKAD</v>
          </cell>
        </row>
        <row r="508">
          <cell r="B508" t="str">
            <v>GM-00520</v>
          </cell>
          <cell r="C508" t="str">
            <v>SUPRIADI</v>
          </cell>
          <cell r="D508" t="str">
            <v>BARAK G10 DIV 1</v>
          </cell>
          <cell r="E508">
            <v>43547</v>
          </cell>
          <cell r="F508" t="str">
            <v>L</v>
          </cell>
          <cell r="G508" t="str">
            <v>KEBON LELE</v>
          </cell>
          <cell r="H508">
            <v>33969</v>
          </cell>
          <cell r="I508" t="str">
            <v>28 TAHUN</v>
          </cell>
          <cell r="J508" t="str">
            <v>ISLAM</v>
          </cell>
          <cell r="K508" t="str">
            <v>NON AKTIF</v>
          </cell>
          <cell r="L508">
            <v>4</v>
          </cell>
          <cell r="P508" t="str">
            <v>NON AKTIF</v>
          </cell>
          <cell r="Q508">
            <v>43595</v>
          </cell>
          <cell r="R508" t="str">
            <v>PANEN</v>
          </cell>
          <cell r="S508" t="str">
            <v>BORONGAN</v>
          </cell>
          <cell r="T508" t="str">
            <v>TUNAI</v>
          </cell>
          <cell r="U508" t="str">
            <v>5201023112920040</v>
          </cell>
          <cell r="V508" t="str">
            <v>AKAD</v>
          </cell>
        </row>
        <row r="509">
          <cell r="B509" t="str">
            <v>GM-00521</v>
          </cell>
          <cell r="C509" t="str">
            <v>SUMARNO</v>
          </cell>
          <cell r="E509">
            <v>43547</v>
          </cell>
          <cell r="F509" t="str">
            <v>L</v>
          </cell>
          <cell r="G509" t="str">
            <v>SOLAM RAYA</v>
          </cell>
          <cell r="H509">
            <v>32586</v>
          </cell>
          <cell r="I509" t="str">
            <v>31 TAHUN</v>
          </cell>
          <cell r="J509" t="str">
            <v>ISLAM</v>
          </cell>
          <cell r="K509" t="str">
            <v>NON AKTIF</v>
          </cell>
          <cell r="L509">
            <v>3</v>
          </cell>
          <cell r="P509" t="str">
            <v>NON AKTIF</v>
          </cell>
          <cell r="Q509">
            <v>43682</v>
          </cell>
          <cell r="R509" t="str">
            <v>PERAWATAN</v>
          </cell>
          <cell r="S509" t="str">
            <v>BORONGAN</v>
          </cell>
          <cell r="T509" t="str">
            <v>TUNAI</v>
          </cell>
          <cell r="U509" t="str">
            <v>6105201903890001</v>
          </cell>
          <cell r="V509" t="str">
            <v>AKAD</v>
          </cell>
        </row>
        <row r="510">
          <cell r="B510" t="str">
            <v>GM-00522</v>
          </cell>
          <cell r="C510" t="str">
            <v>HAIKAL ARSIANTO</v>
          </cell>
          <cell r="E510">
            <v>43547</v>
          </cell>
          <cell r="F510" t="str">
            <v>L</v>
          </cell>
          <cell r="G510" t="str">
            <v>PENGKADAN</v>
          </cell>
          <cell r="H510">
            <v>37618</v>
          </cell>
          <cell r="I510" t="str">
            <v>18 TAHUN</v>
          </cell>
          <cell r="J510" t="str">
            <v>ISLAM</v>
          </cell>
          <cell r="K510" t="str">
            <v>NON AKTIF</v>
          </cell>
          <cell r="L510">
            <v>3</v>
          </cell>
          <cell r="P510" t="str">
            <v>NON AKTIF</v>
          </cell>
          <cell r="Q510">
            <v>43682</v>
          </cell>
          <cell r="R510" t="str">
            <v>PERAWATAN</v>
          </cell>
          <cell r="S510" t="str">
            <v>BORONGAN</v>
          </cell>
          <cell r="T510" t="str">
            <v>TUNAI</v>
          </cell>
          <cell r="U510" t="str">
            <v>6105072612020002</v>
          </cell>
          <cell r="V510" t="str">
            <v>AKAD</v>
          </cell>
        </row>
        <row r="511">
          <cell r="B511" t="str">
            <v>GM-00523</v>
          </cell>
          <cell r="C511" t="str">
            <v>FERDI NURHIDAYAT</v>
          </cell>
          <cell r="E511">
            <v>43547</v>
          </cell>
          <cell r="F511" t="str">
            <v>L</v>
          </cell>
          <cell r="G511" t="str">
            <v>NANGA PINOH</v>
          </cell>
          <cell r="H511">
            <v>36666</v>
          </cell>
          <cell r="I511" t="str">
            <v>20 TAHUN</v>
          </cell>
          <cell r="J511" t="str">
            <v>ISLAM</v>
          </cell>
          <cell r="K511" t="str">
            <v>NON AKTIF</v>
          </cell>
          <cell r="L511">
            <v>4</v>
          </cell>
          <cell r="P511" t="str">
            <v>NON AKTIF</v>
          </cell>
          <cell r="Q511">
            <v>43595</v>
          </cell>
          <cell r="R511" t="str">
            <v>PERAWATAN</v>
          </cell>
          <cell r="S511" t="str">
            <v>BORONGAN</v>
          </cell>
          <cell r="T511" t="str">
            <v>TUNAI</v>
          </cell>
          <cell r="U511" t="str">
            <v>6105072605000002</v>
          </cell>
          <cell r="V511" t="str">
            <v>AKAD</v>
          </cell>
        </row>
        <row r="512">
          <cell r="B512" t="str">
            <v>GM-00524</v>
          </cell>
          <cell r="C512" t="str">
            <v>DEDI CHANDRA</v>
          </cell>
          <cell r="E512">
            <v>43545</v>
          </cell>
          <cell r="F512" t="str">
            <v>L</v>
          </cell>
          <cell r="G512" t="str">
            <v>TERDUK DAMPAK</v>
          </cell>
          <cell r="H512">
            <v>32948</v>
          </cell>
          <cell r="I512" t="str">
            <v>30 TAHUN</v>
          </cell>
          <cell r="J512" t="str">
            <v>KRISTEN</v>
          </cell>
          <cell r="K512" t="str">
            <v>NON KONTRAKTOR</v>
          </cell>
          <cell r="L512">
            <v>5</v>
          </cell>
          <cell r="P512" t="str">
            <v>AKTIF</v>
          </cell>
          <cell r="R512" t="str">
            <v>PERAWATAN</v>
          </cell>
          <cell r="S512" t="str">
            <v>BORONGAN</v>
          </cell>
          <cell r="T512" t="str">
            <v>TUNAI</v>
          </cell>
          <cell r="U512" t="str">
            <v>6109061603900001</v>
          </cell>
          <cell r="V512" t="str">
            <v>LOKAL</v>
          </cell>
        </row>
        <row r="513">
          <cell r="B513" t="str">
            <v>GM-00525</v>
          </cell>
          <cell r="C513" t="str">
            <v>HENDRI KOSOMO</v>
          </cell>
          <cell r="E513">
            <v>43545</v>
          </cell>
          <cell r="F513" t="str">
            <v>L</v>
          </cell>
          <cell r="G513" t="str">
            <v>SEI KUARAK</v>
          </cell>
          <cell r="H513">
            <v>34378</v>
          </cell>
          <cell r="I513" t="str">
            <v>26 TAHUN</v>
          </cell>
          <cell r="J513" t="str">
            <v>KRISTEN</v>
          </cell>
          <cell r="K513" t="str">
            <v>NON KONTRAKTOR</v>
          </cell>
          <cell r="L513">
            <v>5</v>
          </cell>
          <cell r="P513" t="str">
            <v>AKTIF</v>
          </cell>
          <cell r="R513" t="str">
            <v>PERAWATAN</v>
          </cell>
          <cell r="S513" t="str">
            <v>BORONGAN</v>
          </cell>
          <cell r="T513" t="str">
            <v>TUNAI</v>
          </cell>
          <cell r="U513" t="str">
            <v>6109061302940001</v>
          </cell>
          <cell r="V513" t="str">
            <v>LOKAL</v>
          </cell>
        </row>
        <row r="514">
          <cell r="B514" t="str">
            <v>GM-00526</v>
          </cell>
          <cell r="C514" t="str">
            <v>IZAK</v>
          </cell>
          <cell r="E514">
            <v>43545</v>
          </cell>
          <cell r="F514" t="str">
            <v>L</v>
          </cell>
          <cell r="G514" t="str">
            <v>SEI KUARAK</v>
          </cell>
          <cell r="H514">
            <v>30478</v>
          </cell>
          <cell r="I514" t="str">
            <v>37 TAHUN</v>
          </cell>
          <cell r="J514" t="str">
            <v>KRISTEN</v>
          </cell>
          <cell r="K514" t="str">
            <v>NON KONTRAKTOR</v>
          </cell>
          <cell r="L514">
            <v>2</v>
          </cell>
          <cell r="M514" t="str">
            <v>IZAK</v>
          </cell>
          <cell r="N514">
            <v>1133620119</v>
          </cell>
          <cell r="O514" t="str">
            <v>BNI</v>
          </cell>
          <cell r="P514" t="str">
            <v>AKTIF</v>
          </cell>
          <cell r="R514" t="str">
            <v>PERAWATAN</v>
          </cell>
          <cell r="S514" t="str">
            <v>BORONGAN</v>
          </cell>
          <cell r="T514" t="str">
            <v>TRANSFER</v>
          </cell>
          <cell r="U514" t="str">
            <v>6109061106830004</v>
          </cell>
          <cell r="V514" t="str">
            <v>LOKAL</v>
          </cell>
        </row>
        <row r="515">
          <cell r="B515" t="str">
            <v>GM-00527</v>
          </cell>
          <cell r="C515" t="str">
            <v>JEFRAY</v>
          </cell>
          <cell r="E515">
            <v>43545</v>
          </cell>
          <cell r="F515" t="str">
            <v>L</v>
          </cell>
          <cell r="G515" t="str">
            <v>TERDUK DAMPAK</v>
          </cell>
          <cell r="H515">
            <v>24336</v>
          </cell>
          <cell r="I515" t="str">
            <v>54 TAHUN</v>
          </cell>
          <cell r="J515" t="str">
            <v>KRISTEN</v>
          </cell>
          <cell r="K515" t="str">
            <v>NON KONTRAKTOR</v>
          </cell>
          <cell r="L515">
            <v>5</v>
          </cell>
          <cell r="M515" t="str">
            <v>JEFRAY</v>
          </cell>
          <cell r="N515">
            <v>954802307</v>
          </cell>
          <cell r="O515" t="str">
            <v>BNI</v>
          </cell>
          <cell r="P515" t="str">
            <v>AKTIF</v>
          </cell>
          <cell r="R515" t="str">
            <v>PERAWATAN</v>
          </cell>
          <cell r="S515" t="str">
            <v>BORONGAN</v>
          </cell>
          <cell r="T515" t="str">
            <v>TRANSFER</v>
          </cell>
          <cell r="U515" t="str">
            <v>6109061708660003</v>
          </cell>
          <cell r="V515" t="str">
            <v>LOKAL</v>
          </cell>
        </row>
        <row r="516">
          <cell r="B516" t="str">
            <v>GM-00528</v>
          </cell>
          <cell r="C516" t="str">
            <v>UTHIS</v>
          </cell>
          <cell r="E516">
            <v>43545</v>
          </cell>
          <cell r="F516" t="str">
            <v>L</v>
          </cell>
          <cell r="G516" t="str">
            <v>TERDUK DAMPAK</v>
          </cell>
          <cell r="H516">
            <v>23909</v>
          </cell>
          <cell r="I516" t="str">
            <v>55 TAHUN</v>
          </cell>
          <cell r="J516" t="str">
            <v>KRISTEN</v>
          </cell>
          <cell r="K516" t="str">
            <v>NON KONTRAKTOR</v>
          </cell>
          <cell r="L516">
            <v>5</v>
          </cell>
          <cell r="P516" t="str">
            <v>AKTIF</v>
          </cell>
          <cell r="R516" t="str">
            <v>PERAWATAN</v>
          </cell>
          <cell r="S516" t="str">
            <v>BORONGAN</v>
          </cell>
          <cell r="T516" t="str">
            <v>TUNAI</v>
          </cell>
          <cell r="U516" t="str">
            <v>6109061606650001</v>
          </cell>
          <cell r="V516" t="str">
            <v>LOKAL</v>
          </cell>
        </row>
        <row r="517">
          <cell r="B517" t="str">
            <v>GM-00529</v>
          </cell>
          <cell r="C517" t="str">
            <v>SIMSON</v>
          </cell>
          <cell r="E517">
            <v>43545</v>
          </cell>
          <cell r="F517" t="str">
            <v>L</v>
          </cell>
          <cell r="G517" t="str">
            <v>AMOH</v>
          </cell>
          <cell r="H517">
            <v>30880</v>
          </cell>
          <cell r="I517" t="str">
            <v>36 TAHUN</v>
          </cell>
          <cell r="J517" t="str">
            <v>KRISTEN</v>
          </cell>
          <cell r="K517" t="str">
            <v>NON KONTRAKTOR</v>
          </cell>
          <cell r="L517">
            <v>5</v>
          </cell>
          <cell r="P517" t="str">
            <v>AKTIF</v>
          </cell>
          <cell r="R517" t="str">
            <v>PERAWATAN</v>
          </cell>
          <cell r="S517" t="str">
            <v>BORONGAN</v>
          </cell>
          <cell r="T517" t="str">
            <v>TUNAI</v>
          </cell>
          <cell r="U517" t="str">
            <v>6109061707840001</v>
          </cell>
          <cell r="V517" t="str">
            <v>LOKAL</v>
          </cell>
        </row>
        <row r="518">
          <cell r="B518" t="str">
            <v>GM-00530</v>
          </cell>
          <cell r="C518" t="str">
            <v>VIROL</v>
          </cell>
          <cell r="E518">
            <v>43545</v>
          </cell>
          <cell r="F518" t="str">
            <v>L</v>
          </cell>
          <cell r="G518" t="str">
            <v>TERDUK DAMPAK</v>
          </cell>
          <cell r="H518">
            <v>30880</v>
          </cell>
          <cell r="I518" t="str">
            <v>36 TAHUN</v>
          </cell>
          <cell r="J518" t="str">
            <v>KRISTEN</v>
          </cell>
          <cell r="K518" t="str">
            <v>NON KONTRAKTOR</v>
          </cell>
          <cell r="L518">
            <v>5</v>
          </cell>
          <cell r="P518" t="str">
            <v>AKTIF</v>
          </cell>
          <cell r="R518" t="str">
            <v>PERAWATAN</v>
          </cell>
          <cell r="S518" t="str">
            <v>BORONGAN</v>
          </cell>
          <cell r="T518" t="str">
            <v>TUNAI</v>
          </cell>
          <cell r="U518" t="str">
            <v>6109061707840006</v>
          </cell>
          <cell r="V518" t="str">
            <v>LOKAL</v>
          </cell>
        </row>
        <row r="519">
          <cell r="B519" t="str">
            <v>GM-00531</v>
          </cell>
          <cell r="C519" t="str">
            <v>ENDANG SURYATI</v>
          </cell>
          <cell r="E519">
            <v>43545</v>
          </cell>
          <cell r="F519" t="str">
            <v>P</v>
          </cell>
          <cell r="G519" t="str">
            <v>BAK MERAT</v>
          </cell>
          <cell r="H519">
            <v>29738</v>
          </cell>
          <cell r="I519" t="str">
            <v>39 TAHUN</v>
          </cell>
          <cell r="J519" t="str">
            <v>KRISTEN</v>
          </cell>
          <cell r="K519" t="str">
            <v>NON KONTRAKTOR</v>
          </cell>
          <cell r="L519">
            <v>5</v>
          </cell>
          <cell r="P519" t="str">
            <v>AKTIF</v>
          </cell>
          <cell r="R519" t="str">
            <v>PERAWATAN</v>
          </cell>
          <cell r="S519" t="str">
            <v>BORONGAN</v>
          </cell>
          <cell r="T519" t="str">
            <v>TUNAI</v>
          </cell>
          <cell r="U519" t="str">
            <v>6109064106810002</v>
          </cell>
          <cell r="V519" t="str">
            <v>LOKAL</v>
          </cell>
        </row>
        <row r="520">
          <cell r="B520" t="str">
            <v>GM-00532</v>
          </cell>
          <cell r="C520" t="str">
            <v>SUPIA</v>
          </cell>
          <cell r="E520">
            <v>43545</v>
          </cell>
          <cell r="F520" t="str">
            <v>P</v>
          </cell>
          <cell r="G520" t="str">
            <v>TERATE</v>
          </cell>
          <cell r="H520">
            <v>26519</v>
          </cell>
          <cell r="I520" t="str">
            <v>48 TAHUN</v>
          </cell>
          <cell r="J520" t="str">
            <v>KRISTEN</v>
          </cell>
          <cell r="K520" t="str">
            <v>NON KONTRAKTOR</v>
          </cell>
          <cell r="L520">
            <v>5</v>
          </cell>
          <cell r="P520" t="str">
            <v>AKTIF</v>
          </cell>
          <cell r="R520" t="str">
            <v>PERAWATAN</v>
          </cell>
          <cell r="S520" t="str">
            <v>BORONGAN</v>
          </cell>
          <cell r="T520" t="str">
            <v>TUNAI</v>
          </cell>
          <cell r="U520" t="str">
            <v>6109064808720004</v>
          </cell>
          <cell r="V520" t="str">
            <v>LOKAL</v>
          </cell>
        </row>
        <row r="521">
          <cell r="B521" t="str">
            <v>GM-00533</v>
          </cell>
          <cell r="C521" t="str">
            <v>TERUSIA</v>
          </cell>
          <cell r="E521">
            <v>43545</v>
          </cell>
          <cell r="F521" t="str">
            <v>P</v>
          </cell>
          <cell r="G521" t="str">
            <v>TERDUK DAMPAK</v>
          </cell>
          <cell r="H521">
            <v>25456</v>
          </cell>
          <cell r="I521" t="str">
            <v>51 TAHUN</v>
          </cell>
          <cell r="J521" t="str">
            <v>KRISTEN</v>
          </cell>
          <cell r="K521" t="str">
            <v>NON KONTRAKTOR</v>
          </cell>
          <cell r="L521">
            <v>5</v>
          </cell>
          <cell r="P521" t="str">
            <v>AKTIF</v>
          </cell>
          <cell r="R521" t="str">
            <v>PERAWATAN</v>
          </cell>
          <cell r="S521" t="str">
            <v>BORONGAN</v>
          </cell>
          <cell r="T521" t="str">
            <v>TUNAI</v>
          </cell>
          <cell r="U521" t="str">
            <v>6109065009690002</v>
          </cell>
          <cell r="V521" t="str">
            <v>LOKAL</v>
          </cell>
        </row>
        <row r="522">
          <cell r="B522" t="str">
            <v>GM-00534</v>
          </cell>
          <cell r="C522" t="str">
            <v>MINSY SURYANI</v>
          </cell>
          <cell r="E522">
            <v>43545</v>
          </cell>
          <cell r="F522" t="str">
            <v>P</v>
          </cell>
          <cell r="G522" t="str">
            <v>TERDUK DAMPAK</v>
          </cell>
          <cell r="H522">
            <v>27927</v>
          </cell>
          <cell r="I522" t="str">
            <v>44 TAHUN</v>
          </cell>
          <cell r="J522" t="str">
            <v>KRISTEN</v>
          </cell>
          <cell r="K522" t="str">
            <v>NON KONTRAKTOR</v>
          </cell>
          <cell r="L522">
            <v>5</v>
          </cell>
          <cell r="M522" t="str">
            <v>MINSY SURYANI</v>
          </cell>
          <cell r="N522">
            <v>908045952</v>
          </cell>
          <cell r="O522" t="str">
            <v>BNI</v>
          </cell>
          <cell r="P522" t="str">
            <v>AKTIF</v>
          </cell>
          <cell r="R522" t="str">
            <v>PERAWATAN</v>
          </cell>
          <cell r="S522" t="str">
            <v>BORONGAN</v>
          </cell>
          <cell r="T522" t="str">
            <v>TRANSFER</v>
          </cell>
          <cell r="U522" t="str">
            <v>6109065606760002</v>
          </cell>
          <cell r="V522" t="str">
            <v>LOKAL</v>
          </cell>
        </row>
        <row r="523">
          <cell r="B523" t="str">
            <v>GM-00535</v>
          </cell>
          <cell r="C523" t="str">
            <v>DEWI</v>
          </cell>
          <cell r="E523">
            <v>43545</v>
          </cell>
          <cell r="F523" t="str">
            <v>P</v>
          </cell>
          <cell r="G523" t="str">
            <v>LUNGAN</v>
          </cell>
          <cell r="H523">
            <v>31673</v>
          </cell>
          <cell r="I523" t="str">
            <v>34 TAHUN</v>
          </cell>
          <cell r="J523" t="str">
            <v>KRISTEN</v>
          </cell>
          <cell r="K523" t="str">
            <v>NON KONTRAKTOR</v>
          </cell>
          <cell r="L523">
            <v>5</v>
          </cell>
          <cell r="P523" t="str">
            <v>AKTIF</v>
          </cell>
          <cell r="R523" t="str">
            <v>PERAWATAN</v>
          </cell>
          <cell r="S523" t="str">
            <v>BORONGAN</v>
          </cell>
          <cell r="T523" t="str">
            <v>TUNAI</v>
          </cell>
          <cell r="U523" t="str">
            <v>6109065809860001</v>
          </cell>
          <cell r="V523" t="str">
            <v>LOKAL</v>
          </cell>
        </row>
        <row r="524">
          <cell r="B524" t="str">
            <v>GM-00536</v>
          </cell>
          <cell r="C524" t="str">
            <v>EKA RUSTIANA</v>
          </cell>
          <cell r="E524">
            <v>43545</v>
          </cell>
          <cell r="F524" t="str">
            <v>P</v>
          </cell>
          <cell r="G524" t="str">
            <v>TERDUK DAMPAK</v>
          </cell>
          <cell r="H524">
            <v>30653</v>
          </cell>
          <cell r="I524" t="str">
            <v>37 TAHUN</v>
          </cell>
          <cell r="J524" t="str">
            <v>KRISTEN</v>
          </cell>
          <cell r="K524" t="str">
            <v>NON KONTRAKTOR</v>
          </cell>
          <cell r="L524">
            <v>5</v>
          </cell>
          <cell r="P524" t="str">
            <v>AKTIF</v>
          </cell>
          <cell r="R524" t="str">
            <v>PERAWATAN</v>
          </cell>
          <cell r="S524" t="str">
            <v>BORONGAN</v>
          </cell>
          <cell r="T524" t="str">
            <v>TUNAI</v>
          </cell>
          <cell r="U524" t="str">
            <v>6109064312830007</v>
          </cell>
          <cell r="V524" t="str">
            <v>LOKAL</v>
          </cell>
        </row>
        <row r="525">
          <cell r="B525" t="str">
            <v>GM-00537</v>
          </cell>
          <cell r="C525" t="str">
            <v>SINA</v>
          </cell>
          <cell r="E525">
            <v>43545</v>
          </cell>
          <cell r="F525" t="str">
            <v>P</v>
          </cell>
          <cell r="G525" t="str">
            <v>BALAU MILOT</v>
          </cell>
          <cell r="H525">
            <v>27336</v>
          </cell>
          <cell r="I525" t="str">
            <v>46 TAHUN</v>
          </cell>
          <cell r="J525" t="str">
            <v>KRISTEN</v>
          </cell>
          <cell r="K525" t="str">
            <v>NON KONTRAKTOR</v>
          </cell>
          <cell r="L525">
            <v>5</v>
          </cell>
          <cell r="P525" t="str">
            <v>AKTIF</v>
          </cell>
          <cell r="R525" t="str">
            <v>PERAWATAN</v>
          </cell>
          <cell r="S525" t="str">
            <v>BORONGAN</v>
          </cell>
          <cell r="T525" t="str">
            <v>TUNAI</v>
          </cell>
          <cell r="U525" t="str">
            <v>6109064311740003</v>
          </cell>
          <cell r="V525" t="str">
            <v>LOKAL</v>
          </cell>
        </row>
        <row r="526">
          <cell r="B526" t="str">
            <v>GM-00538</v>
          </cell>
          <cell r="C526" t="str">
            <v>LUKAS U</v>
          </cell>
          <cell r="D526" t="str">
            <v>BARAK G10 DIV 5</v>
          </cell>
          <cell r="E526">
            <v>43545</v>
          </cell>
          <cell r="F526" t="str">
            <v>L</v>
          </cell>
          <cell r="G526" t="str">
            <v>TERDUK DAMPAK</v>
          </cell>
          <cell r="H526">
            <v>27258</v>
          </cell>
          <cell r="I526" t="str">
            <v>46 TAHUN</v>
          </cell>
          <cell r="J526" t="str">
            <v>KRISTEN</v>
          </cell>
          <cell r="K526" t="str">
            <v>NON KONTRAKTOR</v>
          </cell>
          <cell r="L526">
            <v>5</v>
          </cell>
          <cell r="M526" t="str">
            <v>LUKAS U</v>
          </cell>
          <cell r="N526">
            <v>369208115</v>
          </cell>
          <cell r="O526" t="str">
            <v>BNI</v>
          </cell>
          <cell r="P526" t="str">
            <v>AKTIF</v>
          </cell>
          <cell r="R526" t="str">
            <v>PERAWATAN</v>
          </cell>
          <cell r="S526" t="str">
            <v>BORONGAN</v>
          </cell>
          <cell r="T526" t="str">
            <v>TRANSFER</v>
          </cell>
          <cell r="U526" t="str">
            <v>6109061708730002</v>
          </cell>
          <cell r="V526" t="str">
            <v>LOKAL</v>
          </cell>
        </row>
        <row r="527">
          <cell r="B527" t="str">
            <v>GM-00539</v>
          </cell>
          <cell r="C527" t="str">
            <v>DESSY NANA</v>
          </cell>
          <cell r="E527">
            <v>43537</v>
          </cell>
          <cell r="F527" t="str">
            <v>P</v>
          </cell>
          <cell r="G527" t="str">
            <v>EMPIT</v>
          </cell>
          <cell r="H527">
            <v>33965</v>
          </cell>
          <cell r="I527" t="str">
            <v>28 TAHUN</v>
          </cell>
          <cell r="J527" t="str">
            <v>KRISTEN</v>
          </cell>
          <cell r="K527" t="str">
            <v>NON KONTRAKTOR</v>
          </cell>
          <cell r="L527">
            <v>3</v>
          </cell>
          <cell r="P527" t="str">
            <v>AKTIF</v>
          </cell>
          <cell r="R527" t="str">
            <v>PERAWATAN</v>
          </cell>
          <cell r="S527" t="str">
            <v>BORONGAN</v>
          </cell>
          <cell r="T527" t="str">
            <v>TUNAI</v>
          </cell>
          <cell r="U527" t="str">
            <v>6109066712920001</v>
          </cell>
          <cell r="V527" t="str">
            <v>LOKAL</v>
          </cell>
        </row>
        <row r="528">
          <cell r="B528" t="str">
            <v>GM-00540</v>
          </cell>
          <cell r="C528" t="str">
            <v>YUNI SARA</v>
          </cell>
          <cell r="E528">
            <v>43537</v>
          </cell>
          <cell r="F528" t="str">
            <v>P</v>
          </cell>
          <cell r="G528" t="str">
            <v>BEMBAN</v>
          </cell>
          <cell r="H528">
            <v>35405</v>
          </cell>
          <cell r="I528" t="str">
            <v>24 TAHUN</v>
          </cell>
          <cell r="J528" t="str">
            <v>KRISTEN</v>
          </cell>
          <cell r="K528" t="str">
            <v>NON KONTRAKTOR</v>
          </cell>
          <cell r="L528">
            <v>3</v>
          </cell>
          <cell r="P528" t="str">
            <v>AKTIF</v>
          </cell>
          <cell r="R528" t="str">
            <v>PERAWATAN</v>
          </cell>
          <cell r="S528" t="str">
            <v>BORONGAN</v>
          </cell>
          <cell r="T528" t="str">
            <v>TUNAI</v>
          </cell>
          <cell r="U528" t="str">
            <v>6109064612960001</v>
          </cell>
          <cell r="V528" t="str">
            <v>LOKAL</v>
          </cell>
        </row>
        <row r="529">
          <cell r="B529" t="str">
            <v>GM-00541</v>
          </cell>
          <cell r="C529" t="str">
            <v>MOHAMMAT ALFIUS</v>
          </cell>
          <cell r="E529">
            <v>43547</v>
          </cell>
          <cell r="F529" t="str">
            <v>L</v>
          </cell>
          <cell r="G529" t="str">
            <v>TERDUK DAMPAK</v>
          </cell>
          <cell r="H529">
            <v>22943</v>
          </cell>
          <cell r="I529" t="str">
            <v>58 TAHUN</v>
          </cell>
          <cell r="J529" t="str">
            <v>ISLAM</v>
          </cell>
          <cell r="K529" t="str">
            <v>NON KONTRAKTOR</v>
          </cell>
          <cell r="L529">
            <v>5</v>
          </cell>
          <cell r="P529" t="str">
            <v>AKTIF</v>
          </cell>
          <cell r="R529" t="str">
            <v>PERAWATAN</v>
          </cell>
          <cell r="S529" t="str">
            <v>BORONGAN</v>
          </cell>
          <cell r="T529" t="str">
            <v>TUNAI</v>
          </cell>
          <cell r="U529" t="str">
            <v>6109062410620002</v>
          </cell>
          <cell r="V529" t="str">
            <v>LOKAL</v>
          </cell>
        </row>
        <row r="530">
          <cell r="B530" t="str">
            <v>GM-00542</v>
          </cell>
          <cell r="C530" t="str">
            <v>CHEINDRA FANI</v>
          </cell>
          <cell r="E530">
            <v>43550</v>
          </cell>
          <cell r="F530" t="str">
            <v>L</v>
          </cell>
          <cell r="G530" t="str">
            <v>RANSA</v>
          </cell>
          <cell r="H530">
            <v>34201</v>
          </cell>
          <cell r="I530" t="str">
            <v>27 TAHUN</v>
          </cell>
          <cell r="J530" t="str">
            <v>KRISTEN</v>
          </cell>
          <cell r="K530" t="str">
            <v>NON KONTRAKTOR</v>
          </cell>
          <cell r="L530">
            <v>2</v>
          </cell>
          <cell r="P530" t="str">
            <v>AKTIF</v>
          </cell>
          <cell r="R530" t="str">
            <v>PERAWATAN</v>
          </cell>
          <cell r="S530" t="str">
            <v>BORONGAN</v>
          </cell>
          <cell r="T530" t="str">
            <v>TUNAI</v>
          </cell>
          <cell r="U530" t="str">
            <v>6109062008930001</v>
          </cell>
          <cell r="V530" t="str">
            <v>LOKAL</v>
          </cell>
        </row>
        <row r="531">
          <cell r="B531" t="str">
            <v>GM-00543</v>
          </cell>
          <cell r="C531" t="str">
            <v>MELSI</v>
          </cell>
          <cell r="E531">
            <v>43556</v>
          </cell>
          <cell r="F531" t="str">
            <v>P</v>
          </cell>
          <cell r="G531" t="str">
            <v>TERDUK DAMPAK</v>
          </cell>
          <cell r="H531">
            <v>24070</v>
          </cell>
          <cell r="I531" t="str">
            <v>55 TAHUN</v>
          </cell>
          <cell r="J531" t="str">
            <v>KRISTEN</v>
          </cell>
          <cell r="K531" t="str">
            <v>NON KONTRAKTOR</v>
          </cell>
          <cell r="L531">
            <v>5</v>
          </cell>
          <cell r="P531" t="str">
            <v>AKTIF</v>
          </cell>
          <cell r="R531" t="str">
            <v>PERAWATAN</v>
          </cell>
          <cell r="S531" t="str">
            <v>BORONGAN</v>
          </cell>
          <cell r="T531" t="str">
            <v>TUNAI</v>
          </cell>
          <cell r="U531" t="str">
            <v>6109066411650003</v>
          </cell>
          <cell r="V531" t="str">
            <v>LOKAL</v>
          </cell>
        </row>
        <row r="532">
          <cell r="B532" t="str">
            <v>GM-00544</v>
          </cell>
          <cell r="C532" t="str">
            <v>MARIA</v>
          </cell>
          <cell r="E532">
            <v>43556</v>
          </cell>
          <cell r="F532" t="str">
            <v>P</v>
          </cell>
          <cell r="G532" t="str">
            <v>TERDUK DAMPAK</v>
          </cell>
          <cell r="H532">
            <v>27647</v>
          </cell>
          <cell r="I532" t="str">
            <v>45 TAHUN</v>
          </cell>
          <cell r="J532" t="str">
            <v>KRISTEN</v>
          </cell>
          <cell r="K532" t="str">
            <v>NON KONTRAKTOR</v>
          </cell>
          <cell r="L532">
            <v>5</v>
          </cell>
          <cell r="M532" t="str">
            <v>MARIA</v>
          </cell>
          <cell r="N532">
            <v>906222153</v>
          </cell>
          <cell r="O532" t="str">
            <v>BNI</v>
          </cell>
          <cell r="P532" t="str">
            <v>AKTIF</v>
          </cell>
          <cell r="R532" t="str">
            <v>PERAWATAN</v>
          </cell>
          <cell r="S532" t="str">
            <v>BORONGAN</v>
          </cell>
          <cell r="T532" t="str">
            <v>TRANSFER</v>
          </cell>
          <cell r="U532" t="str">
            <v>6109065009750002</v>
          </cell>
          <cell r="V532" t="str">
            <v>LOKAL</v>
          </cell>
        </row>
        <row r="533">
          <cell r="B533" t="str">
            <v>GM-00545</v>
          </cell>
          <cell r="C533" t="str">
            <v>SEPIRA. M</v>
          </cell>
          <cell r="E533">
            <v>43561</v>
          </cell>
          <cell r="F533" t="str">
            <v>P</v>
          </cell>
          <cell r="G533" t="str">
            <v>RANSA</v>
          </cell>
          <cell r="H533">
            <v>25037</v>
          </cell>
          <cell r="I533" t="str">
            <v>52 TAHUN</v>
          </cell>
          <cell r="J533" t="str">
            <v>KRISTEN</v>
          </cell>
          <cell r="K533" t="str">
            <v>NON KONTRAKTOR</v>
          </cell>
          <cell r="L533">
            <v>2</v>
          </cell>
          <cell r="P533" t="str">
            <v>AKTIF</v>
          </cell>
          <cell r="R533" t="str">
            <v>PERAWATAN</v>
          </cell>
          <cell r="S533" t="str">
            <v>BORONGAN</v>
          </cell>
          <cell r="T533" t="str">
            <v>TUNAI</v>
          </cell>
          <cell r="U533" t="str">
            <v>6109065807680001</v>
          </cell>
          <cell r="V533" t="str">
            <v>LOKAL</v>
          </cell>
        </row>
        <row r="534">
          <cell r="B534" t="str">
            <v>GM-00546</v>
          </cell>
          <cell r="C534" t="str">
            <v>HENDELES</v>
          </cell>
          <cell r="E534">
            <v>43564</v>
          </cell>
          <cell r="F534" t="str">
            <v>L</v>
          </cell>
          <cell r="G534" t="str">
            <v>RANSA</v>
          </cell>
          <cell r="H534">
            <v>31022</v>
          </cell>
          <cell r="I534" t="str">
            <v>36 TAHUN</v>
          </cell>
          <cell r="J534" t="str">
            <v>KRISTEN</v>
          </cell>
          <cell r="K534" t="str">
            <v>NON KONTRAKTOR</v>
          </cell>
          <cell r="L534">
            <v>2</v>
          </cell>
          <cell r="P534" t="str">
            <v>AKTIF</v>
          </cell>
          <cell r="R534" t="str">
            <v>PERAWATAN</v>
          </cell>
          <cell r="S534" t="str">
            <v>BORONGAN</v>
          </cell>
          <cell r="T534" t="str">
            <v>TUNAI</v>
          </cell>
          <cell r="U534" t="str">
            <v>6109060612840003</v>
          </cell>
          <cell r="V534" t="str">
            <v>LOKAL</v>
          </cell>
        </row>
        <row r="535">
          <cell r="B535" t="str">
            <v>GM-00547</v>
          </cell>
          <cell r="C535" t="str">
            <v>MADIS</v>
          </cell>
          <cell r="D535" t="str">
            <v>Ds. SEPURU</v>
          </cell>
          <cell r="E535">
            <v>43561</v>
          </cell>
          <cell r="F535" t="str">
            <v>P</v>
          </cell>
          <cell r="G535" t="str">
            <v>DUSUN SEPURU</v>
          </cell>
          <cell r="H535">
            <v>27517</v>
          </cell>
          <cell r="I535" t="str">
            <v>45 TAHUN</v>
          </cell>
          <cell r="J535" t="str">
            <v>KRISTEN</v>
          </cell>
          <cell r="K535" t="str">
            <v>NON KONTRAKTOR</v>
          </cell>
          <cell r="L535">
            <v>1</v>
          </cell>
          <cell r="M535" t="str">
            <v>MADIS</v>
          </cell>
          <cell r="N535">
            <v>954802250</v>
          </cell>
          <cell r="O535" t="str">
            <v>BNI</v>
          </cell>
          <cell r="P535" t="str">
            <v>AKTIF</v>
          </cell>
          <cell r="R535" t="str">
            <v>PERAWATAN</v>
          </cell>
          <cell r="S535" t="str">
            <v>BORONGAN</v>
          </cell>
          <cell r="T535" t="str">
            <v>TRANSFER</v>
          </cell>
          <cell r="U535" t="str">
            <v>6109064305750001</v>
          </cell>
          <cell r="V535" t="str">
            <v>LOKAL</v>
          </cell>
        </row>
        <row r="536">
          <cell r="B536" t="str">
            <v>GM-00548</v>
          </cell>
          <cell r="C536" t="str">
            <v>PINILA NANAWATI</v>
          </cell>
          <cell r="E536">
            <v>43561</v>
          </cell>
          <cell r="F536" t="str">
            <v>P</v>
          </cell>
          <cell r="G536" t="str">
            <v>SENAKIN</v>
          </cell>
          <cell r="H536">
            <v>32818</v>
          </cell>
          <cell r="I536" t="str">
            <v>31 TAHUN</v>
          </cell>
          <cell r="J536" t="str">
            <v>KRISTEN</v>
          </cell>
          <cell r="K536" t="str">
            <v>NON KONTRAKTOR</v>
          </cell>
          <cell r="L536">
            <v>1</v>
          </cell>
          <cell r="P536" t="str">
            <v>AKTIF</v>
          </cell>
          <cell r="R536" t="str">
            <v>PERAWATAN</v>
          </cell>
          <cell r="S536" t="str">
            <v>BORONGAN</v>
          </cell>
          <cell r="T536" t="str">
            <v>TUNAI</v>
          </cell>
          <cell r="U536" t="str">
            <v>6109064611890002</v>
          </cell>
          <cell r="V536" t="str">
            <v>LOKAL</v>
          </cell>
        </row>
        <row r="537">
          <cell r="B537" t="str">
            <v>GM-00549</v>
          </cell>
          <cell r="C537" t="str">
            <v>REMEGIUS REGIONO</v>
          </cell>
          <cell r="E537">
            <v>43561</v>
          </cell>
          <cell r="F537" t="str">
            <v>L</v>
          </cell>
          <cell r="G537" t="str">
            <v>SEI KURAK</v>
          </cell>
          <cell r="H537">
            <v>36536</v>
          </cell>
          <cell r="I537" t="str">
            <v>21 TAHUN</v>
          </cell>
          <cell r="J537" t="str">
            <v>KRISTEN</v>
          </cell>
          <cell r="K537" t="str">
            <v>NON KONTRAKTOR</v>
          </cell>
          <cell r="L537">
            <v>1</v>
          </cell>
          <cell r="P537" t="str">
            <v>AKTIF</v>
          </cell>
          <cell r="R537" t="str">
            <v>PERAWATAN</v>
          </cell>
          <cell r="S537" t="str">
            <v>BORONGAN</v>
          </cell>
          <cell r="T537" t="str">
            <v>TUNAI</v>
          </cell>
          <cell r="U537" t="str">
            <v>6109061101000002</v>
          </cell>
          <cell r="V537" t="str">
            <v>LOKAL</v>
          </cell>
        </row>
        <row r="538">
          <cell r="B538" t="str">
            <v>GM-00550</v>
          </cell>
          <cell r="C538" t="str">
            <v>ASI PABRIYANTO</v>
          </cell>
          <cell r="D538" t="str">
            <v>Ds. SEPURU</v>
          </cell>
          <cell r="E538">
            <v>43561</v>
          </cell>
          <cell r="F538" t="str">
            <v>L</v>
          </cell>
          <cell r="G538" t="str">
            <v>DUSUN SEPURU</v>
          </cell>
          <cell r="H538">
            <v>36929</v>
          </cell>
          <cell r="I538" t="str">
            <v>19 TAHUN</v>
          </cell>
          <cell r="J538" t="str">
            <v>KRISTEN</v>
          </cell>
          <cell r="K538" t="str">
            <v>NON KONTRAKTOR</v>
          </cell>
          <cell r="L538">
            <v>1</v>
          </cell>
          <cell r="P538" t="str">
            <v>AKTIF</v>
          </cell>
          <cell r="R538" t="str">
            <v>PANEN</v>
          </cell>
          <cell r="S538" t="str">
            <v>BORONGAN</v>
          </cell>
          <cell r="T538" t="str">
            <v>TUNAI</v>
          </cell>
          <cell r="U538" t="str">
            <v>6109060702010001</v>
          </cell>
          <cell r="V538" t="str">
            <v>LOKAL</v>
          </cell>
        </row>
        <row r="539">
          <cell r="B539" t="str">
            <v>GM-00551</v>
          </cell>
          <cell r="C539" t="str">
            <v>ACUT</v>
          </cell>
          <cell r="D539" t="str">
            <v>BARAK G10 DIV 3</v>
          </cell>
          <cell r="E539">
            <v>43567</v>
          </cell>
          <cell r="F539" t="str">
            <v>L</v>
          </cell>
          <cell r="I539" t="str">
            <v>121 TAHUN</v>
          </cell>
          <cell r="J539" t="str">
            <v>ISLAM</v>
          </cell>
          <cell r="K539" t="str">
            <v>NON AKTIF</v>
          </cell>
          <cell r="L539">
            <v>4</v>
          </cell>
          <cell r="P539" t="str">
            <v>NON AKTIF</v>
          </cell>
          <cell r="Q539">
            <v>43684</v>
          </cell>
          <cell r="R539" t="str">
            <v>PERAWATAN</v>
          </cell>
          <cell r="S539" t="str">
            <v>BORONGAN</v>
          </cell>
          <cell r="T539" t="str">
            <v>TUNAI</v>
          </cell>
          <cell r="V539" t="str">
            <v>AKAD</v>
          </cell>
        </row>
        <row r="540">
          <cell r="B540" t="str">
            <v>GM-00552</v>
          </cell>
          <cell r="C540" t="str">
            <v>AKBAR MAULANA</v>
          </cell>
          <cell r="D540" t="str">
            <v>BARAK G10 DIV 3</v>
          </cell>
          <cell r="E540">
            <v>43567</v>
          </cell>
          <cell r="F540" t="str">
            <v>L</v>
          </cell>
          <cell r="I540" t="str">
            <v>121 TAHUN</v>
          </cell>
          <cell r="J540" t="str">
            <v>ISLAM</v>
          </cell>
          <cell r="K540" t="str">
            <v>NON AKTIF</v>
          </cell>
          <cell r="L540">
            <v>4</v>
          </cell>
          <cell r="P540" t="str">
            <v>NON AKTIF</v>
          </cell>
          <cell r="Q540">
            <v>43684</v>
          </cell>
          <cell r="R540" t="str">
            <v>PERAWATAN</v>
          </cell>
          <cell r="S540" t="str">
            <v>BORONGAN</v>
          </cell>
          <cell r="T540" t="str">
            <v>TUNAI</v>
          </cell>
          <cell r="V540" t="str">
            <v>AKAD</v>
          </cell>
        </row>
        <row r="541">
          <cell r="B541" t="str">
            <v>GM-00553</v>
          </cell>
          <cell r="C541" t="str">
            <v>UJUN DURAHAM</v>
          </cell>
          <cell r="D541" t="str">
            <v>BARAK G10 DIV 3</v>
          </cell>
          <cell r="E541">
            <v>43567</v>
          </cell>
          <cell r="F541" t="str">
            <v>L</v>
          </cell>
          <cell r="I541" t="str">
            <v>121 TAHUN</v>
          </cell>
          <cell r="J541" t="str">
            <v>ISLAM</v>
          </cell>
          <cell r="K541" t="str">
            <v>NON AKTIF</v>
          </cell>
          <cell r="L541">
            <v>4</v>
          </cell>
          <cell r="P541" t="str">
            <v>NON AKTIF</v>
          </cell>
          <cell r="Q541">
            <v>43684</v>
          </cell>
          <cell r="R541" t="str">
            <v>PERAWATAN</v>
          </cell>
          <cell r="S541" t="str">
            <v>BORONGAN</v>
          </cell>
          <cell r="T541" t="str">
            <v>TUNAI</v>
          </cell>
          <cell r="V541" t="str">
            <v>AKAD</v>
          </cell>
        </row>
        <row r="542">
          <cell r="B542" t="str">
            <v>GM-00554</v>
          </cell>
          <cell r="C542" t="str">
            <v>RIYANTO SALVANUS</v>
          </cell>
          <cell r="E542">
            <v>43567</v>
          </cell>
          <cell r="F542" t="str">
            <v>L</v>
          </cell>
          <cell r="G542" t="str">
            <v>KEDANG TEMILAH</v>
          </cell>
          <cell r="H542">
            <v>35724</v>
          </cell>
          <cell r="I542" t="str">
            <v>23 TAHUN</v>
          </cell>
          <cell r="J542" t="str">
            <v>KATHOLIK</v>
          </cell>
          <cell r="K542" t="str">
            <v>NON KONTRAKTOR</v>
          </cell>
          <cell r="L542">
            <v>4</v>
          </cell>
          <cell r="P542" t="str">
            <v>AKTIF</v>
          </cell>
          <cell r="R542" t="str">
            <v>PERAWATAN</v>
          </cell>
          <cell r="S542" t="str">
            <v>BORONGAN</v>
          </cell>
          <cell r="T542" t="str">
            <v>TUNAI</v>
          </cell>
          <cell r="U542" t="str">
            <v>6109062410970005</v>
          </cell>
          <cell r="V542" t="str">
            <v>LOKAL</v>
          </cell>
        </row>
        <row r="543">
          <cell r="B543" t="str">
            <v>GM-00555</v>
          </cell>
          <cell r="C543" t="str">
            <v>PAULUS USIN</v>
          </cell>
          <cell r="E543">
            <v>43567</v>
          </cell>
          <cell r="F543" t="str">
            <v>L</v>
          </cell>
          <cell r="G543" t="str">
            <v>KEDANG TEMILAH</v>
          </cell>
          <cell r="H543">
            <v>36691</v>
          </cell>
          <cell r="I543" t="str">
            <v>20 TAHUN</v>
          </cell>
          <cell r="J543" t="str">
            <v>KATHOLIK</v>
          </cell>
          <cell r="K543" t="str">
            <v>NON KONTRAKTOR</v>
          </cell>
          <cell r="L543">
            <v>4</v>
          </cell>
          <cell r="P543" t="str">
            <v>AKTIF</v>
          </cell>
          <cell r="R543" t="str">
            <v>PERAWATAN</v>
          </cell>
          <cell r="S543" t="str">
            <v>BORONGAN</v>
          </cell>
          <cell r="T543" t="str">
            <v>TUNAI</v>
          </cell>
          <cell r="U543" t="str">
            <v>6109061408000001</v>
          </cell>
          <cell r="V543" t="str">
            <v>LOKAL</v>
          </cell>
        </row>
        <row r="544">
          <cell r="B544" t="str">
            <v>GM-00556</v>
          </cell>
          <cell r="C544" t="str">
            <v>MANDALA</v>
          </cell>
          <cell r="E544">
            <v>43567</v>
          </cell>
          <cell r="F544" t="str">
            <v>L</v>
          </cell>
          <cell r="G544" t="str">
            <v>KEDANG TEMILAH</v>
          </cell>
          <cell r="H544">
            <v>33910</v>
          </cell>
          <cell r="I544" t="str">
            <v>28 TAHUN</v>
          </cell>
          <cell r="J544" t="str">
            <v>KRISTEN</v>
          </cell>
          <cell r="K544" t="str">
            <v>NON KONTRAKTOR</v>
          </cell>
          <cell r="L544">
            <v>4</v>
          </cell>
          <cell r="P544" t="str">
            <v>AKTIF</v>
          </cell>
          <cell r="R544" t="str">
            <v>PANEN</v>
          </cell>
          <cell r="S544" t="str">
            <v>BORONGAN</v>
          </cell>
          <cell r="T544" t="str">
            <v>TUNAI</v>
          </cell>
          <cell r="U544" t="str">
            <v>6109060211920005</v>
          </cell>
          <cell r="V544" t="str">
            <v>LOKAL</v>
          </cell>
        </row>
        <row r="545">
          <cell r="B545" t="str">
            <v>GM-00557</v>
          </cell>
          <cell r="C545" t="str">
            <v>FIORENSIUS WAK</v>
          </cell>
          <cell r="E545">
            <v>43567</v>
          </cell>
          <cell r="F545" t="str">
            <v>L</v>
          </cell>
          <cell r="G545" t="str">
            <v>KEDANG TEMILAH</v>
          </cell>
          <cell r="H545">
            <v>37766</v>
          </cell>
          <cell r="I545" t="str">
            <v>17 TAHUN</v>
          </cell>
          <cell r="J545" t="str">
            <v>KATHOLIK</v>
          </cell>
          <cell r="K545" t="str">
            <v>NON KONTRAKTOR</v>
          </cell>
          <cell r="L545">
            <v>4</v>
          </cell>
          <cell r="P545" t="str">
            <v>AKTIF</v>
          </cell>
          <cell r="R545" t="str">
            <v>PERAWATAN</v>
          </cell>
          <cell r="S545" t="str">
            <v>BORONGAN</v>
          </cell>
          <cell r="T545" t="str">
            <v>TUNAI</v>
          </cell>
          <cell r="U545" t="str">
            <v>6109062605030003</v>
          </cell>
          <cell r="V545" t="str">
            <v>LOKAL</v>
          </cell>
        </row>
        <row r="546">
          <cell r="B546" t="str">
            <v>GM-00558</v>
          </cell>
          <cell r="C546" t="str">
            <v>MICHAEL</v>
          </cell>
          <cell r="E546">
            <v>43576</v>
          </cell>
          <cell r="F546" t="str">
            <v>L</v>
          </cell>
          <cell r="G546" t="str">
            <v>GENOK</v>
          </cell>
          <cell r="H546">
            <v>30195</v>
          </cell>
          <cell r="I546" t="str">
            <v>38 TAHUN</v>
          </cell>
          <cell r="J546" t="str">
            <v>KRISTEN</v>
          </cell>
          <cell r="K546" t="str">
            <v>NON KONTRAKTOR</v>
          </cell>
          <cell r="L546">
            <v>1</v>
          </cell>
          <cell r="M546" t="str">
            <v>MICHAEL</v>
          </cell>
          <cell r="N546">
            <v>827954935</v>
          </cell>
          <cell r="O546" t="str">
            <v>BNI</v>
          </cell>
          <cell r="P546" t="str">
            <v>AKTIF</v>
          </cell>
          <cell r="R546" t="str">
            <v>PANEN</v>
          </cell>
          <cell r="S546" t="str">
            <v>BORONGAN</v>
          </cell>
          <cell r="T546" t="str">
            <v>TRANSFER</v>
          </cell>
          <cell r="U546" t="str">
            <v>6109060109820009</v>
          </cell>
          <cell r="V546" t="str">
            <v>LOKAL</v>
          </cell>
        </row>
        <row r="547">
          <cell r="B547" t="str">
            <v>GM-00559</v>
          </cell>
          <cell r="C547" t="str">
            <v>SIONG</v>
          </cell>
          <cell r="E547">
            <v>43576</v>
          </cell>
          <cell r="F547" t="str">
            <v>L</v>
          </cell>
          <cell r="G547" t="str">
            <v>RANSI DAKAN</v>
          </cell>
          <cell r="H547">
            <v>27312</v>
          </cell>
          <cell r="I547" t="str">
            <v>46 TAHUN</v>
          </cell>
          <cell r="J547" t="str">
            <v>KRISTEN</v>
          </cell>
          <cell r="K547" t="str">
            <v>NON KONTRAKTOR</v>
          </cell>
          <cell r="L547">
            <v>2</v>
          </cell>
          <cell r="M547" t="str">
            <v>SIONG</v>
          </cell>
          <cell r="N547">
            <v>891149842</v>
          </cell>
          <cell r="O547" t="str">
            <v>BNI</v>
          </cell>
          <cell r="P547" t="str">
            <v>AKTIF</v>
          </cell>
          <cell r="R547" t="str">
            <v>PANEN</v>
          </cell>
          <cell r="S547" t="str">
            <v>BORONGAN</v>
          </cell>
          <cell r="T547" t="str">
            <v>TRANSFER</v>
          </cell>
          <cell r="U547" t="str">
            <v>6106131010740002</v>
          </cell>
          <cell r="V547" t="str">
            <v>LOKAL</v>
          </cell>
        </row>
        <row r="548">
          <cell r="B548" t="str">
            <v>GM-00560</v>
          </cell>
          <cell r="C548" t="str">
            <v>REGINA</v>
          </cell>
          <cell r="E548">
            <v>43576</v>
          </cell>
          <cell r="F548" t="str">
            <v>P</v>
          </cell>
          <cell r="G548" t="str">
            <v>AMOH</v>
          </cell>
          <cell r="H548">
            <v>30837</v>
          </cell>
          <cell r="I548" t="str">
            <v>36 TAHUN</v>
          </cell>
          <cell r="J548" t="str">
            <v>KRISTEN</v>
          </cell>
          <cell r="K548" t="str">
            <v>NON KONTRAKTOR</v>
          </cell>
          <cell r="L548">
            <v>5</v>
          </cell>
          <cell r="M548" t="str">
            <v>REGINA</v>
          </cell>
          <cell r="N548">
            <v>906222255</v>
          </cell>
          <cell r="O548" t="str">
            <v>BNI</v>
          </cell>
          <cell r="P548" t="str">
            <v>AKTIF</v>
          </cell>
          <cell r="R548" t="str">
            <v>PERAWATAN</v>
          </cell>
          <cell r="S548" t="str">
            <v>BORONGAN</v>
          </cell>
          <cell r="T548" t="str">
            <v>TRANSFER</v>
          </cell>
          <cell r="U548" t="str">
            <v>6109064406840002</v>
          </cell>
          <cell r="V548" t="str">
            <v>LOKAL</v>
          </cell>
        </row>
        <row r="549">
          <cell r="B549" t="str">
            <v>GM-00561</v>
          </cell>
          <cell r="C549" t="str">
            <v>DUNYA</v>
          </cell>
          <cell r="E549">
            <v>43576</v>
          </cell>
          <cell r="F549" t="str">
            <v>P</v>
          </cell>
          <cell r="G549" t="str">
            <v>AMOH</v>
          </cell>
          <cell r="H549">
            <v>26880</v>
          </cell>
          <cell r="I549" t="str">
            <v>47 TAHUN</v>
          </cell>
          <cell r="J549" t="str">
            <v>KRISTEN</v>
          </cell>
          <cell r="K549" t="str">
            <v>NON KONTRAKTOR</v>
          </cell>
          <cell r="L549">
            <v>5</v>
          </cell>
          <cell r="M549" t="str">
            <v>DUNYA</v>
          </cell>
          <cell r="N549">
            <v>906222175</v>
          </cell>
          <cell r="O549" t="str">
            <v>BNI</v>
          </cell>
          <cell r="P549" t="str">
            <v>AKTIF</v>
          </cell>
          <cell r="R549" t="str">
            <v>PERAWATAN</v>
          </cell>
          <cell r="S549" t="str">
            <v>BORONGAN</v>
          </cell>
          <cell r="T549" t="str">
            <v>TRANSFER</v>
          </cell>
          <cell r="U549" t="str">
            <v>6109064408730001</v>
          </cell>
          <cell r="V549" t="str">
            <v>LOKAL</v>
          </cell>
        </row>
        <row r="550">
          <cell r="B550" t="str">
            <v>GM-00562</v>
          </cell>
          <cell r="C550" t="str">
            <v>RILA NURYANTI</v>
          </cell>
          <cell r="E550">
            <v>43576</v>
          </cell>
          <cell r="F550" t="str">
            <v>P</v>
          </cell>
          <cell r="G550" t="str">
            <v>AMOH</v>
          </cell>
          <cell r="H550">
            <v>32423</v>
          </cell>
          <cell r="I550" t="str">
            <v>32 TAHUN</v>
          </cell>
          <cell r="J550" t="str">
            <v>KRISTEN</v>
          </cell>
          <cell r="K550" t="str">
            <v>NON KONTRAKTOR</v>
          </cell>
          <cell r="L550">
            <v>5</v>
          </cell>
          <cell r="M550" t="str">
            <v>RILA NURYANTI</v>
          </cell>
          <cell r="N550">
            <v>906222200</v>
          </cell>
          <cell r="O550" t="str">
            <v>BNI</v>
          </cell>
          <cell r="P550" t="str">
            <v>AKTIF</v>
          </cell>
          <cell r="R550" t="str">
            <v>PERAWATAN</v>
          </cell>
          <cell r="S550" t="str">
            <v>BORONGAN</v>
          </cell>
          <cell r="T550" t="str">
            <v>TRANSFER</v>
          </cell>
          <cell r="U550" t="str">
            <v>6109064710880001</v>
          </cell>
          <cell r="V550" t="str">
            <v>LOKAL</v>
          </cell>
        </row>
        <row r="551">
          <cell r="B551" t="str">
            <v>GM-00563</v>
          </cell>
          <cell r="C551" t="str">
            <v>IPI NORTINA</v>
          </cell>
          <cell r="E551">
            <v>43576</v>
          </cell>
          <cell r="F551" t="str">
            <v>P</v>
          </cell>
          <cell r="G551" t="str">
            <v>AMOH</v>
          </cell>
          <cell r="H551">
            <v>28718</v>
          </cell>
          <cell r="I551" t="str">
            <v>42 TAHUN</v>
          </cell>
          <cell r="J551" t="str">
            <v>KRISTEN</v>
          </cell>
          <cell r="K551" t="str">
            <v>NON KONTRAKTOR</v>
          </cell>
          <cell r="L551">
            <v>5</v>
          </cell>
          <cell r="M551" t="str">
            <v>IPI NORTINA</v>
          </cell>
          <cell r="N551">
            <v>908045996</v>
          </cell>
          <cell r="O551" t="str">
            <v>BNI</v>
          </cell>
          <cell r="P551" t="str">
            <v>AKTIF</v>
          </cell>
          <cell r="R551" t="str">
            <v>PERAWATAN</v>
          </cell>
          <cell r="S551" t="str">
            <v>BORONGAN</v>
          </cell>
          <cell r="T551" t="str">
            <v>TRANSFER</v>
          </cell>
          <cell r="U551" t="str">
            <v>6109065608780001</v>
          </cell>
          <cell r="V551" t="str">
            <v>LOKAL</v>
          </cell>
        </row>
        <row r="552">
          <cell r="B552" t="str">
            <v>GM-00564</v>
          </cell>
          <cell r="C552" t="str">
            <v>CICI KARMILA</v>
          </cell>
          <cell r="E552">
            <v>43576</v>
          </cell>
          <cell r="F552" t="str">
            <v>P</v>
          </cell>
          <cell r="G552" t="str">
            <v>AMOH</v>
          </cell>
          <cell r="H552">
            <v>32819</v>
          </cell>
          <cell r="I552" t="str">
            <v>31 TAHUN</v>
          </cell>
          <cell r="J552" t="str">
            <v>KRISTEN</v>
          </cell>
          <cell r="K552" t="str">
            <v>NON KONTRAKTOR</v>
          </cell>
          <cell r="L552">
            <v>4</v>
          </cell>
          <cell r="M552" t="str">
            <v>CICI KARMILA</v>
          </cell>
          <cell r="N552">
            <v>1135573878</v>
          </cell>
          <cell r="O552" t="str">
            <v>BNI</v>
          </cell>
          <cell r="P552" t="str">
            <v>AKTIF</v>
          </cell>
          <cell r="R552" t="str">
            <v>PERAWATAN</v>
          </cell>
          <cell r="S552" t="str">
            <v>BORONGAN</v>
          </cell>
          <cell r="T552" t="str">
            <v>TRANSFER</v>
          </cell>
          <cell r="U552" t="str">
            <v>6109064711890002</v>
          </cell>
          <cell r="V552" t="str">
            <v>LOKAL</v>
          </cell>
        </row>
        <row r="553">
          <cell r="B553" t="str">
            <v>GM-00565</v>
          </cell>
          <cell r="C553" t="str">
            <v>EMI SUSANTI</v>
          </cell>
          <cell r="E553">
            <v>43576</v>
          </cell>
          <cell r="F553" t="str">
            <v>P</v>
          </cell>
          <cell r="G553" t="str">
            <v>AMOH</v>
          </cell>
          <cell r="H553">
            <v>31620</v>
          </cell>
          <cell r="I553" t="str">
            <v>34 TAHUN</v>
          </cell>
          <cell r="J553" t="str">
            <v>KRISTEN</v>
          </cell>
          <cell r="K553" t="str">
            <v>NON KONTRAKTOR</v>
          </cell>
          <cell r="L553">
            <v>4</v>
          </cell>
          <cell r="P553" t="str">
            <v>AKTIF</v>
          </cell>
          <cell r="R553" t="str">
            <v>PERAWATAN</v>
          </cell>
          <cell r="S553" t="str">
            <v>BORONGAN</v>
          </cell>
          <cell r="T553" t="str">
            <v>TUNAI</v>
          </cell>
          <cell r="U553" t="str">
            <v>6109066707860005</v>
          </cell>
          <cell r="V553" t="str">
            <v>LOKAL</v>
          </cell>
        </row>
        <row r="554">
          <cell r="B554" t="str">
            <v>GM-00566</v>
          </cell>
          <cell r="C554" t="str">
            <v>PUPUK</v>
          </cell>
          <cell r="E554">
            <v>43576</v>
          </cell>
          <cell r="F554" t="str">
            <v>P</v>
          </cell>
          <cell r="G554" t="str">
            <v>SEBETUNG</v>
          </cell>
          <cell r="H554">
            <v>24065</v>
          </cell>
          <cell r="I554" t="str">
            <v>55 TAHUN</v>
          </cell>
          <cell r="J554" t="str">
            <v>KRISTEN</v>
          </cell>
          <cell r="K554" t="str">
            <v>NON KONTRAKTOR</v>
          </cell>
          <cell r="L554">
            <v>5</v>
          </cell>
          <cell r="P554" t="str">
            <v>AKTIF</v>
          </cell>
          <cell r="R554" t="str">
            <v>PERAWATAN</v>
          </cell>
          <cell r="S554" t="str">
            <v>BORONGAN</v>
          </cell>
          <cell r="T554" t="str">
            <v>TUNAI</v>
          </cell>
          <cell r="U554" t="str">
            <v>6109065911650001</v>
          </cell>
          <cell r="V554" t="str">
            <v>LOKAL</v>
          </cell>
        </row>
        <row r="555">
          <cell r="B555" t="str">
            <v>GM-00567</v>
          </cell>
          <cell r="C555" t="str">
            <v>PIRONIKA</v>
          </cell>
          <cell r="E555">
            <v>43576</v>
          </cell>
          <cell r="F555" t="str">
            <v>P</v>
          </cell>
          <cell r="G555" t="str">
            <v>SEBETUNG</v>
          </cell>
          <cell r="H555">
            <v>32333</v>
          </cell>
          <cell r="I555" t="str">
            <v>32 TAHUN</v>
          </cell>
          <cell r="J555" t="str">
            <v>KRISTEN</v>
          </cell>
          <cell r="K555" t="str">
            <v>NON KONTRAKTOR</v>
          </cell>
          <cell r="L555">
            <v>5</v>
          </cell>
          <cell r="P555" t="str">
            <v>AKTIF</v>
          </cell>
          <cell r="R555" t="str">
            <v>PERAWATAN</v>
          </cell>
          <cell r="S555" t="str">
            <v>BORONGAN</v>
          </cell>
          <cell r="T555" t="str">
            <v>TUNAI</v>
          </cell>
          <cell r="U555" t="str">
            <v>6109064907880004</v>
          </cell>
          <cell r="V555" t="str">
            <v>LOKAL</v>
          </cell>
        </row>
        <row r="556">
          <cell r="B556" t="str">
            <v>GM-00568</v>
          </cell>
          <cell r="C556" t="str">
            <v>NURWANTI</v>
          </cell>
          <cell r="E556">
            <v>43576</v>
          </cell>
          <cell r="F556" t="str">
            <v>P</v>
          </cell>
          <cell r="G556" t="str">
            <v>MUNGGUK WI</v>
          </cell>
          <cell r="H556">
            <v>32270</v>
          </cell>
          <cell r="I556" t="str">
            <v>32 TAHUN</v>
          </cell>
          <cell r="J556" t="str">
            <v>KRISTEN</v>
          </cell>
          <cell r="K556" t="str">
            <v>NON KONTRAKTOR</v>
          </cell>
          <cell r="L556">
            <v>5</v>
          </cell>
          <cell r="P556" t="str">
            <v>AKTIF</v>
          </cell>
          <cell r="R556" t="str">
            <v>PERAWATAN</v>
          </cell>
          <cell r="S556" t="str">
            <v>BORONGAN</v>
          </cell>
          <cell r="T556" t="str">
            <v>TUNAI</v>
          </cell>
          <cell r="U556" t="str">
            <v>6109064705880003</v>
          </cell>
          <cell r="V556" t="str">
            <v>LOKAL</v>
          </cell>
        </row>
        <row r="557">
          <cell r="B557" t="str">
            <v>GM-00569</v>
          </cell>
          <cell r="C557" t="str">
            <v>LILIDIANA</v>
          </cell>
          <cell r="E557">
            <v>43576</v>
          </cell>
          <cell r="F557" t="str">
            <v>P</v>
          </cell>
          <cell r="G557" t="str">
            <v>SEI BUAYA</v>
          </cell>
          <cell r="H557">
            <v>33040</v>
          </cell>
          <cell r="I557" t="str">
            <v>30 TAHUN</v>
          </cell>
          <cell r="J557" t="str">
            <v>KRISTEN</v>
          </cell>
          <cell r="K557" t="str">
            <v>NON KONTRAKTOR</v>
          </cell>
          <cell r="L557">
            <v>5</v>
          </cell>
          <cell r="P557" t="str">
            <v>AKTIF</v>
          </cell>
          <cell r="R557" t="str">
            <v>PERAWATAN</v>
          </cell>
          <cell r="S557" t="str">
            <v>BORONGAN</v>
          </cell>
          <cell r="T557" t="str">
            <v>TUNAI</v>
          </cell>
          <cell r="U557" t="str">
            <v>6109065606900004</v>
          </cell>
          <cell r="V557" t="str">
            <v>LOKAL</v>
          </cell>
        </row>
        <row r="558">
          <cell r="B558" t="str">
            <v>GM-00570</v>
          </cell>
          <cell r="C558" t="str">
            <v>EVI INDAH</v>
          </cell>
          <cell r="E558">
            <v>43576</v>
          </cell>
          <cell r="F558" t="str">
            <v>P</v>
          </cell>
          <cell r="G558" t="str">
            <v>SEI ANTU PULAU</v>
          </cell>
          <cell r="H558">
            <v>33031</v>
          </cell>
          <cell r="I558" t="str">
            <v>30 TAHUN</v>
          </cell>
          <cell r="J558" t="str">
            <v>KRISTEN</v>
          </cell>
          <cell r="K558" t="str">
            <v>NON KONTRAKTOR</v>
          </cell>
          <cell r="L558">
            <v>5</v>
          </cell>
          <cell r="P558" t="str">
            <v>AKTIF</v>
          </cell>
          <cell r="R558" t="str">
            <v>PERAWATAN</v>
          </cell>
          <cell r="S558" t="str">
            <v>BORONGAN</v>
          </cell>
          <cell r="T558" t="str">
            <v>TUNAI</v>
          </cell>
          <cell r="U558" t="str">
            <v>6109064706900004</v>
          </cell>
          <cell r="V558" t="str">
            <v>LOKAL</v>
          </cell>
        </row>
        <row r="559">
          <cell r="B559" t="str">
            <v>GM-00571</v>
          </cell>
          <cell r="C559" t="str">
            <v>TANISSA</v>
          </cell>
          <cell r="D559" t="str">
            <v>Ds. SEPURU</v>
          </cell>
          <cell r="E559">
            <v>43576</v>
          </cell>
          <cell r="F559" t="str">
            <v>P</v>
          </cell>
          <cell r="G559" t="str">
            <v>DUSUN SEPURU</v>
          </cell>
          <cell r="H559">
            <v>33849</v>
          </cell>
          <cell r="I559" t="str">
            <v>28 TAHUN</v>
          </cell>
          <cell r="J559" t="str">
            <v>KRISTEN</v>
          </cell>
          <cell r="K559" t="str">
            <v>NON KONTRAKTOR</v>
          </cell>
          <cell r="L559">
            <v>5</v>
          </cell>
          <cell r="M559" t="str">
            <v>TANISSIA</v>
          </cell>
          <cell r="N559">
            <v>984424431</v>
          </cell>
          <cell r="O559" t="str">
            <v>BNI</v>
          </cell>
          <cell r="P559" t="str">
            <v>AKTIF</v>
          </cell>
          <cell r="R559" t="str">
            <v>PERAWATAN</v>
          </cell>
          <cell r="S559" t="str">
            <v>BORONGAN</v>
          </cell>
          <cell r="T559" t="str">
            <v>TRANSFER</v>
          </cell>
          <cell r="U559" t="str">
            <v>6109064209920002</v>
          </cell>
          <cell r="V559" t="str">
            <v>LOKAL</v>
          </cell>
        </row>
        <row r="560">
          <cell r="B560" t="str">
            <v>GM-00572</v>
          </cell>
          <cell r="C560" t="str">
            <v>TABITA</v>
          </cell>
          <cell r="E560">
            <v>43576</v>
          </cell>
          <cell r="F560" t="str">
            <v>P</v>
          </cell>
          <cell r="G560" t="str">
            <v>MERTAWAI</v>
          </cell>
          <cell r="H560">
            <v>33689</v>
          </cell>
          <cell r="I560" t="str">
            <v>28 TAHUN</v>
          </cell>
          <cell r="J560" t="str">
            <v>KRISTEN</v>
          </cell>
          <cell r="K560" t="str">
            <v>NON KONTRAKTOR</v>
          </cell>
          <cell r="L560">
            <v>5</v>
          </cell>
          <cell r="M560" t="str">
            <v>TABITA</v>
          </cell>
          <cell r="N560">
            <v>908045963</v>
          </cell>
          <cell r="O560" t="str">
            <v>BNI</v>
          </cell>
          <cell r="P560" t="str">
            <v>AKTIF</v>
          </cell>
          <cell r="R560" t="str">
            <v>PERAWATAN</v>
          </cell>
          <cell r="S560" t="str">
            <v>BORONGAN</v>
          </cell>
          <cell r="T560" t="str">
            <v>TRANSFER</v>
          </cell>
          <cell r="U560" t="str">
            <v>6109066603920001</v>
          </cell>
          <cell r="V560" t="str">
            <v>LOKAL</v>
          </cell>
        </row>
        <row r="561">
          <cell r="B561" t="str">
            <v>GM-00573</v>
          </cell>
          <cell r="C561" t="str">
            <v>NINIGIATI</v>
          </cell>
          <cell r="E561">
            <v>43576</v>
          </cell>
          <cell r="F561" t="str">
            <v>P</v>
          </cell>
          <cell r="G561" t="str">
            <v>NGELAI</v>
          </cell>
          <cell r="H561">
            <v>29416</v>
          </cell>
          <cell r="I561" t="str">
            <v>40 TAHUN</v>
          </cell>
          <cell r="J561" t="str">
            <v>KRISTEN</v>
          </cell>
          <cell r="K561" t="str">
            <v>NON KONTRAKTOR</v>
          </cell>
          <cell r="L561">
            <v>5</v>
          </cell>
          <cell r="M561" t="str">
            <v>NINIGIATI</v>
          </cell>
          <cell r="N561">
            <v>906222186</v>
          </cell>
          <cell r="O561" t="str">
            <v>BNI</v>
          </cell>
          <cell r="P561" t="str">
            <v>AKTIF</v>
          </cell>
          <cell r="R561" t="str">
            <v>PERAWATAN</v>
          </cell>
          <cell r="S561" t="str">
            <v>BORONGAN</v>
          </cell>
          <cell r="T561" t="str">
            <v>TRANSFER</v>
          </cell>
          <cell r="U561" t="str">
            <v>6109065407800004</v>
          </cell>
          <cell r="V561" t="str">
            <v>LOKAL</v>
          </cell>
        </row>
        <row r="562">
          <cell r="B562" t="str">
            <v>GM-00574</v>
          </cell>
          <cell r="C562" t="str">
            <v>EMILIA K</v>
          </cell>
          <cell r="E562">
            <v>43576</v>
          </cell>
          <cell r="F562" t="str">
            <v>P</v>
          </cell>
          <cell r="G562" t="str">
            <v>PAKIT MULAU</v>
          </cell>
          <cell r="H562">
            <v>28598</v>
          </cell>
          <cell r="I562" t="str">
            <v>42 TAHUN</v>
          </cell>
          <cell r="J562" t="str">
            <v>KRISTEN</v>
          </cell>
          <cell r="K562" t="str">
            <v>NON KONTRAKTOR</v>
          </cell>
          <cell r="L562">
            <v>5</v>
          </cell>
          <cell r="P562" t="str">
            <v>AKTIF</v>
          </cell>
          <cell r="R562" t="str">
            <v>PERAWATAN</v>
          </cell>
          <cell r="S562" t="str">
            <v>BORONGAN</v>
          </cell>
          <cell r="T562" t="str">
            <v>TUNAI</v>
          </cell>
          <cell r="U562" t="str">
            <v>6109065804780001</v>
          </cell>
          <cell r="V562" t="str">
            <v>LOKAL</v>
          </cell>
        </row>
        <row r="563">
          <cell r="B563" t="str">
            <v>GM-00575</v>
          </cell>
          <cell r="C563" t="str">
            <v>DUYEKTA KRISTINA Y</v>
          </cell>
          <cell r="E563">
            <v>43576</v>
          </cell>
          <cell r="F563" t="str">
            <v>P</v>
          </cell>
          <cell r="G563" t="str">
            <v>SEPAUH</v>
          </cell>
          <cell r="H563">
            <v>30961</v>
          </cell>
          <cell r="I563" t="str">
            <v>36 TAHUN</v>
          </cell>
          <cell r="J563" t="str">
            <v>KRISTEN</v>
          </cell>
          <cell r="K563" t="str">
            <v>NON KONTRAKTOR</v>
          </cell>
          <cell r="L563">
            <v>5</v>
          </cell>
          <cell r="P563" t="str">
            <v>AKTIF</v>
          </cell>
          <cell r="R563" t="str">
            <v>PERAWATAN</v>
          </cell>
          <cell r="S563" t="str">
            <v>BORONGAN</v>
          </cell>
          <cell r="T563" t="str">
            <v>TUNAI</v>
          </cell>
          <cell r="U563" t="str">
            <v>6109064610840003</v>
          </cell>
          <cell r="V563" t="str">
            <v>LOKAL</v>
          </cell>
        </row>
        <row r="564">
          <cell r="B564" t="str">
            <v>GM-00576</v>
          </cell>
          <cell r="C564" t="str">
            <v>SUADI</v>
          </cell>
          <cell r="E564">
            <v>43576</v>
          </cell>
          <cell r="F564" t="str">
            <v>L</v>
          </cell>
          <cell r="G564" t="str">
            <v>SEPAUH</v>
          </cell>
          <cell r="H564">
            <v>28916</v>
          </cell>
          <cell r="I564" t="str">
            <v>41 TAHUN</v>
          </cell>
          <cell r="J564" t="str">
            <v>KRISTEN</v>
          </cell>
          <cell r="K564" t="str">
            <v>NON KONTRAKTOR</v>
          </cell>
          <cell r="L564">
            <v>5</v>
          </cell>
          <cell r="P564" t="str">
            <v>AKTIF</v>
          </cell>
          <cell r="R564" t="str">
            <v>PERAWATAN</v>
          </cell>
          <cell r="S564" t="str">
            <v>BORONGAN</v>
          </cell>
          <cell r="T564" t="str">
            <v>TUNAI</v>
          </cell>
          <cell r="U564" t="str">
            <v>6109060203790002</v>
          </cell>
          <cell r="V564" t="str">
            <v>LOKAL</v>
          </cell>
        </row>
        <row r="565">
          <cell r="B565" t="str">
            <v>GM-00577</v>
          </cell>
          <cell r="C565" t="str">
            <v>SALOME</v>
          </cell>
          <cell r="E565">
            <v>43576</v>
          </cell>
          <cell r="F565" t="str">
            <v>L</v>
          </cell>
          <cell r="G565" t="str">
            <v>NANGA KEDANG</v>
          </cell>
          <cell r="H565">
            <v>31492</v>
          </cell>
          <cell r="I565" t="str">
            <v>34 TAHUN</v>
          </cell>
          <cell r="J565" t="str">
            <v>KRISTEN</v>
          </cell>
          <cell r="K565" t="str">
            <v>NON KONTRAKTOR</v>
          </cell>
          <cell r="L565">
            <v>5</v>
          </cell>
          <cell r="P565" t="str">
            <v>AKTIF</v>
          </cell>
          <cell r="R565" t="str">
            <v>PERAWATAN</v>
          </cell>
          <cell r="S565" t="str">
            <v>BORONGAN</v>
          </cell>
          <cell r="T565" t="str">
            <v>TUNAI</v>
          </cell>
          <cell r="U565" t="str">
            <v>6109066103860001</v>
          </cell>
          <cell r="V565" t="str">
            <v>LOKAL</v>
          </cell>
        </row>
        <row r="566">
          <cell r="B566" t="str">
            <v>GM-00578</v>
          </cell>
          <cell r="C566" t="str">
            <v>YAHYA R.</v>
          </cell>
          <cell r="E566">
            <v>43576</v>
          </cell>
          <cell r="F566" t="str">
            <v>L</v>
          </cell>
          <cell r="G566" t="str">
            <v>LANDAU MENGARAU</v>
          </cell>
          <cell r="H566">
            <v>21981</v>
          </cell>
          <cell r="I566" t="str">
            <v>60 TAHUN</v>
          </cell>
          <cell r="J566" t="str">
            <v>KRISTEN</v>
          </cell>
          <cell r="K566" t="str">
            <v>NON KONTRAKTOR</v>
          </cell>
          <cell r="L566">
            <v>5</v>
          </cell>
          <cell r="P566" t="str">
            <v>AKTIF</v>
          </cell>
          <cell r="R566" t="str">
            <v>PERAWATAN</v>
          </cell>
          <cell r="S566" t="str">
            <v>BORONGAN</v>
          </cell>
          <cell r="T566" t="str">
            <v>TUNAI</v>
          </cell>
          <cell r="U566" t="str">
            <v>6109060603600006</v>
          </cell>
          <cell r="V566" t="str">
            <v>LOKAL</v>
          </cell>
        </row>
        <row r="567">
          <cell r="B567" t="str">
            <v>GM-00579</v>
          </cell>
          <cell r="C567" t="str">
            <v>MARICE TAMAYANG</v>
          </cell>
          <cell r="E567">
            <v>43576</v>
          </cell>
          <cell r="F567" t="str">
            <v>P</v>
          </cell>
          <cell r="G567" t="str">
            <v>TERDUK DAMPAK</v>
          </cell>
          <cell r="H567">
            <v>32652</v>
          </cell>
          <cell r="I567" t="str">
            <v>31 TAHUN</v>
          </cell>
          <cell r="J567" t="str">
            <v>KRISTEN</v>
          </cell>
          <cell r="K567" t="str">
            <v>NON KONTRAKTOR</v>
          </cell>
          <cell r="L567">
            <v>5</v>
          </cell>
          <cell r="P567" t="str">
            <v>AKTIF</v>
          </cell>
          <cell r="R567" t="str">
            <v>PERAWATAN</v>
          </cell>
          <cell r="S567" t="str">
            <v>BORONGAN</v>
          </cell>
          <cell r="T567" t="str">
            <v>TUNAI</v>
          </cell>
          <cell r="U567" t="str">
            <v>6109066405890003</v>
          </cell>
          <cell r="V567" t="str">
            <v>LOKAL</v>
          </cell>
        </row>
        <row r="568">
          <cell r="B568" t="str">
            <v>GM-00580</v>
          </cell>
          <cell r="C568" t="str">
            <v>LORNA CAROLINA</v>
          </cell>
          <cell r="E568">
            <v>43576</v>
          </cell>
          <cell r="F568" t="str">
            <v>P</v>
          </cell>
          <cell r="G568" t="str">
            <v>TERDUK DAMPAK</v>
          </cell>
          <cell r="H568">
            <v>29127</v>
          </cell>
          <cell r="I568" t="str">
            <v>41 TAHUN</v>
          </cell>
          <cell r="J568" t="str">
            <v>KRISTEN</v>
          </cell>
          <cell r="K568" t="str">
            <v>NON KONTRAKTOR</v>
          </cell>
          <cell r="L568">
            <v>5</v>
          </cell>
          <cell r="P568" t="str">
            <v>AKTIF</v>
          </cell>
          <cell r="R568" t="str">
            <v>PERAWATAN</v>
          </cell>
          <cell r="S568" t="str">
            <v>BORONGAN</v>
          </cell>
          <cell r="T568" t="str">
            <v>TUNAI</v>
          </cell>
          <cell r="U568" t="str">
            <v>6109066909790003</v>
          </cell>
          <cell r="V568" t="str">
            <v>LOKAL</v>
          </cell>
        </row>
        <row r="569">
          <cell r="B569" t="str">
            <v>GM-00581</v>
          </cell>
          <cell r="C569" t="str">
            <v>REGINA</v>
          </cell>
          <cell r="E569">
            <v>43576</v>
          </cell>
          <cell r="F569" t="str">
            <v>P</v>
          </cell>
          <cell r="G569" t="str">
            <v>TERDUK DAMPAK</v>
          </cell>
          <cell r="H569">
            <v>29791</v>
          </cell>
          <cell r="I569" t="str">
            <v>39 TAHUN</v>
          </cell>
          <cell r="J569" t="str">
            <v>KRISTEN</v>
          </cell>
          <cell r="K569" t="str">
            <v>NON KONTRAKTOR</v>
          </cell>
          <cell r="L569">
            <v>5</v>
          </cell>
          <cell r="M569" t="str">
            <v>REGINA</v>
          </cell>
          <cell r="N569">
            <v>908046014</v>
          </cell>
          <cell r="O569" t="str">
            <v>BNI</v>
          </cell>
          <cell r="P569" t="str">
            <v>AKTIF</v>
          </cell>
          <cell r="R569" t="str">
            <v>PERAWATAN</v>
          </cell>
          <cell r="S569" t="str">
            <v>BORONGAN</v>
          </cell>
          <cell r="T569" t="str">
            <v>TRANSFER</v>
          </cell>
          <cell r="U569" t="str">
            <v>6109066407810001</v>
          </cell>
          <cell r="V569" t="str">
            <v>LOKAL</v>
          </cell>
        </row>
        <row r="570">
          <cell r="B570" t="str">
            <v>GM-00582</v>
          </cell>
          <cell r="C570" t="str">
            <v>YULIANA</v>
          </cell>
          <cell r="E570">
            <v>43576</v>
          </cell>
          <cell r="F570" t="str">
            <v>P</v>
          </cell>
          <cell r="G570" t="str">
            <v>BAK MERAT</v>
          </cell>
          <cell r="H570">
            <v>26888</v>
          </cell>
          <cell r="I570" t="str">
            <v>47 TAHUN</v>
          </cell>
          <cell r="J570" t="str">
            <v>KRISTEN</v>
          </cell>
          <cell r="K570" t="str">
            <v>NON KONTRAKTOR</v>
          </cell>
          <cell r="L570">
            <v>5</v>
          </cell>
          <cell r="M570" t="str">
            <v>YULIANA</v>
          </cell>
          <cell r="N570">
            <v>908046003</v>
          </cell>
          <cell r="O570" t="str">
            <v>BNI</v>
          </cell>
          <cell r="P570" t="str">
            <v>AKTIF</v>
          </cell>
          <cell r="R570" t="str">
            <v>PERAWATAN</v>
          </cell>
          <cell r="S570" t="str">
            <v>BORONGAN</v>
          </cell>
          <cell r="T570" t="str">
            <v>TRANSFER</v>
          </cell>
          <cell r="U570" t="str">
            <v>6109065206730004</v>
          </cell>
          <cell r="V570" t="str">
            <v>LOKAL</v>
          </cell>
        </row>
        <row r="571">
          <cell r="B571" t="str">
            <v>GM-00583</v>
          </cell>
          <cell r="C571" t="str">
            <v>ERPILA</v>
          </cell>
          <cell r="E571">
            <v>43576</v>
          </cell>
          <cell r="F571" t="str">
            <v>P</v>
          </cell>
          <cell r="G571" t="str">
            <v>SEI ANTU PULAU</v>
          </cell>
          <cell r="H571">
            <v>30992</v>
          </cell>
          <cell r="I571" t="str">
            <v>36 TAHUN</v>
          </cell>
          <cell r="J571" t="str">
            <v>KRISTEN</v>
          </cell>
          <cell r="K571" t="str">
            <v>NON KONTRAKTOR</v>
          </cell>
          <cell r="L571">
            <v>5</v>
          </cell>
          <cell r="P571" t="str">
            <v>AKTIF</v>
          </cell>
          <cell r="R571" t="str">
            <v>PERAWATAN</v>
          </cell>
          <cell r="S571" t="str">
            <v>BORONGAN</v>
          </cell>
          <cell r="T571" t="str">
            <v>TUNAI</v>
          </cell>
          <cell r="U571" t="str">
            <v>6109064611840001</v>
          </cell>
          <cell r="V571" t="str">
            <v>LOKAL</v>
          </cell>
        </row>
        <row r="572">
          <cell r="B572" t="str">
            <v>GM-00584</v>
          </cell>
          <cell r="C572" t="str">
            <v>YUNIS S.</v>
          </cell>
          <cell r="E572">
            <v>43576</v>
          </cell>
          <cell r="F572" t="str">
            <v>P</v>
          </cell>
          <cell r="G572" t="str">
            <v>ENGKUDU</v>
          </cell>
          <cell r="H572">
            <v>24272</v>
          </cell>
          <cell r="I572" t="str">
            <v>54 TAHUN</v>
          </cell>
          <cell r="J572" t="str">
            <v>KRISTEN</v>
          </cell>
          <cell r="K572" t="str">
            <v>NON KONTRAKTOR</v>
          </cell>
          <cell r="L572">
            <v>5</v>
          </cell>
          <cell r="M572" t="str">
            <v>YUNIS.S</v>
          </cell>
          <cell r="N572">
            <v>908046025</v>
          </cell>
          <cell r="O572" t="str">
            <v>BNI</v>
          </cell>
          <cell r="P572" t="str">
            <v>AKTIF</v>
          </cell>
          <cell r="R572" t="str">
            <v>PERAWATAN</v>
          </cell>
          <cell r="S572" t="str">
            <v>BORONGAN</v>
          </cell>
          <cell r="T572" t="str">
            <v>TRANSFER</v>
          </cell>
          <cell r="U572" t="str">
            <v>610906540666005</v>
          </cell>
          <cell r="V572" t="str">
            <v>LOKAL</v>
          </cell>
        </row>
        <row r="573">
          <cell r="B573" t="str">
            <v>GM-00585</v>
          </cell>
          <cell r="C573" t="str">
            <v>SEMEON. R</v>
          </cell>
          <cell r="E573">
            <v>43585</v>
          </cell>
          <cell r="F573" t="str">
            <v>L</v>
          </cell>
          <cell r="G573" t="str">
            <v>KEDANG BUNGKANG</v>
          </cell>
          <cell r="H573">
            <v>20210</v>
          </cell>
          <cell r="I573" t="str">
            <v>65 TAHUN</v>
          </cell>
          <cell r="J573" t="str">
            <v>KRISTEN</v>
          </cell>
          <cell r="K573" t="str">
            <v>NON KONTRAKTOR</v>
          </cell>
          <cell r="L573">
            <v>2</v>
          </cell>
          <cell r="P573" t="str">
            <v>AKTIF</v>
          </cell>
          <cell r="R573" t="str">
            <v>PERAWATAN</v>
          </cell>
          <cell r="S573" t="str">
            <v>BORONGAN</v>
          </cell>
          <cell r="T573" t="str">
            <v>TUNAI</v>
          </cell>
          <cell r="U573" t="str">
            <v>6109060105550003</v>
          </cell>
          <cell r="V573" t="str">
            <v>LOKAL</v>
          </cell>
        </row>
        <row r="574">
          <cell r="B574" t="str">
            <v>GM-00586</v>
          </cell>
          <cell r="C574" t="str">
            <v>DIMIN</v>
          </cell>
          <cell r="E574">
            <v>43585</v>
          </cell>
          <cell r="F574" t="str">
            <v>L</v>
          </cell>
          <cell r="G574" t="str">
            <v>KEDANG BUNGKANG</v>
          </cell>
          <cell r="H574">
            <v>23342</v>
          </cell>
          <cell r="I574" t="str">
            <v>57 TAHUN</v>
          </cell>
          <cell r="J574" t="str">
            <v>KRISTEN</v>
          </cell>
          <cell r="K574" t="str">
            <v>NON KONTRAKTOR</v>
          </cell>
          <cell r="L574">
            <v>2</v>
          </cell>
          <cell r="P574" t="str">
            <v>AKTIF</v>
          </cell>
          <cell r="R574" t="str">
            <v>PERAWATAN</v>
          </cell>
          <cell r="S574" t="str">
            <v>BORONGAN</v>
          </cell>
          <cell r="T574" t="str">
            <v>TUNAI</v>
          </cell>
          <cell r="U574" t="str">
            <v>6109062711630003</v>
          </cell>
          <cell r="V574" t="str">
            <v>LOKAL</v>
          </cell>
        </row>
        <row r="575">
          <cell r="B575" t="str">
            <v>GM-00587</v>
          </cell>
          <cell r="C575" t="str">
            <v>TRIYANA YUSTINA</v>
          </cell>
          <cell r="E575">
            <v>43585</v>
          </cell>
          <cell r="F575" t="str">
            <v>P</v>
          </cell>
          <cell r="G575" t="str">
            <v>BINJAI HILIR</v>
          </cell>
          <cell r="H575">
            <v>27995</v>
          </cell>
          <cell r="I575" t="str">
            <v>44 TAHUN</v>
          </cell>
          <cell r="J575" t="str">
            <v>KRISTEN</v>
          </cell>
          <cell r="K575" t="str">
            <v>NON KONTRAKTOR</v>
          </cell>
          <cell r="L575">
            <v>2</v>
          </cell>
          <cell r="P575" t="str">
            <v>AKTIF</v>
          </cell>
          <cell r="R575" t="str">
            <v>PERAWATAN</v>
          </cell>
          <cell r="S575" t="str">
            <v>BORONGAN</v>
          </cell>
          <cell r="T575" t="str">
            <v>TUNAI</v>
          </cell>
          <cell r="U575" t="str">
            <v>6109066308760000</v>
          </cell>
          <cell r="V575" t="str">
            <v>LOKAL</v>
          </cell>
        </row>
        <row r="576">
          <cell r="B576" t="str">
            <v>GM-00588</v>
          </cell>
          <cell r="C576" t="str">
            <v>SIPU YATIRA</v>
          </cell>
          <cell r="E576">
            <v>43585</v>
          </cell>
          <cell r="F576" t="str">
            <v>P</v>
          </cell>
          <cell r="G576" t="str">
            <v>KEDANG BUNGKANG</v>
          </cell>
          <cell r="H576">
            <v>30558</v>
          </cell>
          <cell r="I576" t="str">
            <v>37 TAHUN</v>
          </cell>
          <cell r="J576" t="str">
            <v>KRISTEN</v>
          </cell>
          <cell r="K576" t="str">
            <v>NON KONTRAKTOR</v>
          </cell>
          <cell r="L576">
            <v>2</v>
          </cell>
          <cell r="P576" t="str">
            <v>AKTIF</v>
          </cell>
          <cell r="R576" t="str">
            <v>PERAWATAN</v>
          </cell>
          <cell r="S576" t="str">
            <v>BORONGAN</v>
          </cell>
          <cell r="T576" t="str">
            <v>TUNAI</v>
          </cell>
          <cell r="U576" t="str">
            <v>6109067008830003</v>
          </cell>
          <cell r="V576" t="str">
            <v>LOKAL</v>
          </cell>
        </row>
        <row r="577">
          <cell r="B577" t="str">
            <v>GM-00589</v>
          </cell>
          <cell r="C577" t="str">
            <v>NITA</v>
          </cell>
          <cell r="E577">
            <v>43585</v>
          </cell>
          <cell r="F577" t="str">
            <v>P</v>
          </cell>
          <cell r="G577" t="str">
            <v>KEDANG BUNGKANG</v>
          </cell>
          <cell r="H577">
            <v>28363</v>
          </cell>
          <cell r="I577" t="str">
            <v>43 TAHUN</v>
          </cell>
          <cell r="J577" t="str">
            <v>KRISTEN</v>
          </cell>
          <cell r="K577" t="str">
            <v>NON KONTRAKTOR</v>
          </cell>
          <cell r="L577">
            <v>2</v>
          </cell>
          <cell r="P577" t="str">
            <v>AKTIF</v>
          </cell>
          <cell r="R577" t="str">
            <v>PERAWATAN</v>
          </cell>
          <cell r="S577" t="str">
            <v>BORONGAN</v>
          </cell>
          <cell r="T577" t="str">
            <v>TUNAI</v>
          </cell>
          <cell r="U577" t="str">
            <v>6109066087700002</v>
          </cell>
          <cell r="V577" t="str">
            <v>LOKAL</v>
          </cell>
        </row>
        <row r="578">
          <cell r="B578" t="str">
            <v>GM-00590</v>
          </cell>
          <cell r="C578" t="str">
            <v>JIHEN</v>
          </cell>
          <cell r="E578">
            <v>43585</v>
          </cell>
          <cell r="F578" t="str">
            <v>P</v>
          </cell>
          <cell r="G578" t="str">
            <v>KEDUKUL</v>
          </cell>
          <cell r="H578">
            <v>35879</v>
          </cell>
          <cell r="I578" t="str">
            <v>22 TAHUN</v>
          </cell>
          <cell r="J578" t="str">
            <v>KRISTEN</v>
          </cell>
          <cell r="K578" t="str">
            <v>NON KONTRAKTOR</v>
          </cell>
          <cell r="L578">
            <v>2</v>
          </cell>
          <cell r="P578" t="str">
            <v>AKTIF</v>
          </cell>
          <cell r="R578" t="str">
            <v>PERAWATAN</v>
          </cell>
          <cell r="S578" t="str">
            <v>BORONGAN</v>
          </cell>
          <cell r="T578" t="str">
            <v>TUNAI</v>
          </cell>
          <cell r="U578" t="str">
            <v>6109062503980002</v>
          </cell>
          <cell r="V578" t="str">
            <v>LOKAL</v>
          </cell>
        </row>
        <row r="579">
          <cell r="B579" t="str">
            <v>GM-00591</v>
          </cell>
          <cell r="C579" t="str">
            <v>MUSTARI. N</v>
          </cell>
          <cell r="E579">
            <v>43580</v>
          </cell>
          <cell r="F579" t="str">
            <v>L</v>
          </cell>
          <cell r="G579" t="str">
            <v>AMOH</v>
          </cell>
          <cell r="H579">
            <v>23083</v>
          </cell>
          <cell r="I579" t="str">
            <v>57 TAHUN</v>
          </cell>
          <cell r="J579" t="str">
            <v>KRISTEN</v>
          </cell>
          <cell r="K579" t="str">
            <v>NON KONTRAKTOR</v>
          </cell>
          <cell r="L579">
            <v>4</v>
          </cell>
          <cell r="M579" t="str">
            <v>MUSTARI N</v>
          </cell>
          <cell r="N579">
            <v>359569751</v>
          </cell>
          <cell r="O579" t="str">
            <v>BNI</v>
          </cell>
          <cell r="P579" t="str">
            <v>AKTIF</v>
          </cell>
          <cell r="R579" t="str">
            <v>PERAWATAN</v>
          </cell>
          <cell r="S579" t="str">
            <v>BORONGAN</v>
          </cell>
          <cell r="T579" t="str">
            <v>TRANSFER</v>
          </cell>
          <cell r="U579" t="str">
            <v>6109061303630001</v>
          </cell>
          <cell r="V579" t="str">
            <v>LOKAL</v>
          </cell>
        </row>
        <row r="580">
          <cell r="B580" t="str">
            <v>GM-00592</v>
          </cell>
          <cell r="C580" t="str">
            <v>PIA</v>
          </cell>
          <cell r="E580">
            <v>43580</v>
          </cell>
          <cell r="F580" t="str">
            <v>P</v>
          </cell>
          <cell r="G580" t="str">
            <v>KESANGE</v>
          </cell>
          <cell r="H580">
            <v>35379</v>
          </cell>
          <cell r="I580" t="str">
            <v>24 TAHUN</v>
          </cell>
          <cell r="J580" t="str">
            <v>KATHOLIK</v>
          </cell>
          <cell r="K580" t="str">
            <v>NURSAIL</v>
          </cell>
          <cell r="L580">
            <v>4</v>
          </cell>
          <cell r="M580" t="str">
            <v>PIA</v>
          </cell>
          <cell r="N580">
            <v>1156580858</v>
          </cell>
          <cell r="O580" t="str">
            <v>BNI</v>
          </cell>
          <cell r="P580" t="str">
            <v>AKTIF</v>
          </cell>
          <cell r="R580" t="str">
            <v>PERAWATAN</v>
          </cell>
          <cell r="S580" t="str">
            <v>BORONGAN</v>
          </cell>
          <cell r="T580" t="str">
            <v>TRANSFER</v>
          </cell>
          <cell r="U580" t="str">
            <v>6110061011940000</v>
          </cell>
          <cell r="V580" t="str">
            <v>LOKAL</v>
          </cell>
        </row>
        <row r="581">
          <cell r="B581" t="str">
            <v>GM-00593</v>
          </cell>
          <cell r="C581" t="str">
            <v>REFKA</v>
          </cell>
          <cell r="E581">
            <v>43580</v>
          </cell>
          <cell r="F581" t="str">
            <v>P</v>
          </cell>
          <cell r="G581" t="str">
            <v>TABUK</v>
          </cell>
          <cell r="H581">
            <v>24534</v>
          </cell>
          <cell r="I581" t="str">
            <v>53 TAHUN</v>
          </cell>
          <cell r="J581" t="str">
            <v>KRISTEN</v>
          </cell>
          <cell r="K581" t="str">
            <v>NON KONTRAKTOR</v>
          </cell>
          <cell r="L581">
            <v>4</v>
          </cell>
          <cell r="P581" t="str">
            <v>AKTIF</v>
          </cell>
          <cell r="R581" t="str">
            <v>PERAWATAN</v>
          </cell>
          <cell r="S581" t="str">
            <v>BORONGAN</v>
          </cell>
          <cell r="T581" t="str">
            <v>TUNAI</v>
          </cell>
          <cell r="U581" t="str">
            <v>6109064303670002</v>
          </cell>
          <cell r="V581" t="str">
            <v>LOKAL</v>
          </cell>
        </row>
        <row r="582">
          <cell r="B582" t="str">
            <v>GM-00594</v>
          </cell>
          <cell r="C582" t="str">
            <v>AYEK</v>
          </cell>
          <cell r="E582">
            <v>43588</v>
          </cell>
          <cell r="F582" t="str">
            <v>P</v>
          </cell>
          <cell r="G582" t="str">
            <v>RANSA</v>
          </cell>
          <cell r="H582">
            <v>28217</v>
          </cell>
          <cell r="I582" t="str">
            <v>43 TAHUN</v>
          </cell>
          <cell r="J582" t="str">
            <v>KRISTEN</v>
          </cell>
          <cell r="K582" t="str">
            <v>NON KONTRAKTOR</v>
          </cell>
          <cell r="L582">
            <v>2</v>
          </cell>
          <cell r="P582" t="str">
            <v>AKTIF</v>
          </cell>
          <cell r="R582" t="str">
            <v>PERAWATAN</v>
          </cell>
          <cell r="S582" t="str">
            <v>BORONGAN</v>
          </cell>
          <cell r="T582" t="str">
            <v>TUNAI</v>
          </cell>
          <cell r="U582" t="str">
            <v>6109064204770005</v>
          </cell>
          <cell r="V582" t="str">
            <v>LOKAL</v>
          </cell>
        </row>
        <row r="583">
          <cell r="B583" t="str">
            <v>GM-00595</v>
          </cell>
          <cell r="C583" t="str">
            <v>ENTAYANG</v>
          </cell>
          <cell r="E583">
            <v>43588</v>
          </cell>
          <cell r="F583" t="str">
            <v>P</v>
          </cell>
          <cell r="G583" t="str">
            <v>RANSA</v>
          </cell>
          <cell r="H583">
            <v>21081</v>
          </cell>
          <cell r="I583" t="str">
            <v>63 TAHUN</v>
          </cell>
          <cell r="J583" t="str">
            <v>KRISTEN</v>
          </cell>
          <cell r="K583" t="str">
            <v>NON KONTRAKTOR</v>
          </cell>
          <cell r="L583">
            <v>2</v>
          </cell>
          <cell r="P583" t="str">
            <v>AKTIF</v>
          </cell>
          <cell r="R583" t="str">
            <v>PERAWATAN</v>
          </cell>
          <cell r="S583" t="str">
            <v>BORONGAN</v>
          </cell>
          <cell r="T583" t="str">
            <v>TUNAI</v>
          </cell>
          <cell r="U583" t="str">
            <v>6109065809570002</v>
          </cell>
          <cell r="V583" t="str">
            <v>LOKAL</v>
          </cell>
        </row>
        <row r="584">
          <cell r="B584" t="str">
            <v>GM-00596</v>
          </cell>
          <cell r="C584" t="str">
            <v>MIRIATI</v>
          </cell>
          <cell r="E584">
            <v>43588</v>
          </cell>
          <cell r="F584" t="str">
            <v>P</v>
          </cell>
          <cell r="G584" t="str">
            <v>RANSA</v>
          </cell>
          <cell r="H584">
            <v>25443</v>
          </cell>
          <cell r="I584" t="str">
            <v>51 TAHUN</v>
          </cell>
          <cell r="J584" t="str">
            <v>KRISTEN</v>
          </cell>
          <cell r="K584" t="str">
            <v>NON KONTRAKTOR</v>
          </cell>
          <cell r="L584">
            <v>2</v>
          </cell>
          <cell r="P584" t="str">
            <v>AKTIF</v>
          </cell>
          <cell r="R584" t="str">
            <v>PERAWATAN</v>
          </cell>
          <cell r="S584" t="str">
            <v>BORONGAN</v>
          </cell>
          <cell r="T584" t="str">
            <v>TUNAI</v>
          </cell>
          <cell r="U584" t="str">
            <v>6109066808690006</v>
          </cell>
          <cell r="V584" t="str">
            <v>LOKAL</v>
          </cell>
        </row>
        <row r="585">
          <cell r="B585" t="str">
            <v>GM-00597</v>
          </cell>
          <cell r="C585" t="str">
            <v>WENDI</v>
          </cell>
          <cell r="E585">
            <v>43588</v>
          </cell>
          <cell r="F585" t="str">
            <v>L</v>
          </cell>
          <cell r="G585" t="str">
            <v>PELIMPAAN</v>
          </cell>
          <cell r="H585">
            <v>37146</v>
          </cell>
          <cell r="I585" t="str">
            <v>19 TAHUN</v>
          </cell>
          <cell r="J585" t="str">
            <v>KRISTEN</v>
          </cell>
          <cell r="K585" t="str">
            <v>NON KONTRAKTOR</v>
          </cell>
          <cell r="L585">
            <v>5</v>
          </cell>
          <cell r="P585" t="str">
            <v>AKTIF</v>
          </cell>
          <cell r="R585" t="str">
            <v>PERAWATAN</v>
          </cell>
          <cell r="S585" t="str">
            <v>BORONGAN</v>
          </cell>
          <cell r="T585" t="str">
            <v>TUNAI</v>
          </cell>
          <cell r="U585" t="str">
            <v>6109061209010001</v>
          </cell>
          <cell r="V585" t="str">
            <v>LOKAL</v>
          </cell>
        </row>
        <row r="586">
          <cell r="B586" t="str">
            <v>GM-00598</v>
          </cell>
          <cell r="C586" t="str">
            <v>ESTER</v>
          </cell>
          <cell r="E586">
            <v>43588</v>
          </cell>
          <cell r="F586" t="str">
            <v>P</v>
          </cell>
          <cell r="G586" t="str">
            <v>BELITANG UBAH</v>
          </cell>
          <cell r="H586">
            <v>26432</v>
          </cell>
          <cell r="I586" t="str">
            <v>48 TAHUN</v>
          </cell>
          <cell r="J586" t="str">
            <v>KRISTEN</v>
          </cell>
          <cell r="K586" t="str">
            <v>NON KONTRAKTOR</v>
          </cell>
          <cell r="L586">
            <v>5</v>
          </cell>
          <cell r="P586" t="str">
            <v>AKTIF</v>
          </cell>
          <cell r="R586" t="str">
            <v>PERAWATAN</v>
          </cell>
          <cell r="S586" t="str">
            <v>BORONGAN</v>
          </cell>
          <cell r="T586" t="str">
            <v>TUNAI</v>
          </cell>
          <cell r="U586" t="str">
            <v>6109065305720001</v>
          </cell>
          <cell r="V586" t="str">
            <v>LOKAL</v>
          </cell>
        </row>
        <row r="587">
          <cell r="B587" t="str">
            <v>GM-00599</v>
          </cell>
          <cell r="C587" t="str">
            <v>NOVI BERTO</v>
          </cell>
          <cell r="E587">
            <v>43588</v>
          </cell>
          <cell r="F587" t="str">
            <v>L</v>
          </cell>
          <cell r="G587" t="str">
            <v>TERDUK DAMPAK</v>
          </cell>
          <cell r="H587">
            <v>37206</v>
          </cell>
          <cell r="I587" t="str">
            <v>19 TAHUN</v>
          </cell>
          <cell r="J587" t="str">
            <v>KRISTEN</v>
          </cell>
          <cell r="K587" t="str">
            <v>NON KONTRAKTOR</v>
          </cell>
          <cell r="L587">
            <v>5</v>
          </cell>
          <cell r="P587" t="str">
            <v>AKTIF</v>
          </cell>
          <cell r="R587" t="str">
            <v>PERAWATAN</v>
          </cell>
          <cell r="S587" t="str">
            <v>BORONGAN</v>
          </cell>
          <cell r="T587" t="str">
            <v>TUNAI</v>
          </cell>
          <cell r="U587" t="str">
            <v>6109061111010003</v>
          </cell>
          <cell r="V587" t="str">
            <v>LOKAL</v>
          </cell>
        </row>
        <row r="588">
          <cell r="B588" t="str">
            <v>GM-00600</v>
          </cell>
          <cell r="C588" t="str">
            <v>ANDRI JULAIMAN</v>
          </cell>
          <cell r="E588">
            <v>43588</v>
          </cell>
          <cell r="F588" t="str">
            <v>L</v>
          </cell>
          <cell r="G588" t="str">
            <v>TERDUK DAMPAK</v>
          </cell>
          <cell r="H588">
            <v>36847</v>
          </cell>
          <cell r="I588" t="str">
            <v>20 TAHUN</v>
          </cell>
          <cell r="J588" t="str">
            <v>KRISTEN</v>
          </cell>
          <cell r="K588" t="str">
            <v>NON KONTRAKTOR</v>
          </cell>
          <cell r="L588">
            <v>5</v>
          </cell>
          <cell r="P588" t="str">
            <v>AKTIF</v>
          </cell>
          <cell r="R588" t="str">
            <v>PERAWATAN</v>
          </cell>
          <cell r="S588" t="str">
            <v>BORONGAN</v>
          </cell>
          <cell r="T588" t="str">
            <v>TUNAI</v>
          </cell>
          <cell r="U588" t="str">
            <v>6109061711000001</v>
          </cell>
          <cell r="V588" t="str">
            <v>LOKAL</v>
          </cell>
        </row>
        <row r="589">
          <cell r="B589" t="str">
            <v>GM-00601</v>
          </cell>
          <cell r="C589" t="str">
            <v>NUSI WANI</v>
          </cell>
          <cell r="E589">
            <v>43588</v>
          </cell>
          <cell r="F589" t="str">
            <v>P</v>
          </cell>
          <cell r="G589" t="str">
            <v>TERDUK DAMPAK</v>
          </cell>
          <cell r="H589">
            <v>30878</v>
          </cell>
          <cell r="I589" t="str">
            <v>36 TAHUN</v>
          </cell>
          <cell r="J589" t="str">
            <v>KRISTEN</v>
          </cell>
          <cell r="K589" t="str">
            <v>NON KONTRAKTOR</v>
          </cell>
          <cell r="L589">
            <v>5</v>
          </cell>
          <cell r="P589" t="str">
            <v>AKTIF</v>
          </cell>
          <cell r="R589" t="str">
            <v>PERAWATAN</v>
          </cell>
          <cell r="S589" t="str">
            <v>BORONGAN</v>
          </cell>
          <cell r="T589" t="str">
            <v>TUNAI</v>
          </cell>
          <cell r="U589" t="str">
            <v>6109065507840003</v>
          </cell>
          <cell r="V589" t="str">
            <v>LOKAL</v>
          </cell>
        </row>
        <row r="590">
          <cell r="B590" t="str">
            <v>GM-00602</v>
          </cell>
          <cell r="C590" t="str">
            <v>NONI SARI</v>
          </cell>
          <cell r="E590">
            <v>43588</v>
          </cell>
          <cell r="F590" t="str">
            <v>P</v>
          </cell>
          <cell r="G590" t="str">
            <v>AMOH</v>
          </cell>
          <cell r="I590" t="str">
            <v>121 TAHUN</v>
          </cell>
          <cell r="J590" t="str">
            <v>KRISTEN</v>
          </cell>
          <cell r="K590" t="str">
            <v>NON KONTRAKTOR</v>
          </cell>
          <cell r="L590">
            <v>5</v>
          </cell>
          <cell r="P590" t="str">
            <v>AKTIF</v>
          </cell>
          <cell r="R590" t="str">
            <v>PERAWATAN</v>
          </cell>
          <cell r="S590" t="str">
            <v>BORONGAN</v>
          </cell>
          <cell r="T590" t="str">
            <v>TUNAI</v>
          </cell>
          <cell r="V590" t="str">
            <v>LOKAL</v>
          </cell>
        </row>
        <row r="591">
          <cell r="B591" t="str">
            <v>GM-00603</v>
          </cell>
          <cell r="C591" t="str">
            <v>KRESENSIA REGAWATI</v>
          </cell>
          <cell r="E591">
            <v>43588</v>
          </cell>
          <cell r="F591" t="str">
            <v>P</v>
          </cell>
          <cell r="G591" t="str">
            <v>SEBETUNG</v>
          </cell>
          <cell r="H591">
            <v>28985</v>
          </cell>
          <cell r="I591" t="str">
            <v>41 TAHUN</v>
          </cell>
          <cell r="J591" t="str">
            <v>KRISTEN</v>
          </cell>
          <cell r="K591" t="str">
            <v>NON KONTRAKTOR</v>
          </cell>
          <cell r="L591">
            <v>5</v>
          </cell>
          <cell r="P591" t="str">
            <v>AKTIF</v>
          </cell>
          <cell r="R591" t="str">
            <v>PERAWATAN</v>
          </cell>
          <cell r="S591" t="str">
            <v>BORONGAN</v>
          </cell>
          <cell r="T591" t="str">
            <v>TUNAI</v>
          </cell>
          <cell r="U591" t="str">
            <v>6109065005790003</v>
          </cell>
          <cell r="V591" t="str">
            <v>LOKAL</v>
          </cell>
        </row>
        <row r="592">
          <cell r="B592" t="str">
            <v>GM-00604</v>
          </cell>
          <cell r="C592" t="str">
            <v>DESI</v>
          </cell>
          <cell r="E592">
            <v>43588</v>
          </cell>
          <cell r="F592" t="str">
            <v>P</v>
          </cell>
          <cell r="G592" t="str">
            <v>SEBETUNG</v>
          </cell>
          <cell r="H592">
            <v>34331</v>
          </cell>
          <cell r="I592" t="str">
            <v>27 TAHUN</v>
          </cell>
          <cell r="J592" t="str">
            <v>ISLAM</v>
          </cell>
          <cell r="K592" t="str">
            <v>NON KONTRAKTOR</v>
          </cell>
          <cell r="L592">
            <v>5</v>
          </cell>
          <cell r="P592" t="str">
            <v>AKTIF</v>
          </cell>
          <cell r="R592" t="str">
            <v>PERAWATAN</v>
          </cell>
          <cell r="S592" t="str">
            <v>BORONGAN</v>
          </cell>
          <cell r="T592" t="str">
            <v>TUNAI</v>
          </cell>
          <cell r="U592" t="str">
            <v>6109066812930002</v>
          </cell>
          <cell r="V592" t="str">
            <v>LOKAL</v>
          </cell>
        </row>
        <row r="593">
          <cell r="B593" t="str">
            <v>GM-00605</v>
          </cell>
          <cell r="C593" t="str">
            <v>INJAN THERESIA</v>
          </cell>
          <cell r="E593">
            <v>43588</v>
          </cell>
          <cell r="F593" t="str">
            <v>P</v>
          </cell>
          <cell r="G593" t="str">
            <v>SEBETUNG</v>
          </cell>
          <cell r="H593">
            <v>25980</v>
          </cell>
          <cell r="I593" t="str">
            <v>49 TAHUN</v>
          </cell>
          <cell r="J593" t="str">
            <v>KATHOLIK</v>
          </cell>
          <cell r="K593" t="str">
            <v>NON KONTRAKTOR</v>
          </cell>
          <cell r="L593">
            <v>5</v>
          </cell>
          <cell r="P593" t="str">
            <v>AKTIF</v>
          </cell>
          <cell r="R593" t="str">
            <v>PERAWATAN</v>
          </cell>
          <cell r="S593" t="str">
            <v>BORONGAN</v>
          </cell>
          <cell r="T593" t="str">
            <v>TUNAI</v>
          </cell>
          <cell r="U593" t="str">
            <v>6109065602710001</v>
          </cell>
          <cell r="V593" t="str">
            <v>LOKAL</v>
          </cell>
        </row>
        <row r="594">
          <cell r="B594" t="str">
            <v>GM-00606</v>
          </cell>
          <cell r="C594" t="str">
            <v>YATI NANA</v>
          </cell>
          <cell r="E594">
            <v>43588</v>
          </cell>
          <cell r="F594" t="str">
            <v>P</v>
          </cell>
          <cell r="G594" t="str">
            <v>SEBETUNG</v>
          </cell>
          <cell r="I594" t="str">
            <v>121 TAHUN</v>
          </cell>
          <cell r="J594" t="str">
            <v>ISLAM</v>
          </cell>
          <cell r="K594" t="str">
            <v>NON KONTRAKTOR</v>
          </cell>
          <cell r="L594">
            <v>5</v>
          </cell>
          <cell r="P594" t="str">
            <v>AKTIF</v>
          </cell>
          <cell r="R594" t="str">
            <v>PERAWATAN</v>
          </cell>
          <cell r="S594" t="str">
            <v>BORONGAN</v>
          </cell>
          <cell r="T594" t="str">
            <v>TUNAI</v>
          </cell>
          <cell r="U594" t="str">
            <v>6109064307710004</v>
          </cell>
          <cell r="V594" t="str">
            <v>LOKAL</v>
          </cell>
        </row>
        <row r="595">
          <cell r="B595" t="str">
            <v>GM-00607</v>
          </cell>
          <cell r="C595" t="str">
            <v>IYAM</v>
          </cell>
          <cell r="E595">
            <v>43588</v>
          </cell>
          <cell r="F595" t="str">
            <v>P</v>
          </cell>
          <cell r="G595" t="str">
            <v>SUKA BUMI</v>
          </cell>
          <cell r="H595">
            <v>26808</v>
          </cell>
          <cell r="I595" t="str">
            <v>47 TAHUN</v>
          </cell>
          <cell r="J595" t="str">
            <v>KRISTEN</v>
          </cell>
          <cell r="K595" t="str">
            <v>NON KONTRAKTOR</v>
          </cell>
          <cell r="L595">
            <v>2</v>
          </cell>
          <cell r="P595" t="str">
            <v>AKTIF</v>
          </cell>
          <cell r="R595" t="str">
            <v>PERAWATAN</v>
          </cell>
          <cell r="S595" t="str">
            <v>BORONGAN</v>
          </cell>
          <cell r="T595" t="str">
            <v>TUNAI</v>
          </cell>
          <cell r="V595" t="str">
            <v>LOKAL</v>
          </cell>
        </row>
        <row r="596">
          <cell r="B596" t="str">
            <v>GM-00608</v>
          </cell>
          <cell r="C596" t="str">
            <v>PIDI ALPONSOS</v>
          </cell>
          <cell r="E596">
            <v>43588</v>
          </cell>
          <cell r="F596" t="str">
            <v>L</v>
          </cell>
          <cell r="G596" t="str">
            <v>RANSA</v>
          </cell>
          <cell r="H596">
            <v>31385</v>
          </cell>
          <cell r="I596" t="str">
            <v>35 TAHUN</v>
          </cell>
          <cell r="J596" t="str">
            <v>KRISTEN</v>
          </cell>
          <cell r="K596" t="str">
            <v>NON KONTRAKTOR</v>
          </cell>
          <cell r="L596">
            <v>2</v>
          </cell>
          <cell r="P596" t="str">
            <v>AKTIF</v>
          </cell>
          <cell r="R596" t="str">
            <v>PERAWATAN</v>
          </cell>
          <cell r="S596" t="str">
            <v>BORONGAN</v>
          </cell>
          <cell r="T596" t="str">
            <v>TUNAI</v>
          </cell>
          <cell r="U596" t="str">
            <v>6109060412850003</v>
          </cell>
          <cell r="V596" t="str">
            <v>LOKAL</v>
          </cell>
        </row>
        <row r="597">
          <cell r="B597" t="str">
            <v>GM-00609</v>
          </cell>
          <cell r="C597" t="str">
            <v>OKTA RIZA</v>
          </cell>
          <cell r="E597">
            <v>43591</v>
          </cell>
          <cell r="F597" t="str">
            <v>P</v>
          </cell>
          <cell r="G597" t="str">
            <v>RANSA</v>
          </cell>
          <cell r="H597">
            <v>33520</v>
          </cell>
          <cell r="I597" t="str">
            <v>29 TAHUN</v>
          </cell>
          <cell r="J597" t="str">
            <v>KRISTEN</v>
          </cell>
          <cell r="K597" t="str">
            <v>NON KONTRAKTOR</v>
          </cell>
          <cell r="L597">
            <v>2</v>
          </cell>
          <cell r="P597" t="str">
            <v>AKTIF</v>
          </cell>
          <cell r="R597" t="str">
            <v>PERAWATAN</v>
          </cell>
          <cell r="S597" t="str">
            <v>BORONGAN</v>
          </cell>
          <cell r="T597" t="str">
            <v>TUNAI</v>
          </cell>
          <cell r="U597" t="str">
            <v>6109064910910003</v>
          </cell>
          <cell r="V597" t="str">
            <v>LOKAL</v>
          </cell>
        </row>
        <row r="598">
          <cell r="B598" t="str">
            <v>GM-00610</v>
          </cell>
          <cell r="C598" t="str">
            <v>DIAN BASTIAN</v>
          </cell>
          <cell r="E598">
            <v>43586</v>
          </cell>
          <cell r="F598" t="str">
            <v>L</v>
          </cell>
          <cell r="G598" t="str">
            <v>AMOH</v>
          </cell>
          <cell r="H598">
            <v>27496</v>
          </cell>
          <cell r="I598" t="str">
            <v>45 TAHUN</v>
          </cell>
          <cell r="J598" t="str">
            <v>KRISTEN</v>
          </cell>
          <cell r="K598" t="str">
            <v>NON KONTRAKTOR</v>
          </cell>
          <cell r="L598">
            <v>4</v>
          </cell>
          <cell r="P598" t="str">
            <v>AKTIF</v>
          </cell>
          <cell r="R598" t="str">
            <v>PERAWATAN</v>
          </cell>
          <cell r="S598" t="str">
            <v>BORONGAN</v>
          </cell>
          <cell r="T598" t="str">
            <v>TUNAI</v>
          </cell>
          <cell r="U598" t="str">
            <v>6109061204760001</v>
          </cell>
          <cell r="V598" t="str">
            <v>LOKAL</v>
          </cell>
        </row>
        <row r="599">
          <cell r="B599" t="str">
            <v>GM-00611</v>
          </cell>
          <cell r="C599" t="str">
            <v>AMI</v>
          </cell>
          <cell r="E599">
            <v>43586</v>
          </cell>
          <cell r="F599" t="str">
            <v>P</v>
          </cell>
          <cell r="G599" t="str">
            <v>AMOH</v>
          </cell>
          <cell r="H599">
            <v>29467</v>
          </cell>
          <cell r="I599" t="str">
            <v>40 TAHUN</v>
          </cell>
          <cell r="J599" t="str">
            <v>KRISTEN</v>
          </cell>
          <cell r="K599" t="str">
            <v>NON KONTRAKTOR</v>
          </cell>
          <cell r="L599">
            <v>4</v>
          </cell>
          <cell r="M599" t="str">
            <v>AMI</v>
          </cell>
          <cell r="N599">
            <v>954802396</v>
          </cell>
          <cell r="O599" t="str">
            <v>BNI</v>
          </cell>
          <cell r="P599" t="str">
            <v>AKTIF</v>
          </cell>
          <cell r="R599" t="str">
            <v>PERAWATAN</v>
          </cell>
          <cell r="S599" t="str">
            <v>BORONGAN</v>
          </cell>
          <cell r="T599" t="str">
            <v>TRANSFER</v>
          </cell>
          <cell r="U599" t="str">
            <v>6109064380000001</v>
          </cell>
          <cell r="V599" t="str">
            <v>LOKAL</v>
          </cell>
        </row>
        <row r="600">
          <cell r="B600" t="str">
            <v>GM-00612</v>
          </cell>
          <cell r="C600" t="str">
            <v>SUTHA</v>
          </cell>
          <cell r="E600">
            <v>43586</v>
          </cell>
          <cell r="F600" t="str">
            <v>P</v>
          </cell>
          <cell r="G600" t="str">
            <v>ENDOYA</v>
          </cell>
          <cell r="H600">
            <v>29293</v>
          </cell>
          <cell r="I600" t="str">
            <v>40 TAHUN</v>
          </cell>
          <cell r="J600" t="str">
            <v>KRISTEN</v>
          </cell>
          <cell r="K600" t="str">
            <v>NON KONTRAKTOR</v>
          </cell>
          <cell r="L600">
            <v>4</v>
          </cell>
          <cell r="P600" t="str">
            <v>AKTIF</v>
          </cell>
          <cell r="R600" t="str">
            <v>PERAWATAN</v>
          </cell>
          <cell r="S600" t="str">
            <v>BORONGAN</v>
          </cell>
          <cell r="T600" t="str">
            <v>TUNAI</v>
          </cell>
          <cell r="U600" t="str">
            <v>6109065308000004</v>
          </cell>
          <cell r="V600" t="str">
            <v>LOKAL</v>
          </cell>
        </row>
        <row r="601">
          <cell r="B601" t="str">
            <v>GM-00613</v>
          </cell>
          <cell r="C601" t="str">
            <v>IDA FURNAMA SARI</v>
          </cell>
          <cell r="E601">
            <v>43586</v>
          </cell>
          <cell r="F601" t="str">
            <v>P</v>
          </cell>
          <cell r="G601" t="str">
            <v>KEMANTAN</v>
          </cell>
          <cell r="H601">
            <v>29261</v>
          </cell>
          <cell r="I601" t="str">
            <v>40 TAHUN</v>
          </cell>
          <cell r="J601" t="str">
            <v>KRISTEN</v>
          </cell>
          <cell r="K601" t="str">
            <v>NON KONTRAKTOR</v>
          </cell>
          <cell r="L601">
            <v>4</v>
          </cell>
          <cell r="P601" t="str">
            <v>AKTIF</v>
          </cell>
          <cell r="R601" t="str">
            <v>PERAWATAN</v>
          </cell>
          <cell r="S601" t="str">
            <v>BORONGAN</v>
          </cell>
          <cell r="T601" t="str">
            <v>TUNAI</v>
          </cell>
          <cell r="U601" t="str">
            <v>6109064102800001</v>
          </cell>
          <cell r="V601" t="str">
            <v>LOKAL</v>
          </cell>
        </row>
        <row r="602">
          <cell r="B602" t="str">
            <v>GM-00614</v>
          </cell>
          <cell r="C602" t="str">
            <v>RADIKA</v>
          </cell>
          <cell r="E602">
            <v>43586</v>
          </cell>
          <cell r="F602" t="str">
            <v>P</v>
          </cell>
          <cell r="G602" t="str">
            <v>AMOH</v>
          </cell>
          <cell r="H602">
            <v>25914</v>
          </cell>
          <cell r="I602" t="str">
            <v>50 TAHUN</v>
          </cell>
          <cell r="J602" t="str">
            <v>KRISTEN</v>
          </cell>
          <cell r="K602" t="str">
            <v>NON KONTRAKTOR</v>
          </cell>
          <cell r="L602">
            <v>4</v>
          </cell>
          <cell r="M602" t="str">
            <v>RADIKA</v>
          </cell>
          <cell r="N602">
            <v>984430749</v>
          </cell>
          <cell r="O602" t="str">
            <v>BNI</v>
          </cell>
          <cell r="P602" t="str">
            <v>AKTIF</v>
          </cell>
          <cell r="R602" t="str">
            <v>PERAWATAN</v>
          </cell>
          <cell r="S602" t="str">
            <v>BORONGAN</v>
          </cell>
          <cell r="T602" t="str">
            <v>TRANSFER</v>
          </cell>
          <cell r="U602" t="str">
            <v>6109065212700004</v>
          </cell>
          <cell r="V602" t="str">
            <v>LOKAL</v>
          </cell>
        </row>
        <row r="603">
          <cell r="B603" t="str">
            <v>GM-00615</v>
          </cell>
          <cell r="C603" t="str">
            <v>LIA D</v>
          </cell>
          <cell r="E603">
            <v>43586</v>
          </cell>
          <cell r="F603" t="str">
            <v>P</v>
          </cell>
          <cell r="G603" t="str">
            <v>SEBINDANG</v>
          </cell>
          <cell r="H603">
            <v>26858</v>
          </cell>
          <cell r="I603" t="str">
            <v>47 TAHUN</v>
          </cell>
          <cell r="J603" t="str">
            <v>KRISTEN</v>
          </cell>
          <cell r="K603" t="str">
            <v>NON KONTRAKTOR</v>
          </cell>
          <cell r="L603">
            <v>4</v>
          </cell>
          <cell r="P603" t="str">
            <v>AKTIF</v>
          </cell>
          <cell r="R603" t="str">
            <v>PERAWATAN</v>
          </cell>
          <cell r="S603" t="str">
            <v>BORONGAN</v>
          </cell>
          <cell r="T603" t="str">
            <v>TUNAI</v>
          </cell>
          <cell r="U603" t="str">
            <v>6109065307730001</v>
          </cell>
          <cell r="V603" t="str">
            <v>LOKAL</v>
          </cell>
        </row>
        <row r="604">
          <cell r="B604" t="str">
            <v>GM-00616</v>
          </cell>
          <cell r="C604" t="str">
            <v>YULIPITA</v>
          </cell>
          <cell r="E604">
            <v>43586</v>
          </cell>
          <cell r="F604" t="str">
            <v>P</v>
          </cell>
          <cell r="G604" t="str">
            <v>AMOH</v>
          </cell>
          <cell r="H604">
            <v>32634</v>
          </cell>
          <cell r="I604" t="str">
            <v>31 TAHUN</v>
          </cell>
          <cell r="J604" t="str">
            <v>KRISTEN</v>
          </cell>
          <cell r="K604" t="str">
            <v>NON KONTRAKTOR</v>
          </cell>
          <cell r="L604">
            <v>4</v>
          </cell>
          <cell r="M604" t="str">
            <v>YULI PITA</v>
          </cell>
          <cell r="N604">
            <v>1135573889</v>
          </cell>
          <cell r="O604" t="str">
            <v>BNI</v>
          </cell>
          <cell r="P604" t="str">
            <v>AKTIF</v>
          </cell>
          <cell r="R604" t="str">
            <v>PERAWATAN</v>
          </cell>
          <cell r="S604" t="str">
            <v>BORONGAN</v>
          </cell>
          <cell r="T604" t="str">
            <v>TRANSFER</v>
          </cell>
          <cell r="U604" t="str">
            <v>6109064658900003</v>
          </cell>
          <cell r="V604" t="str">
            <v>LOKAL</v>
          </cell>
        </row>
        <row r="605">
          <cell r="B605" t="str">
            <v>GM-00617</v>
          </cell>
          <cell r="C605" t="str">
            <v>YUSPINA</v>
          </cell>
          <cell r="E605">
            <v>43586</v>
          </cell>
          <cell r="F605" t="str">
            <v>P</v>
          </cell>
          <cell r="G605" t="str">
            <v>AMOH</v>
          </cell>
          <cell r="H605">
            <v>21946</v>
          </cell>
          <cell r="I605" t="str">
            <v>60 TAHUN</v>
          </cell>
          <cell r="J605" t="str">
            <v>KRISTEN</v>
          </cell>
          <cell r="K605" t="str">
            <v>NON KONTRAKTOR</v>
          </cell>
          <cell r="L605">
            <v>4</v>
          </cell>
          <cell r="P605" t="str">
            <v>AKTIF</v>
          </cell>
          <cell r="R605" t="str">
            <v>PERAWATAN</v>
          </cell>
          <cell r="S605" t="str">
            <v>BORONGAN</v>
          </cell>
          <cell r="T605" t="str">
            <v>TUNAI</v>
          </cell>
          <cell r="U605" t="str">
            <v>6109067101600001</v>
          </cell>
          <cell r="V605" t="str">
            <v>LOKAL</v>
          </cell>
        </row>
        <row r="606">
          <cell r="B606" t="str">
            <v>GM-00618</v>
          </cell>
          <cell r="C606" t="str">
            <v>FRISKI JULIAN TEDI</v>
          </cell>
          <cell r="E606">
            <v>43586</v>
          </cell>
          <cell r="F606" t="str">
            <v>L</v>
          </cell>
          <cell r="G606" t="str">
            <v>AMOH</v>
          </cell>
          <cell r="H606">
            <v>37326</v>
          </cell>
          <cell r="I606" t="str">
            <v>18 TAHUN</v>
          </cell>
          <cell r="J606" t="str">
            <v>KRISTEN</v>
          </cell>
          <cell r="K606" t="str">
            <v>NON KONTRAKTOR</v>
          </cell>
          <cell r="L606">
            <v>4</v>
          </cell>
          <cell r="M606" t="str">
            <v>FRISKI JULIAN TEDI</v>
          </cell>
          <cell r="N606">
            <v>910323722</v>
          </cell>
          <cell r="O606" t="str">
            <v>BNI</v>
          </cell>
          <cell r="P606" t="str">
            <v>AKTIF</v>
          </cell>
          <cell r="R606" t="str">
            <v>PANEN</v>
          </cell>
          <cell r="S606" t="str">
            <v>BORONGAN</v>
          </cell>
          <cell r="T606" t="str">
            <v>TRANSFER</v>
          </cell>
          <cell r="U606" t="str">
            <v>6109061103020002</v>
          </cell>
          <cell r="V606" t="str">
            <v>LOKAL</v>
          </cell>
        </row>
        <row r="607">
          <cell r="B607" t="str">
            <v>GM-00619</v>
          </cell>
          <cell r="C607" t="str">
            <v>WIJAYA</v>
          </cell>
          <cell r="E607">
            <v>43586</v>
          </cell>
          <cell r="F607" t="str">
            <v>L</v>
          </cell>
          <cell r="G607" t="str">
            <v>AMOH</v>
          </cell>
          <cell r="H607">
            <v>35305</v>
          </cell>
          <cell r="I607" t="str">
            <v>24 TAHUN</v>
          </cell>
          <cell r="J607" t="str">
            <v>KRISTEN</v>
          </cell>
          <cell r="K607" t="str">
            <v>NON KONTRAKTOR</v>
          </cell>
          <cell r="L607">
            <v>4</v>
          </cell>
          <cell r="P607" t="str">
            <v>AKTIF</v>
          </cell>
          <cell r="R607" t="str">
            <v>PERAWATAN</v>
          </cell>
          <cell r="S607" t="str">
            <v>BORONGAN</v>
          </cell>
          <cell r="T607" t="str">
            <v>TUNAI</v>
          </cell>
          <cell r="U607" t="str">
            <v>6109062808960003</v>
          </cell>
          <cell r="V607" t="str">
            <v>LOKAL</v>
          </cell>
        </row>
        <row r="608">
          <cell r="B608" t="str">
            <v>GM-00620</v>
          </cell>
          <cell r="C608" t="str">
            <v>JULIAUS</v>
          </cell>
          <cell r="E608">
            <v>43586</v>
          </cell>
          <cell r="F608" t="str">
            <v>L</v>
          </cell>
          <cell r="G608" t="str">
            <v>SUNGAI TEBELIAN</v>
          </cell>
          <cell r="H608">
            <v>36733</v>
          </cell>
          <cell r="I608" t="str">
            <v>20 TAHUN</v>
          </cell>
          <cell r="J608" t="str">
            <v>KRISTEN</v>
          </cell>
          <cell r="K608" t="str">
            <v>NON KONTRAKTOR</v>
          </cell>
          <cell r="L608">
            <v>4</v>
          </cell>
          <cell r="P608" t="str">
            <v>AKTIF</v>
          </cell>
          <cell r="R608" t="str">
            <v>PERAWATAN</v>
          </cell>
          <cell r="S608" t="str">
            <v>BORONGAN</v>
          </cell>
          <cell r="T608" t="str">
            <v>TUNAI</v>
          </cell>
          <cell r="U608" t="str">
            <v>6109062607000001</v>
          </cell>
          <cell r="V608" t="str">
            <v>LOKAL</v>
          </cell>
        </row>
        <row r="609">
          <cell r="B609" t="str">
            <v>GM-00621</v>
          </cell>
          <cell r="C609" t="str">
            <v>LUDIA ROHANI</v>
          </cell>
          <cell r="E609">
            <v>43586</v>
          </cell>
          <cell r="F609" t="str">
            <v>P</v>
          </cell>
          <cell r="G609" t="str">
            <v>BATU AMPAR</v>
          </cell>
          <cell r="H609">
            <v>22164</v>
          </cell>
          <cell r="I609" t="str">
            <v>60 TAHUN</v>
          </cell>
          <cell r="J609" t="str">
            <v>KRISTEN</v>
          </cell>
          <cell r="K609" t="str">
            <v>NON KONTRAKTOR</v>
          </cell>
          <cell r="L609">
            <v>4</v>
          </cell>
          <cell r="P609" t="str">
            <v>AKTIF</v>
          </cell>
          <cell r="R609" t="str">
            <v>PERAWATAN</v>
          </cell>
          <cell r="S609" t="str">
            <v>BORONGAN</v>
          </cell>
          <cell r="T609" t="str">
            <v>TUNAI</v>
          </cell>
          <cell r="U609" t="str">
            <v>6109064509600001</v>
          </cell>
          <cell r="V609" t="str">
            <v>LOKAL</v>
          </cell>
        </row>
        <row r="610">
          <cell r="B610" t="str">
            <v>GM-00622</v>
          </cell>
          <cell r="C610" t="str">
            <v>MARGARETA</v>
          </cell>
          <cell r="E610">
            <v>43586</v>
          </cell>
          <cell r="F610" t="str">
            <v>P</v>
          </cell>
          <cell r="G610" t="str">
            <v>DANDI</v>
          </cell>
          <cell r="H610">
            <v>30397</v>
          </cell>
          <cell r="I610" t="str">
            <v>37 TAHUN</v>
          </cell>
          <cell r="J610" t="str">
            <v>KRISTEN</v>
          </cell>
          <cell r="K610" t="str">
            <v>NON KONTRAKTOR</v>
          </cell>
          <cell r="L610">
            <v>4</v>
          </cell>
          <cell r="P610" t="str">
            <v>AKTIF</v>
          </cell>
          <cell r="R610" t="str">
            <v>PERAWATAN</v>
          </cell>
          <cell r="S610" t="str">
            <v>BORONGAN</v>
          </cell>
          <cell r="T610" t="str">
            <v>TUNAI</v>
          </cell>
          <cell r="U610" t="str">
            <v>6109066203820001</v>
          </cell>
          <cell r="V610" t="str">
            <v>LOKAL</v>
          </cell>
        </row>
        <row r="611">
          <cell r="B611" t="str">
            <v>GM-00623</v>
          </cell>
          <cell r="C611" t="str">
            <v>SUDARMONO</v>
          </cell>
          <cell r="E611">
            <v>43586</v>
          </cell>
          <cell r="F611" t="str">
            <v>L</v>
          </cell>
          <cell r="G611" t="str">
            <v>SEI KURAK</v>
          </cell>
          <cell r="H611">
            <v>34223</v>
          </cell>
          <cell r="I611" t="str">
            <v>27 TAHUN</v>
          </cell>
          <cell r="J611" t="str">
            <v>KRISTEN</v>
          </cell>
          <cell r="K611" t="str">
            <v>NON KONTRAKTOR</v>
          </cell>
          <cell r="L611">
            <v>5</v>
          </cell>
          <cell r="P611" t="str">
            <v>AKTIF</v>
          </cell>
          <cell r="R611" t="str">
            <v>PERAWATAN</v>
          </cell>
          <cell r="S611" t="str">
            <v>BORONGAN</v>
          </cell>
          <cell r="T611" t="str">
            <v>TUNAI</v>
          </cell>
          <cell r="U611" t="str">
            <v>6109061109930002</v>
          </cell>
          <cell r="V611" t="str">
            <v>LOKAL</v>
          </cell>
        </row>
        <row r="612">
          <cell r="B612" t="str">
            <v>GM-00624</v>
          </cell>
          <cell r="C612" t="str">
            <v>JUNIAR EVENDI</v>
          </cell>
          <cell r="E612">
            <v>43586</v>
          </cell>
          <cell r="F612" t="str">
            <v>L</v>
          </cell>
          <cell r="G612" t="str">
            <v>NANGA BELITANG</v>
          </cell>
          <cell r="H612">
            <v>34877</v>
          </cell>
          <cell r="I612" t="str">
            <v>25 TAHUN</v>
          </cell>
          <cell r="J612" t="str">
            <v>KRISTEN</v>
          </cell>
          <cell r="K612" t="str">
            <v>NON KONTRAKTOR</v>
          </cell>
          <cell r="L612">
            <v>5</v>
          </cell>
          <cell r="M612" t="str">
            <v>JUNIAR EVENDI</v>
          </cell>
          <cell r="N612">
            <v>1133620095</v>
          </cell>
          <cell r="O612" t="str">
            <v>BNI</v>
          </cell>
          <cell r="P612" t="str">
            <v>AKTIF</v>
          </cell>
          <cell r="R612" t="str">
            <v>PERAWATAN</v>
          </cell>
          <cell r="S612" t="str">
            <v>BORONGAN</v>
          </cell>
          <cell r="T612" t="str">
            <v>TRANSFER</v>
          </cell>
          <cell r="U612" t="str">
            <v>6109062706950003</v>
          </cell>
          <cell r="V612" t="str">
            <v>LOKAL</v>
          </cell>
        </row>
        <row r="613">
          <cell r="B613" t="str">
            <v>GM-00625</v>
          </cell>
          <cell r="C613" t="str">
            <v>SALMON</v>
          </cell>
          <cell r="E613">
            <v>43586</v>
          </cell>
          <cell r="F613" t="str">
            <v>L</v>
          </cell>
          <cell r="G613" t="str">
            <v>SEI KURAK</v>
          </cell>
          <cell r="H613">
            <v>30599</v>
          </cell>
          <cell r="I613" t="str">
            <v>37 TAHUN</v>
          </cell>
          <cell r="J613" t="str">
            <v>KRISTEN</v>
          </cell>
          <cell r="K613" t="str">
            <v>NON KONTRAKTOR</v>
          </cell>
          <cell r="L613">
            <v>5</v>
          </cell>
          <cell r="P613" t="str">
            <v>AKTIF</v>
          </cell>
          <cell r="R613" t="str">
            <v>PERAWATAN</v>
          </cell>
          <cell r="S613" t="str">
            <v>BORONGAN</v>
          </cell>
          <cell r="T613" t="str">
            <v>TUNAI</v>
          </cell>
          <cell r="U613" t="str">
            <v>6109061010830005</v>
          </cell>
          <cell r="V613" t="str">
            <v>LOKAL</v>
          </cell>
        </row>
        <row r="614">
          <cell r="B614" t="str">
            <v>GM-00626</v>
          </cell>
          <cell r="C614" t="str">
            <v>BIL</v>
          </cell>
          <cell r="E614">
            <v>43586</v>
          </cell>
          <cell r="F614" t="str">
            <v>L</v>
          </cell>
          <cell r="G614" t="str">
            <v>SEI PUTIH</v>
          </cell>
          <cell r="H614">
            <v>32361</v>
          </cell>
          <cell r="I614" t="str">
            <v>32 TAHUN</v>
          </cell>
          <cell r="J614" t="str">
            <v>KRISTEN</v>
          </cell>
          <cell r="K614" t="str">
            <v>NON KONTRAKTOR</v>
          </cell>
          <cell r="L614">
            <v>5</v>
          </cell>
          <cell r="P614" t="str">
            <v>AKTIF</v>
          </cell>
          <cell r="R614" t="str">
            <v>PERAWATAN</v>
          </cell>
          <cell r="S614" t="str">
            <v>BORONGAN</v>
          </cell>
          <cell r="T614" t="str">
            <v>TUNAI</v>
          </cell>
          <cell r="U614" t="str">
            <v>6109060608880002</v>
          </cell>
          <cell r="V614" t="str">
            <v>LOKAL</v>
          </cell>
        </row>
        <row r="615">
          <cell r="B615" t="str">
            <v>GM-00627</v>
          </cell>
          <cell r="C615" t="str">
            <v>GINSONAKASONE</v>
          </cell>
          <cell r="E615">
            <v>43586</v>
          </cell>
          <cell r="F615" t="str">
            <v>L</v>
          </cell>
          <cell r="G615" t="str">
            <v>SEPAUH</v>
          </cell>
          <cell r="H615">
            <v>32565</v>
          </cell>
          <cell r="I615" t="str">
            <v>31 TAHUN</v>
          </cell>
          <cell r="J615" t="str">
            <v>KRISTEN</v>
          </cell>
          <cell r="K615" t="str">
            <v>NON KONTRAKTOR</v>
          </cell>
          <cell r="L615">
            <v>5</v>
          </cell>
          <cell r="P615" t="str">
            <v>AKTIF</v>
          </cell>
          <cell r="R615" t="str">
            <v>PERAWATAN</v>
          </cell>
          <cell r="S615" t="str">
            <v>BORONGAN</v>
          </cell>
          <cell r="T615" t="str">
            <v>TUNAI</v>
          </cell>
          <cell r="U615" t="str">
            <v>6109062602890002</v>
          </cell>
          <cell r="V615" t="str">
            <v>LOKAL</v>
          </cell>
        </row>
        <row r="616">
          <cell r="B616" t="str">
            <v>GM-00628</v>
          </cell>
          <cell r="C616" t="str">
            <v>MUJIONO</v>
          </cell>
          <cell r="E616">
            <v>43586</v>
          </cell>
          <cell r="F616" t="str">
            <v>L</v>
          </cell>
          <cell r="G616" t="str">
            <v>SEPAUH</v>
          </cell>
          <cell r="H616">
            <v>29360</v>
          </cell>
          <cell r="I616" t="str">
            <v>40 TAHUN</v>
          </cell>
          <cell r="J616" t="str">
            <v>KRISTEN</v>
          </cell>
          <cell r="K616" t="str">
            <v>NON KONTRAKTOR</v>
          </cell>
          <cell r="L616">
            <v>5</v>
          </cell>
          <cell r="P616" t="str">
            <v>AKTIF</v>
          </cell>
          <cell r="R616" t="str">
            <v>PERAWATAN</v>
          </cell>
          <cell r="S616" t="str">
            <v>BORONGAN</v>
          </cell>
          <cell r="T616" t="str">
            <v>TUNAI</v>
          </cell>
          <cell r="U616" t="str">
            <v>6109061605800003</v>
          </cell>
          <cell r="V616" t="str">
            <v>LOKAL</v>
          </cell>
        </row>
        <row r="617">
          <cell r="B617" t="str">
            <v>GM-00629</v>
          </cell>
          <cell r="C617" t="str">
            <v>OKTAVIANUS</v>
          </cell>
          <cell r="E617">
            <v>43586</v>
          </cell>
          <cell r="F617" t="str">
            <v>L</v>
          </cell>
          <cell r="G617" t="str">
            <v>SEPAUH</v>
          </cell>
          <cell r="H617">
            <v>29355</v>
          </cell>
          <cell r="I617" t="str">
            <v>40 TAHUN</v>
          </cell>
          <cell r="J617" t="str">
            <v>KRISTEN</v>
          </cell>
          <cell r="K617" t="str">
            <v>NON KONTRAKTOR</v>
          </cell>
          <cell r="L617">
            <v>5</v>
          </cell>
          <cell r="P617" t="str">
            <v>AKTIF</v>
          </cell>
          <cell r="R617" t="str">
            <v>PERAWATAN</v>
          </cell>
          <cell r="S617" t="str">
            <v>BORONGAN</v>
          </cell>
          <cell r="T617" t="str">
            <v>TUNAI</v>
          </cell>
          <cell r="U617" t="str">
            <v>6109061405800004</v>
          </cell>
          <cell r="V617" t="str">
            <v>LOKAL</v>
          </cell>
        </row>
        <row r="618">
          <cell r="B618" t="str">
            <v>GM-00630</v>
          </cell>
          <cell r="C618" t="str">
            <v>YAHYA</v>
          </cell>
          <cell r="E618">
            <v>43586</v>
          </cell>
          <cell r="F618" t="str">
            <v>L</v>
          </cell>
          <cell r="G618" t="str">
            <v>AMOH</v>
          </cell>
          <cell r="J618" t="str">
            <v>KRISTEN</v>
          </cell>
          <cell r="K618" t="str">
            <v>NON KONTRAKTOR</v>
          </cell>
          <cell r="L618">
            <v>5</v>
          </cell>
          <cell r="M618" t="str">
            <v>YAHYA</v>
          </cell>
          <cell r="N618">
            <v>369207869</v>
          </cell>
          <cell r="O618" t="str">
            <v>BNI</v>
          </cell>
          <cell r="P618" t="str">
            <v>AKTIF</v>
          </cell>
          <cell r="R618" t="str">
            <v>PANEN</v>
          </cell>
          <cell r="S618" t="str">
            <v>BORONGAN</v>
          </cell>
          <cell r="T618" t="str">
            <v>TRANSFER</v>
          </cell>
          <cell r="V618" t="str">
            <v>LOKAL</v>
          </cell>
        </row>
        <row r="619">
          <cell r="B619" t="str">
            <v>GM-00631</v>
          </cell>
          <cell r="C619" t="str">
            <v>LIDIA</v>
          </cell>
          <cell r="E619">
            <v>43596</v>
          </cell>
          <cell r="F619" t="str">
            <v>P</v>
          </cell>
          <cell r="G619" t="str">
            <v>BEMBAN</v>
          </cell>
          <cell r="H619">
            <v>32570</v>
          </cell>
          <cell r="I619" t="str">
            <v>31 TAHUN</v>
          </cell>
          <cell r="J619" t="str">
            <v>KRISTEN</v>
          </cell>
          <cell r="K619" t="str">
            <v>NON KONTRAKTOR</v>
          </cell>
          <cell r="L619">
            <v>1</v>
          </cell>
          <cell r="P619" t="str">
            <v>AKTIF</v>
          </cell>
          <cell r="R619" t="str">
            <v>PERAWATAN</v>
          </cell>
          <cell r="S619" t="str">
            <v>BORONGAN</v>
          </cell>
          <cell r="T619" t="str">
            <v>TUNAI</v>
          </cell>
          <cell r="U619" t="str">
            <v>6109064303890004</v>
          </cell>
          <cell r="V619" t="str">
            <v>LOKAL</v>
          </cell>
        </row>
        <row r="620">
          <cell r="B620" t="str">
            <v>GM-00632</v>
          </cell>
          <cell r="C620" t="str">
            <v>ISIL</v>
          </cell>
          <cell r="E620">
            <v>43599</v>
          </cell>
          <cell r="F620" t="str">
            <v>L</v>
          </cell>
          <cell r="G620" t="str">
            <v>LUMUT</v>
          </cell>
          <cell r="H620">
            <v>21255</v>
          </cell>
          <cell r="I620" t="str">
            <v>62 TAHUN</v>
          </cell>
          <cell r="J620" t="str">
            <v>KRISTEN</v>
          </cell>
          <cell r="K620" t="str">
            <v>NON KONTRAKTOR</v>
          </cell>
          <cell r="L620">
            <v>2</v>
          </cell>
          <cell r="P620" t="str">
            <v>AKTIF</v>
          </cell>
          <cell r="R620" t="str">
            <v>PERAWATAN</v>
          </cell>
          <cell r="S620" t="str">
            <v>BORONGAN</v>
          </cell>
          <cell r="T620" t="str">
            <v>TUNAI</v>
          </cell>
          <cell r="U620" t="str">
            <v>6109062602070001</v>
          </cell>
          <cell r="V620" t="str">
            <v>LOKAL</v>
          </cell>
        </row>
        <row r="621">
          <cell r="B621" t="str">
            <v>GM-00633</v>
          </cell>
          <cell r="C621" t="str">
            <v>MARJINO</v>
          </cell>
          <cell r="D621" t="str">
            <v>BARAK G10 DIV 4</v>
          </cell>
          <cell r="E621">
            <v>43597</v>
          </cell>
          <cell r="F621" t="str">
            <v>L</v>
          </cell>
          <cell r="G621" t="str">
            <v>EMPIANG</v>
          </cell>
          <cell r="H621">
            <v>33217</v>
          </cell>
          <cell r="I621" t="str">
            <v>30 TAHUN</v>
          </cell>
          <cell r="J621" t="str">
            <v>KRISTEN</v>
          </cell>
          <cell r="K621" t="str">
            <v>NON AKTIF</v>
          </cell>
          <cell r="L621">
            <v>4</v>
          </cell>
          <cell r="P621" t="str">
            <v>NON AKTIF</v>
          </cell>
          <cell r="R621" t="str">
            <v>PANEN</v>
          </cell>
          <cell r="S621" t="str">
            <v>BORONGAN</v>
          </cell>
          <cell r="T621" t="str">
            <v>TUNAI</v>
          </cell>
          <cell r="U621" t="str">
            <v>6103041012900004</v>
          </cell>
          <cell r="V621" t="str">
            <v>AKAD</v>
          </cell>
        </row>
        <row r="622">
          <cell r="B622" t="str">
            <v>GM-00634</v>
          </cell>
          <cell r="C622" t="str">
            <v>MELANIUS JARMO</v>
          </cell>
          <cell r="E622">
            <v>43597</v>
          </cell>
          <cell r="F622" t="str">
            <v>L</v>
          </cell>
          <cell r="G622" t="str">
            <v>JAMBU</v>
          </cell>
          <cell r="H622">
            <v>33243</v>
          </cell>
          <cell r="I622" t="str">
            <v>30 TAHUN</v>
          </cell>
          <cell r="J622" t="str">
            <v>KATHOLIK</v>
          </cell>
          <cell r="K622" t="str">
            <v>NON KONTRAKTOR</v>
          </cell>
          <cell r="L622">
            <v>4</v>
          </cell>
          <cell r="P622" t="str">
            <v>AKTIF</v>
          </cell>
          <cell r="R622" t="str">
            <v>PERAWATAN</v>
          </cell>
          <cell r="S622" t="str">
            <v>BORONGAN</v>
          </cell>
          <cell r="T622" t="str">
            <v>TUNAI</v>
          </cell>
          <cell r="U622" t="str">
            <v>6103040501910002</v>
          </cell>
          <cell r="V622" t="str">
            <v>LOKAL</v>
          </cell>
        </row>
        <row r="623">
          <cell r="B623" t="str">
            <v>GM-00635</v>
          </cell>
          <cell r="C623" t="str">
            <v>SELAPANUS MASBON BONI</v>
          </cell>
          <cell r="D623" t="str">
            <v>BARAK G10 DIV 4</v>
          </cell>
          <cell r="E623">
            <v>43597</v>
          </cell>
          <cell r="F623" t="str">
            <v>L</v>
          </cell>
          <cell r="G623" t="str">
            <v>SEBUDA</v>
          </cell>
          <cell r="H623">
            <v>31748</v>
          </cell>
          <cell r="I623" t="str">
            <v>34 TAHUN</v>
          </cell>
          <cell r="J623" t="str">
            <v>KRISTEN</v>
          </cell>
          <cell r="K623" t="str">
            <v>NON AKTIF</v>
          </cell>
          <cell r="L623">
            <v>4</v>
          </cell>
          <cell r="P623" t="str">
            <v>NON AKTIF</v>
          </cell>
          <cell r="R623" t="str">
            <v>PANEN</v>
          </cell>
          <cell r="S623" t="str">
            <v>BORONGAN</v>
          </cell>
          <cell r="T623" t="str">
            <v>TUNAI</v>
          </cell>
          <cell r="U623" t="str">
            <v>6103040212860001</v>
          </cell>
          <cell r="V623" t="str">
            <v>AKAD</v>
          </cell>
        </row>
        <row r="624">
          <cell r="B624" t="str">
            <v>GM-00636</v>
          </cell>
          <cell r="C624" t="str">
            <v>TAMRIN</v>
          </cell>
          <cell r="E624">
            <v>43597</v>
          </cell>
          <cell r="F624" t="str">
            <v>L</v>
          </cell>
          <cell r="G624" t="str">
            <v>SEBUDA</v>
          </cell>
          <cell r="H624">
            <v>27641</v>
          </cell>
          <cell r="I624" t="str">
            <v>45 TAHUN</v>
          </cell>
          <cell r="J624" t="str">
            <v>KATHOLIK</v>
          </cell>
          <cell r="K624" t="str">
            <v>NON KONTRAKTOR</v>
          </cell>
          <cell r="L624">
            <v>4</v>
          </cell>
          <cell r="P624" t="str">
            <v>AKTIF</v>
          </cell>
          <cell r="R624" t="str">
            <v>PERAWATAN</v>
          </cell>
          <cell r="S624" t="str">
            <v>BORONGAN</v>
          </cell>
          <cell r="T624" t="str">
            <v>TUNAI</v>
          </cell>
          <cell r="U624" t="str">
            <v>6109060409750001</v>
          </cell>
          <cell r="V624" t="str">
            <v>LOKAL</v>
          </cell>
        </row>
        <row r="625">
          <cell r="B625" t="str">
            <v>GM-00637</v>
          </cell>
          <cell r="C625" t="str">
            <v>JANU ENSALI</v>
          </cell>
          <cell r="E625">
            <v>43608</v>
          </cell>
          <cell r="F625" t="str">
            <v>L</v>
          </cell>
          <cell r="G625" t="str">
            <v>RANSA</v>
          </cell>
          <cell r="H625">
            <v>36178</v>
          </cell>
          <cell r="I625" t="str">
            <v>22 TAHUN</v>
          </cell>
          <cell r="J625" t="str">
            <v>KRISTEN</v>
          </cell>
          <cell r="K625" t="str">
            <v>NON KONTRAKTOR</v>
          </cell>
          <cell r="L625">
            <v>2</v>
          </cell>
          <cell r="P625" t="str">
            <v>AKTIF</v>
          </cell>
          <cell r="R625" t="str">
            <v>PANEN</v>
          </cell>
          <cell r="S625" t="str">
            <v>BORONGAN</v>
          </cell>
          <cell r="T625" t="str">
            <v>TUNAI</v>
          </cell>
          <cell r="U625" t="str">
            <v>6109061801980005</v>
          </cell>
          <cell r="V625" t="str">
            <v>LOKAL</v>
          </cell>
        </row>
        <row r="626">
          <cell r="B626" t="str">
            <v>GM-00638</v>
          </cell>
          <cell r="C626" t="str">
            <v>PITERZON</v>
          </cell>
          <cell r="E626">
            <v>43604</v>
          </cell>
          <cell r="F626" t="str">
            <v>L</v>
          </cell>
          <cell r="G626" t="str">
            <v>SUNGAI ANTU RANGAH</v>
          </cell>
          <cell r="H626">
            <v>23491</v>
          </cell>
          <cell r="I626" t="str">
            <v>56 TAHUN</v>
          </cell>
          <cell r="J626" t="str">
            <v>KRISTEN</v>
          </cell>
          <cell r="K626" t="str">
            <v>NON KONTRAKTOR</v>
          </cell>
          <cell r="L626">
            <v>4</v>
          </cell>
          <cell r="P626" t="str">
            <v>AKTIF</v>
          </cell>
          <cell r="R626" t="str">
            <v>PERAWATAN</v>
          </cell>
          <cell r="S626" t="str">
            <v>BORONGAN</v>
          </cell>
          <cell r="T626" t="str">
            <v>TUNAI</v>
          </cell>
          <cell r="U626" t="str">
            <v>6109062404640001</v>
          </cell>
          <cell r="V626" t="str">
            <v>LOKAL</v>
          </cell>
        </row>
        <row r="627">
          <cell r="B627" t="str">
            <v>GM-00639</v>
          </cell>
          <cell r="C627" t="str">
            <v>KAMSENO SUTANTO</v>
          </cell>
          <cell r="E627">
            <v>43606</v>
          </cell>
          <cell r="F627" t="str">
            <v>L</v>
          </cell>
          <cell r="G627" t="str">
            <v>TERDUK DAMPAK</v>
          </cell>
          <cell r="H627">
            <v>30226</v>
          </cell>
          <cell r="I627" t="str">
            <v>38 TAHUN</v>
          </cell>
          <cell r="J627" t="str">
            <v>KRISTEN</v>
          </cell>
          <cell r="K627" t="str">
            <v>NON KONTRAKTOR</v>
          </cell>
          <cell r="L627">
            <v>5</v>
          </cell>
          <cell r="P627" t="str">
            <v>AKTIF</v>
          </cell>
          <cell r="R627" t="str">
            <v>PERAWATAN</v>
          </cell>
          <cell r="S627" t="str">
            <v>BORONGAN</v>
          </cell>
          <cell r="T627" t="str">
            <v>TUNAI</v>
          </cell>
          <cell r="U627" t="str">
            <v>6109060210820001</v>
          </cell>
          <cell r="V627" t="str">
            <v>LOKAL</v>
          </cell>
        </row>
        <row r="628">
          <cell r="B628" t="str">
            <v>GM-00640</v>
          </cell>
          <cell r="C628" t="str">
            <v>DANIEL</v>
          </cell>
          <cell r="E628">
            <v>43606</v>
          </cell>
          <cell r="F628" t="str">
            <v>L</v>
          </cell>
          <cell r="G628" t="str">
            <v>AMOH</v>
          </cell>
          <cell r="H628">
            <v>19362</v>
          </cell>
          <cell r="I628" t="str">
            <v>68 TAHUN</v>
          </cell>
          <cell r="J628" t="str">
            <v>KRISTEN</v>
          </cell>
          <cell r="K628" t="str">
            <v>NON KONTRAKTOR</v>
          </cell>
          <cell r="L628">
            <v>5</v>
          </cell>
          <cell r="P628" t="str">
            <v>AKTIF</v>
          </cell>
          <cell r="R628" t="str">
            <v>PERAWATAN</v>
          </cell>
          <cell r="S628" t="str">
            <v>BORONGAN</v>
          </cell>
          <cell r="T628" t="str">
            <v>TUNAI</v>
          </cell>
          <cell r="U628" t="str">
            <v>6109060301530002</v>
          </cell>
          <cell r="V628" t="str">
            <v>LOKAL</v>
          </cell>
        </row>
        <row r="629">
          <cell r="B629" t="str">
            <v>GM-00641</v>
          </cell>
          <cell r="C629" t="str">
            <v>YUSAFAT</v>
          </cell>
          <cell r="E629">
            <v>43606</v>
          </cell>
          <cell r="F629" t="str">
            <v>L</v>
          </cell>
          <cell r="G629" t="str">
            <v>TERDUK DAMPAK</v>
          </cell>
          <cell r="H629">
            <v>22275</v>
          </cell>
          <cell r="I629" t="str">
            <v>60 TAHUN</v>
          </cell>
          <cell r="J629" t="str">
            <v>KRISTEN</v>
          </cell>
          <cell r="K629" t="str">
            <v>NON KONTRAKTOR</v>
          </cell>
          <cell r="L629">
            <v>5</v>
          </cell>
          <cell r="P629" t="str">
            <v>AKTIF</v>
          </cell>
          <cell r="R629" t="str">
            <v>PERAWATAN</v>
          </cell>
          <cell r="S629" t="str">
            <v>BORONGAN</v>
          </cell>
          <cell r="T629" t="str">
            <v>TUNAI</v>
          </cell>
          <cell r="U629" t="str">
            <v>6109062512600001</v>
          </cell>
          <cell r="V629" t="str">
            <v>LOKAL</v>
          </cell>
        </row>
        <row r="630">
          <cell r="B630" t="str">
            <v>GM-00642</v>
          </cell>
          <cell r="C630" t="str">
            <v>KUTI</v>
          </cell>
          <cell r="E630">
            <v>43606</v>
          </cell>
          <cell r="F630" t="str">
            <v>L</v>
          </cell>
          <cell r="G630" t="str">
            <v>TERDUK DAMPAK</v>
          </cell>
          <cell r="H630">
            <v>33251</v>
          </cell>
          <cell r="I630" t="str">
            <v>30 TAHUN</v>
          </cell>
          <cell r="J630" t="str">
            <v>KRISTEN</v>
          </cell>
          <cell r="K630" t="str">
            <v>NON KONTRAKTOR</v>
          </cell>
          <cell r="L630">
            <v>5</v>
          </cell>
          <cell r="P630" t="str">
            <v>AKTIF</v>
          </cell>
          <cell r="R630" t="str">
            <v>PERAWATAN</v>
          </cell>
          <cell r="S630" t="str">
            <v>BORONGAN</v>
          </cell>
          <cell r="T630" t="str">
            <v>TUNAI</v>
          </cell>
          <cell r="U630" t="str">
            <v>6109060130191001</v>
          </cell>
          <cell r="V630" t="str">
            <v>LOKAL</v>
          </cell>
        </row>
        <row r="631">
          <cell r="B631" t="str">
            <v>GM-00643</v>
          </cell>
          <cell r="C631" t="str">
            <v>SUHARJO</v>
          </cell>
          <cell r="E631">
            <v>43606</v>
          </cell>
          <cell r="F631" t="str">
            <v>L</v>
          </cell>
          <cell r="G631" t="str">
            <v>SEPAUH</v>
          </cell>
          <cell r="H631">
            <v>30941</v>
          </cell>
          <cell r="I631" t="str">
            <v>36 TAHUN</v>
          </cell>
          <cell r="J631" t="str">
            <v>KRISTEN</v>
          </cell>
          <cell r="K631" t="str">
            <v>NON KONTRAKTOR</v>
          </cell>
          <cell r="L631">
            <v>5</v>
          </cell>
          <cell r="P631" t="str">
            <v>AKTIF</v>
          </cell>
          <cell r="R631" t="str">
            <v>PERAWATAN</v>
          </cell>
          <cell r="S631" t="str">
            <v>BORONGAN</v>
          </cell>
          <cell r="T631" t="str">
            <v>TUNAI</v>
          </cell>
          <cell r="U631" t="str">
            <v>6109061609840004</v>
          </cell>
          <cell r="V631" t="str">
            <v>LOKAL</v>
          </cell>
        </row>
        <row r="632">
          <cell r="B632" t="str">
            <v>GM-00644</v>
          </cell>
          <cell r="C632" t="str">
            <v>RUTIANA</v>
          </cell>
          <cell r="E632">
            <v>43606</v>
          </cell>
          <cell r="F632" t="str">
            <v>P</v>
          </cell>
          <cell r="G632" t="str">
            <v>MIJAU</v>
          </cell>
          <cell r="H632">
            <v>27600</v>
          </cell>
          <cell r="I632" t="str">
            <v>45 TAHUN</v>
          </cell>
          <cell r="J632" t="str">
            <v>KRISTEN</v>
          </cell>
          <cell r="K632" t="str">
            <v>NON KONTRAKTOR</v>
          </cell>
          <cell r="L632">
            <v>5</v>
          </cell>
          <cell r="P632" t="str">
            <v>AKTIF</v>
          </cell>
          <cell r="R632" t="str">
            <v>PERAWATAN</v>
          </cell>
          <cell r="S632" t="str">
            <v>BORONGAN</v>
          </cell>
          <cell r="T632" t="str">
            <v>TUNAI</v>
          </cell>
          <cell r="U632" t="str">
            <v>6109906650775001</v>
          </cell>
          <cell r="V632" t="str">
            <v>LOKAL</v>
          </cell>
        </row>
        <row r="633">
          <cell r="B633" t="str">
            <v>GM-00645</v>
          </cell>
          <cell r="C633" t="str">
            <v>SETIBEN</v>
          </cell>
          <cell r="E633">
            <v>43606</v>
          </cell>
          <cell r="F633" t="str">
            <v>L</v>
          </cell>
          <cell r="G633" t="str">
            <v>SEPAUH</v>
          </cell>
          <cell r="H633">
            <v>25912</v>
          </cell>
          <cell r="I633" t="str">
            <v>50 TAHUN</v>
          </cell>
          <cell r="J633" t="str">
            <v>KRISTEN</v>
          </cell>
          <cell r="K633" t="str">
            <v>NON KONTRAKTOR</v>
          </cell>
          <cell r="L633">
            <v>5</v>
          </cell>
          <cell r="P633" t="str">
            <v>AKTIF</v>
          </cell>
          <cell r="R633" t="str">
            <v>PERAWATAN</v>
          </cell>
          <cell r="S633" t="str">
            <v>BORONGAN</v>
          </cell>
          <cell r="T633" t="str">
            <v>TUNAI</v>
          </cell>
          <cell r="U633" t="str">
            <v>6109061012700001</v>
          </cell>
          <cell r="V633" t="str">
            <v>LOKAL</v>
          </cell>
        </row>
        <row r="634">
          <cell r="B634" t="str">
            <v>GM-00646</v>
          </cell>
          <cell r="C634" t="str">
            <v>MULIANA. A</v>
          </cell>
          <cell r="E634">
            <v>43606</v>
          </cell>
          <cell r="F634" t="str">
            <v>P</v>
          </cell>
          <cell r="G634" t="str">
            <v>PURASAK</v>
          </cell>
          <cell r="H634">
            <v>29408</v>
          </cell>
          <cell r="I634" t="str">
            <v>40 TAHUN</v>
          </cell>
          <cell r="J634" t="str">
            <v>KRISTEN</v>
          </cell>
          <cell r="K634" t="str">
            <v>NON KONTRAKTOR</v>
          </cell>
          <cell r="L634">
            <v>5</v>
          </cell>
          <cell r="P634" t="str">
            <v>AKTIF</v>
          </cell>
          <cell r="R634" t="str">
            <v>PERAWATAN</v>
          </cell>
          <cell r="S634" t="str">
            <v>BORONGAN</v>
          </cell>
          <cell r="T634" t="str">
            <v>TUNAI</v>
          </cell>
          <cell r="U634" t="str">
            <v>6109064607800003</v>
          </cell>
          <cell r="V634" t="str">
            <v>LOKAL</v>
          </cell>
        </row>
        <row r="635">
          <cell r="B635" t="str">
            <v>GM-00647</v>
          </cell>
          <cell r="C635" t="str">
            <v>PETRUS GAING</v>
          </cell>
          <cell r="E635">
            <v>43606</v>
          </cell>
          <cell r="F635" t="str">
            <v>L</v>
          </cell>
          <cell r="G635" t="str">
            <v>AMOH</v>
          </cell>
          <cell r="H635">
            <v>37359</v>
          </cell>
          <cell r="I635" t="str">
            <v>18 TAHUN</v>
          </cell>
          <cell r="J635" t="str">
            <v>KRISTEN</v>
          </cell>
          <cell r="K635" t="str">
            <v>NON KONTRAKTOR</v>
          </cell>
          <cell r="L635">
            <v>5</v>
          </cell>
          <cell r="P635" t="str">
            <v>AKTIF</v>
          </cell>
          <cell r="R635" t="str">
            <v>PERAWATAN</v>
          </cell>
          <cell r="S635" t="str">
            <v>BORONGAN</v>
          </cell>
          <cell r="T635" t="str">
            <v>TUNAI</v>
          </cell>
          <cell r="U635" t="str">
            <v>6109061304020003</v>
          </cell>
          <cell r="V635" t="str">
            <v>LOKAL</v>
          </cell>
        </row>
        <row r="636">
          <cell r="B636" t="str">
            <v>GM-00648</v>
          </cell>
          <cell r="C636" t="str">
            <v>CORNELIS GIAN</v>
          </cell>
          <cell r="E636">
            <v>43620</v>
          </cell>
          <cell r="F636" t="str">
            <v>L</v>
          </cell>
          <cell r="G636" t="str">
            <v>TERDUK DAMPAK</v>
          </cell>
          <cell r="H636">
            <v>23644</v>
          </cell>
          <cell r="I636" t="str">
            <v>56 TAHUN</v>
          </cell>
          <cell r="J636" t="str">
            <v>KRISTEN</v>
          </cell>
          <cell r="K636" t="str">
            <v>NON KONTRAKTOR</v>
          </cell>
          <cell r="L636">
            <v>5</v>
          </cell>
          <cell r="P636" t="str">
            <v>AKTIF</v>
          </cell>
          <cell r="R636" t="str">
            <v>PERAWATAN</v>
          </cell>
          <cell r="S636" t="str">
            <v>BORONGAN</v>
          </cell>
          <cell r="T636" t="str">
            <v>TUNAI</v>
          </cell>
          <cell r="U636" t="str">
            <v>6109062409640001</v>
          </cell>
          <cell r="V636" t="str">
            <v>LOKAL</v>
          </cell>
        </row>
        <row r="637">
          <cell r="B637" t="str">
            <v>GM-00649</v>
          </cell>
          <cell r="C637" t="str">
            <v>MULIA</v>
          </cell>
          <cell r="E637">
            <v>43620</v>
          </cell>
          <cell r="F637" t="str">
            <v>P</v>
          </cell>
          <cell r="G637" t="str">
            <v>TERDUK DAMPAK</v>
          </cell>
          <cell r="H637">
            <v>24656</v>
          </cell>
          <cell r="I637" t="str">
            <v>53 TAHUN</v>
          </cell>
          <cell r="J637" t="str">
            <v>KRISTEN</v>
          </cell>
          <cell r="K637" t="str">
            <v>NON KONTRAKTOR</v>
          </cell>
          <cell r="L637">
            <v>5</v>
          </cell>
          <cell r="P637" t="str">
            <v>AKTIF</v>
          </cell>
          <cell r="R637" t="str">
            <v>PERAWATAN</v>
          </cell>
          <cell r="S637" t="str">
            <v>BORONGAN</v>
          </cell>
          <cell r="T637" t="str">
            <v>TUNAI</v>
          </cell>
          <cell r="U637" t="str">
            <v>6109064307670003</v>
          </cell>
          <cell r="V637" t="str">
            <v>LOKAL</v>
          </cell>
        </row>
        <row r="638">
          <cell r="B638" t="str">
            <v>GM-00650</v>
          </cell>
          <cell r="C638" t="str">
            <v>WASTI YANA</v>
          </cell>
          <cell r="E638">
            <v>43620</v>
          </cell>
          <cell r="F638" t="str">
            <v>P</v>
          </cell>
          <cell r="G638" t="str">
            <v>AMOH</v>
          </cell>
          <cell r="H638">
            <v>34986</v>
          </cell>
          <cell r="I638" t="str">
            <v>25 TAHUN</v>
          </cell>
          <cell r="J638" t="str">
            <v>KRISTEN</v>
          </cell>
          <cell r="K638" t="str">
            <v>NON KONTRAKTOR</v>
          </cell>
          <cell r="L638">
            <v>5</v>
          </cell>
          <cell r="P638" t="str">
            <v>AKTIF</v>
          </cell>
          <cell r="R638" t="str">
            <v>PERAWATAN</v>
          </cell>
          <cell r="S638" t="str">
            <v>BORONGAN</v>
          </cell>
          <cell r="T638" t="str">
            <v>TUNAI</v>
          </cell>
          <cell r="U638" t="str">
            <v>6109065410950001</v>
          </cell>
          <cell r="V638" t="str">
            <v>LOKAL</v>
          </cell>
        </row>
        <row r="639">
          <cell r="B639" t="str">
            <v>GM-00651</v>
          </cell>
          <cell r="C639" t="str">
            <v>SELON</v>
          </cell>
          <cell r="E639">
            <v>43620</v>
          </cell>
          <cell r="F639" t="str">
            <v>P</v>
          </cell>
          <cell r="G639" t="str">
            <v>SEPAUH</v>
          </cell>
          <cell r="H639">
            <v>27678</v>
          </cell>
          <cell r="I639" t="str">
            <v>45 TAHUN</v>
          </cell>
          <cell r="J639" t="str">
            <v>KRISTEN</v>
          </cell>
          <cell r="K639" t="str">
            <v>NON KONTRAKTOR</v>
          </cell>
          <cell r="L639">
            <v>5</v>
          </cell>
          <cell r="P639" t="str">
            <v>AKTIF</v>
          </cell>
          <cell r="R639" t="str">
            <v>PERAWATAN</v>
          </cell>
          <cell r="S639" t="str">
            <v>BORONGAN</v>
          </cell>
          <cell r="T639" t="str">
            <v>TUNAI</v>
          </cell>
          <cell r="U639" t="str">
            <v>6109060510750001</v>
          </cell>
          <cell r="V639" t="str">
            <v>LOKAL</v>
          </cell>
        </row>
        <row r="640">
          <cell r="B640" t="str">
            <v>GM-00652</v>
          </cell>
          <cell r="C640" t="str">
            <v>SAHARUDIN</v>
          </cell>
          <cell r="E640">
            <v>43606</v>
          </cell>
          <cell r="F640" t="str">
            <v>L</v>
          </cell>
          <cell r="J640" t="str">
            <v>ISLAM</v>
          </cell>
          <cell r="K640" t="str">
            <v>NON AKTIF</v>
          </cell>
          <cell r="L640">
            <v>3</v>
          </cell>
          <cell r="P640" t="str">
            <v>NON AKTIF</v>
          </cell>
          <cell r="Q640">
            <v>43676</v>
          </cell>
          <cell r="R640" t="str">
            <v>PERAWATAN</v>
          </cell>
          <cell r="S640" t="str">
            <v>BORONGAN</v>
          </cell>
          <cell r="T640" t="str">
            <v>TUNAI</v>
          </cell>
          <cell r="V640" t="str">
            <v>AKAD</v>
          </cell>
        </row>
        <row r="641">
          <cell r="B641" t="str">
            <v>GM-00653</v>
          </cell>
          <cell r="C641" t="str">
            <v>RUDI HADI SITOMPUL</v>
          </cell>
          <cell r="E641">
            <v>43628</v>
          </cell>
          <cell r="F641" t="str">
            <v>L</v>
          </cell>
          <cell r="G641" t="str">
            <v>MEDAN</v>
          </cell>
          <cell r="H641">
            <v>30526</v>
          </cell>
          <cell r="I641" t="str">
            <v>37 TAHUN</v>
          </cell>
          <cell r="J641" t="str">
            <v>KATHOLIK</v>
          </cell>
          <cell r="K641" t="str">
            <v>NON AKTIF</v>
          </cell>
          <cell r="L641">
            <v>3</v>
          </cell>
          <cell r="P641" t="str">
            <v>NON AKTIF</v>
          </cell>
          <cell r="Q641">
            <v>43637</v>
          </cell>
          <cell r="R641" t="str">
            <v>PERAWATAN</v>
          </cell>
          <cell r="S641" t="str">
            <v>BORONGAN</v>
          </cell>
          <cell r="T641" t="str">
            <v>TUNAI</v>
          </cell>
          <cell r="U641" t="str">
            <v>1271012907830004</v>
          </cell>
          <cell r="V641" t="str">
            <v>AKAD</v>
          </cell>
        </row>
        <row r="642">
          <cell r="B642" t="str">
            <v>GM-00654</v>
          </cell>
          <cell r="C642" t="str">
            <v>SULISTIO</v>
          </cell>
          <cell r="E642">
            <v>43628</v>
          </cell>
          <cell r="F642" t="str">
            <v>L</v>
          </cell>
          <cell r="G642" t="str">
            <v>SERIBUT</v>
          </cell>
          <cell r="H642">
            <v>36458</v>
          </cell>
          <cell r="I642" t="str">
            <v>21 TAHUN</v>
          </cell>
          <cell r="J642" t="str">
            <v>KRISTEN</v>
          </cell>
          <cell r="K642" t="str">
            <v>NON AKTIF</v>
          </cell>
          <cell r="L642">
            <v>4</v>
          </cell>
          <cell r="P642" t="str">
            <v>NON AKTIF</v>
          </cell>
          <cell r="R642" t="str">
            <v>PANEN</v>
          </cell>
          <cell r="S642" t="str">
            <v>BORONGAN</v>
          </cell>
          <cell r="T642" t="str">
            <v>TUNAI</v>
          </cell>
          <cell r="U642" t="str">
            <v>6103042510990002</v>
          </cell>
          <cell r="V642" t="str">
            <v>AKAD</v>
          </cell>
        </row>
        <row r="643">
          <cell r="B643" t="str">
            <v>GM-00655</v>
          </cell>
          <cell r="C643" t="str">
            <v>VINSENSIUS</v>
          </cell>
          <cell r="E643">
            <v>43628</v>
          </cell>
          <cell r="F643" t="str">
            <v>L</v>
          </cell>
          <cell r="G643" t="str">
            <v>SERIBUT</v>
          </cell>
          <cell r="H643">
            <v>33226</v>
          </cell>
          <cell r="I643" t="str">
            <v>30 TAHUN</v>
          </cell>
          <cell r="J643" t="str">
            <v>KATHOLIK</v>
          </cell>
          <cell r="K643" t="str">
            <v>NON AKTIF</v>
          </cell>
          <cell r="L643">
            <v>4</v>
          </cell>
          <cell r="P643" t="str">
            <v>NON AKTIF</v>
          </cell>
          <cell r="R643" t="str">
            <v>PANEN</v>
          </cell>
          <cell r="S643" t="str">
            <v>BORONGAN</v>
          </cell>
          <cell r="T643" t="str">
            <v>TUNAI</v>
          </cell>
          <cell r="U643" t="str">
            <v>6103041912900001</v>
          </cell>
          <cell r="V643" t="str">
            <v>AKAD</v>
          </cell>
        </row>
        <row r="644">
          <cell r="B644" t="str">
            <v>GM-00656</v>
          </cell>
          <cell r="C644" t="str">
            <v>VIKTORIANUS YANTO</v>
          </cell>
          <cell r="E644">
            <v>43628</v>
          </cell>
          <cell r="F644" t="str">
            <v>L</v>
          </cell>
          <cell r="G644" t="str">
            <v>SEBUDAU</v>
          </cell>
          <cell r="H644">
            <v>32757</v>
          </cell>
          <cell r="I644" t="str">
            <v>31 TAHUN</v>
          </cell>
          <cell r="J644" t="str">
            <v>KATHOLIK</v>
          </cell>
          <cell r="K644" t="str">
            <v>NON AKTIF</v>
          </cell>
          <cell r="L644">
            <v>4</v>
          </cell>
          <cell r="P644" t="str">
            <v>NON AKTIF</v>
          </cell>
          <cell r="Q644">
            <v>43746</v>
          </cell>
          <cell r="R644" t="str">
            <v>PANEN</v>
          </cell>
          <cell r="S644" t="str">
            <v>BORONGAN</v>
          </cell>
          <cell r="T644" t="str">
            <v>TUNAI</v>
          </cell>
          <cell r="U644" t="str">
            <v>6103040509890001</v>
          </cell>
          <cell r="V644" t="str">
            <v>AKAD</v>
          </cell>
        </row>
        <row r="645">
          <cell r="B645" t="str">
            <v>GM-00657</v>
          </cell>
          <cell r="C645" t="str">
            <v>ASPANDI</v>
          </cell>
          <cell r="D645" t="str">
            <v>BARAK G10 DIV 4</v>
          </cell>
          <cell r="E645">
            <v>43628</v>
          </cell>
          <cell r="F645" t="str">
            <v>L</v>
          </cell>
          <cell r="G645" t="str">
            <v>SEBUDAU</v>
          </cell>
          <cell r="H645">
            <v>27254</v>
          </cell>
          <cell r="I645" t="str">
            <v>46 TAHUN</v>
          </cell>
          <cell r="J645" t="str">
            <v>KATHOLIK</v>
          </cell>
          <cell r="K645" t="str">
            <v>NON AKTIF</v>
          </cell>
          <cell r="L645">
            <v>4</v>
          </cell>
          <cell r="P645" t="str">
            <v>NON AKTIF</v>
          </cell>
          <cell r="R645" t="str">
            <v>PANEN</v>
          </cell>
          <cell r="S645" t="str">
            <v>BORONGAN</v>
          </cell>
          <cell r="T645" t="str">
            <v>TUNAI</v>
          </cell>
          <cell r="U645" t="str">
            <v>6103041308740002</v>
          </cell>
          <cell r="V645" t="str">
            <v>AKAD</v>
          </cell>
        </row>
        <row r="646">
          <cell r="B646" t="str">
            <v>GM-00658</v>
          </cell>
          <cell r="C646" t="str">
            <v>RASIBAH</v>
          </cell>
          <cell r="E646">
            <v>43612</v>
          </cell>
          <cell r="F646" t="str">
            <v>P</v>
          </cell>
          <cell r="G646" t="str">
            <v>BASONG</v>
          </cell>
          <cell r="H646">
            <v>26448</v>
          </cell>
          <cell r="I646" t="str">
            <v>48 TAHUN</v>
          </cell>
          <cell r="J646" t="str">
            <v>ISLAM</v>
          </cell>
          <cell r="K646" t="str">
            <v>NON KONTRAKTOR</v>
          </cell>
          <cell r="L646">
            <v>3</v>
          </cell>
          <cell r="P646" t="str">
            <v>AKTIF</v>
          </cell>
          <cell r="R646" t="str">
            <v>PERAWATAN</v>
          </cell>
          <cell r="S646" t="str">
            <v>BORONGAN</v>
          </cell>
          <cell r="T646" t="str">
            <v>TUNAI</v>
          </cell>
          <cell r="U646" t="str">
            <v>6109064702920001</v>
          </cell>
          <cell r="V646" t="str">
            <v>LOKAL</v>
          </cell>
        </row>
        <row r="647">
          <cell r="B647" t="str">
            <v>GM-00659</v>
          </cell>
          <cell r="C647" t="str">
            <v>ANDHEAS SUPARDI</v>
          </cell>
          <cell r="E647">
            <v>43630</v>
          </cell>
          <cell r="F647" t="str">
            <v>L</v>
          </cell>
          <cell r="G647" t="str">
            <v>AMOH</v>
          </cell>
          <cell r="H647">
            <v>32484</v>
          </cell>
          <cell r="I647" t="str">
            <v>32 TAHUN</v>
          </cell>
          <cell r="J647" t="str">
            <v>KRISTEN</v>
          </cell>
          <cell r="K647" t="str">
            <v>NON KONTRAKTOR</v>
          </cell>
          <cell r="L647">
            <v>5</v>
          </cell>
          <cell r="P647" t="str">
            <v>AKTIF</v>
          </cell>
          <cell r="R647" t="str">
            <v>PERAWATAN</v>
          </cell>
          <cell r="S647" t="str">
            <v>BORONGAN</v>
          </cell>
          <cell r="T647" t="str">
            <v>TUNAI</v>
          </cell>
          <cell r="U647" t="str">
            <v>6109060712880002</v>
          </cell>
          <cell r="V647" t="str">
            <v>LOKAL</v>
          </cell>
        </row>
        <row r="648">
          <cell r="B648" t="str">
            <v>GM-00660</v>
          </cell>
          <cell r="C648" t="str">
            <v>YULIANUS</v>
          </cell>
          <cell r="E648">
            <v>43630</v>
          </cell>
          <cell r="F648" t="str">
            <v>L</v>
          </cell>
          <cell r="G648" t="str">
            <v>AMOH</v>
          </cell>
          <cell r="H648">
            <v>36187</v>
          </cell>
          <cell r="I648" t="str">
            <v>22 TAHUN</v>
          </cell>
          <cell r="J648" t="str">
            <v>KRISTEN</v>
          </cell>
          <cell r="K648" t="str">
            <v>NON KONTRAKTOR</v>
          </cell>
          <cell r="L648">
            <v>5</v>
          </cell>
          <cell r="P648" t="str">
            <v>AKTIF</v>
          </cell>
          <cell r="R648" t="str">
            <v>PERAWATAN</v>
          </cell>
          <cell r="S648" t="str">
            <v>BORONGAN</v>
          </cell>
          <cell r="T648" t="str">
            <v>TUNAI</v>
          </cell>
          <cell r="U648" t="str">
            <v>6109062701995002</v>
          </cell>
          <cell r="V648" t="str">
            <v>LOKAL</v>
          </cell>
        </row>
        <row r="649">
          <cell r="B649" t="str">
            <v>GM-00661</v>
          </cell>
          <cell r="C649" t="str">
            <v>MELDI</v>
          </cell>
          <cell r="E649">
            <v>43630</v>
          </cell>
          <cell r="F649" t="str">
            <v>L</v>
          </cell>
          <cell r="G649" t="str">
            <v>SEPAUH</v>
          </cell>
          <cell r="H649">
            <v>35482</v>
          </cell>
          <cell r="I649" t="str">
            <v>23 TAHUN</v>
          </cell>
          <cell r="J649" t="str">
            <v>KRISTEN</v>
          </cell>
          <cell r="K649" t="str">
            <v>NON KONTRAKTOR</v>
          </cell>
          <cell r="L649">
            <v>5</v>
          </cell>
          <cell r="P649" t="str">
            <v>AKTIF</v>
          </cell>
          <cell r="R649" t="str">
            <v>PERAWATAN</v>
          </cell>
          <cell r="S649" t="str">
            <v>BORONGAN</v>
          </cell>
          <cell r="T649" t="str">
            <v>TUNAI</v>
          </cell>
          <cell r="U649" t="str">
            <v>6109062102970001</v>
          </cell>
          <cell r="V649" t="str">
            <v>LOKAL</v>
          </cell>
        </row>
        <row r="650">
          <cell r="B650" t="str">
            <v>GM-00662</v>
          </cell>
          <cell r="C650" t="str">
            <v>JUSRIADI</v>
          </cell>
          <cell r="E650">
            <v>43631</v>
          </cell>
          <cell r="F650" t="str">
            <v>L</v>
          </cell>
          <cell r="G650" t="str">
            <v>SALU-SALU</v>
          </cell>
          <cell r="H650">
            <v>36142</v>
          </cell>
          <cell r="I650" t="str">
            <v>22 TAHUN</v>
          </cell>
          <cell r="J650" t="str">
            <v>ISLAM</v>
          </cell>
          <cell r="K650" t="str">
            <v>NURSAIL</v>
          </cell>
          <cell r="L650">
            <v>3</v>
          </cell>
          <cell r="P650" t="str">
            <v>AKTIF</v>
          </cell>
          <cell r="R650" t="str">
            <v>PANEN</v>
          </cell>
          <cell r="S650" t="str">
            <v>BORONGAN</v>
          </cell>
          <cell r="T650" t="str">
            <v>TUNAI</v>
          </cell>
          <cell r="U650" t="str">
            <v>7302047112980021</v>
          </cell>
          <cell r="V650" t="str">
            <v>AKAD</v>
          </cell>
        </row>
        <row r="651">
          <cell r="B651" t="str">
            <v>GM-00663</v>
          </cell>
          <cell r="C651" t="str">
            <v>WENNY</v>
          </cell>
          <cell r="E651">
            <v>43633</v>
          </cell>
          <cell r="F651" t="str">
            <v>P</v>
          </cell>
          <cell r="G651" t="str">
            <v>SEBELANTAU</v>
          </cell>
          <cell r="H651">
            <v>31860</v>
          </cell>
          <cell r="I651" t="str">
            <v>33 TAHUN</v>
          </cell>
          <cell r="J651" t="str">
            <v>KRISTEN</v>
          </cell>
          <cell r="K651" t="str">
            <v>NON KONTRAKTOR</v>
          </cell>
          <cell r="L651">
            <v>3</v>
          </cell>
          <cell r="P651" t="str">
            <v>AKTIF</v>
          </cell>
          <cell r="R651" t="str">
            <v>PERAWATAN</v>
          </cell>
          <cell r="S651" t="str">
            <v>BORONGAN</v>
          </cell>
          <cell r="T651" t="str">
            <v>TUNAI</v>
          </cell>
          <cell r="U651" t="str">
            <v>6109066403870003</v>
          </cell>
          <cell r="V651" t="str">
            <v>LOKAL</v>
          </cell>
        </row>
        <row r="652">
          <cell r="B652" t="str">
            <v>GM-00664</v>
          </cell>
          <cell r="C652" t="str">
            <v>DAYANG HAMIDAH</v>
          </cell>
          <cell r="E652">
            <v>43628</v>
          </cell>
          <cell r="F652" t="str">
            <v>P</v>
          </cell>
          <cell r="G652" t="str">
            <v>BELITANG</v>
          </cell>
          <cell r="H652">
            <v>26481</v>
          </cell>
          <cell r="I652" t="str">
            <v>48 TAHUN</v>
          </cell>
          <cell r="J652" t="str">
            <v>ISLAM</v>
          </cell>
          <cell r="K652" t="str">
            <v>NON KONTRAKTOR</v>
          </cell>
          <cell r="L652">
            <v>3</v>
          </cell>
          <cell r="P652" t="str">
            <v>AKTIF</v>
          </cell>
          <cell r="R652" t="str">
            <v>PERAWATAN</v>
          </cell>
          <cell r="S652" t="str">
            <v>BORONGAN</v>
          </cell>
          <cell r="T652" t="str">
            <v>TUNAI</v>
          </cell>
          <cell r="U652" t="str">
            <v>6109064107720038</v>
          </cell>
          <cell r="V652" t="str">
            <v>LOKAL</v>
          </cell>
        </row>
        <row r="653">
          <cell r="B653" t="str">
            <v>GM-00665</v>
          </cell>
          <cell r="C653" t="str">
            <v>SUADI</v>
          </cell>
          <cell r="E653">
            <v>43637</v>
          </cell>
          <cell r="F653" t="str">
            <v>L</v>
          </cell>
          <cell r="G653" t="str">
            <v>TABUK</v>
          </cell>
          <cell r="H653">
            <v>27431</v>
          </cell>
          <cell r="I653" t="str">
            <v>45 TAHUN</v>
          </cell>
          <cell r="J653" t="str">
            <v>KRISTEN</v>
          </cell>
          <cell r="K653" t="str">
            <v>NON KONTRAKTOR</v>
          </cell>
          <cell r="L653">
            <v>4</v>
          </cell>
          <cell r="M653" t="str">
            <v>SUADI</v>
          </cell>
          <cell r="N653">
            <v>969747100</v>
          </cell>
          <cell r="O653" t="str">
            <v>BNI</v>
          </cell>
          <cell r="P653" t="str">
            <v>AKTIF</v>
          </cell>
          <cell r="R653" t="str">
            <v>PANEN</v>
          </cell>
          <cell r="S653" t="str">
            <v>BORONGAN</v>
          </cell>
          <cell r="T653" t="str">
            <v>TRANSFER</v>
          </cell>
          <cell r="U653" t="str">
            <v>6109060602750003</v>
          </cell>
          <cell r="V653" t="str">
            <v>LOKAL</v>
          </cell>
        </row>
        <row r="654">
          <cell r="B654" t="str">
            <v>GM-00666</v>
          </cell>
          <cell r="C654" t="str">
            <v>PEDI</v>
          </cell>
          <cell r="E654">
            <v>43637</v>
          </cell>
          <cell r="F654" t="str">
            <v>L</v>
          </cell>
          <cell r="G654" t="str">
            <v>KELADUNG</v>
          </cell>
          <cell r="H654">
            <v>31943</v>
          </cell>
          <cell r="I654" t="str">
            <v>33 TAHUN</v>
          </cell>
          <cell r="J654" t="str">
            <v>ISLAM</v>
          </cell>
          <cell r="K654" t="str">
            <v>NON AKTIF</v>
          </cell>
          <cell r="L654">
            <v>4</v>
          </cell>
          <cell r="P654" t="str">
            <v>NON AKTIF</v>
          </cell>
          <cell r="R654" t="str">
            <v>PERAWATAN</v>
          </cell>
          <cell r="S654" t="str">
            <v>BORONGAN</v>
          </cell>
          <cell r="T654" t="str">
            <v>TUNAI</v>
          </cell>
          <cell r="U654" t="str">
            <v>6103071506870001</v>
          </cell>
          <cell r="V654" t="str">
            <v>AKAD</v>
          </cell>
        </row>
        <row r="655">
          <cell r="B655" t="str">
            <v>GM-00667</v>
          </cell>
          <cell r="C655" t="str">
            <v>ISMARDI</v>
          </cell>
          <cell r="E655">
            <v>43637</v>
          </cell>
          <cell r="F655" t="str">
            <v>L</v>
          </cell>
          <cell r="G655" t="str">
            <v>BALAI SUBUT</v>
          </cell>
          <cell r="H655">
            <v>30198</v>
          </cell>
          <cell r="I655" t="str">
            <v>38 TAHUN</v>
          </cell>
          <cell r="J655" t="str">
            <v>ISLAM</v>
          </cell>
          <cell r="K655" t="str">
            <v>NON AKTIF</v>
          </cell>
          <cell r="L655">
            <v>4</v>
          </cell>
          <cell r="P655" t="str">
            <v>NON AKTIF</v>
          </cell>
          <cell r="Q655">
            <v>43686</v>
          </cell>
          <cell r="R655" t="str">
            <v>PANEN</v>
          </cell>
          <cell r="S655" t="str">
            <v>BORONGAN</v>
          </cell>
          <cell r="T655" t="str">
            <v>TUNAI</v>
          </cell>
          <cell r="U655" t="str">
            <v>6103041408820002</v>
          </cell>
          <cell r="V655" t="str">
            <v>AKAD</v>
          </cell>
        </row>
        <row r="656">
          <cell r="B656" t="str">
            <v>GM-00668</v>
          </cell>
          <cell r="C656" t="str">
            <v>MAS SYAHPRI</v>
          </cell>
          <cell r="E656">
            <v>43637</v>
          </cell>
          <cell r="F656" t="str">
            <v>L</v>
          </cell>
          <cell r="G656" t="str">
            <v>SANGGAU</v>
          </cell>
          <cell r="H656">
            <v>30889</v>
          </cell>
          <cell r="I656" t="str">
            <v>36 TAHUN</v>
          </cell>
          <cell r="J656" t="str">
            <v>ISLAM</v>
          </cell>
          <cell r="K656" t="str">
            <v>NON AKTIF</v>
          </cell>
          <cell r="L656">
            <v>4</v>
          </cell>
          <cell r="P656" t="str">
            <v>NON AKTIF</v>
          </cell>
          <cell r="Q656">
            <v>43686</v>
          </cell>
          <cell r="R656" t="str">
            <v>PERAWATAN</v>
          </cell>
          <cell r="S656" t="str">
            <v>BORONGAN</v>
          </cell>
          <cell r="T656" t="str">
            <v>TUNAI</v>
          </cell>
          <cell r="U656" t="str">
            <v>6103042607840001</v>
          </cell>
          <cell r="V656" t="str">
            <v>AKAD</v>
          </cell>
        </row>
        <row r="657">
          <cell r="B657" t="str">
            <v>GM-00669</v>
          </cell>
          <cell r="C657" t="str">
            <v>RAMADANI SARIYANTO</v>
          </cell>
          <cell r="E657">
            <v>43637</v>
          </cell>
          <cell r="F657" t="str">
            <v>L</v>
          </cell>
          <cell r="G657" t="str">
            <v>PERINTIS</v>
          </cell>
          <cell r="H657">
            <v>32259</v>
          </cell>
          <cell r="I657" t="str">
            <v>32 TAHUN</v>
          </cell>
          <cell r="J657" t="str">
            <v>ISLAM</v>
          </cell>
          <cell r="K657" t="str">
            <v>NON AKTIF</v>
          </cell>
          <cell r="L657">
            <v>4</v>
          </cell>
          <cell r="P657" t="str">
            <v>NON AKTIF</v>
          </cell>
          <cell r="Q657">
            <v>43686</v>
          </cell>
          <cell r="R657" t="str">
            <v>PERAWATAN</v>
          </cell>
          <cell r="S657" t="str">
            <v>BORONGAN</v>
          </cell>
          <cell r="T657" t="str">
            <v>TUNAI</v>
          </cell>
          <cell r="U657" t="str">
            <v>6103045006460001</v>
          </cell>
          <cell r="V657" t="str">
            <v>AKAD</v>
          </cell>
        </row>
        <row r="658">
          <cell r="B658" t="str">
            <v>GM-00670</v>
          </cell>
          <cell r="C658" t="str">
            <v>NANANG KOSIM</v>
          </cell>
          <cell r="E658">
            <v>43637</v>
          </cell>
          <cell r="F658" t="str">
            <v>L</v>
          </cell>
          <cell r="G658" t="str">
            <v>BALAI SUBUT</v>
          </cell>
          <cell r="H658">
            <v>30239</v>
          </cell>
          <cell r="I658" t="str">
            <v>38 TAHUN</v>
          </cell>
          <cell r="J658" t="str">
            <v>ISLAM</v>
          </cell>
          <cell r="K658" t="str">
            <v>NON AKTIF</v>
          </cell>
          <cell r="L658">
            <v>4</v>
          </cell>
          <cell r="P658" t="str">
            <v>NON AKTIF</v>
          </cell>
          <cell r="Q658">
            <v>43686</v>
          </cell>
          <cell r="R658" t="str">
            <v>PERAWATAN</v>
          </cell>
          <cell r="S658" t="str">
            <v>BORONGAN</v>
          </cell>
          <cell r="T658" t="str">
            <v>TUNAI</v>
          </cell>
          <cell r="U658" t="str">
            <v>6103041510820001</v>
          </cell>
          <cell r="V658" t="str">
            <v>AKAD</v>
          </cell>
        </row>
        <row r="659">
          <cell r="B659" t="str">
            <v>GM-00671</v>
          </cell>
          <cell r="C659" t="str">
            <v>JUMIRI</v>
          </cell>
          <cell r="D659" t="str">
            <v>BARAK G10 DIV 2</v>
          </cell>
          <cell r="E659">
            <v>43637</v>
          </cell>
          <cell r="F659" t="str">
            <v>L</v>
          </cell>
          <cell r="G659" t="str">
            <v>PARIT CEGAT</v>
          </cell>
          <cell r="H659">
            <v>28312</v>
          </cell>
          <cell r="I659" t="str">
            <v>43 TAHUN</v>
          </cell>
          <cell r="J659" t="str">
            <v>ISLAM</v>
          </cell>
          <cell r="K659" t="str">
            <v>NON AKTIF</v>
          </cell>
          <cell r="L659">
            <v>2</v>
          </cell>
          <cell r="P659" t="str">
            <v>NON AKTIF</v>
          </cell>
          <cell r="Q659">
            <v>43715</v>
          </cell>
          <cell r="R659" t="str">
            <v>PANEN</v>
          </cell>
          <cell r="S659" t="str">
            <v>BORONGAN</v>
          </cell>
          <cell r="T659" t="str">
            <v>TUNAI</v>
          </cell>
          <cell r="U659" t="str">
            <v>6101060607770007</v>
          </cell>
          <cell r="V659" t="str">
            <v>AKAD</v>
          </cell>
        </row>
        <row r="660">
          <cell r="B660" t="str">
            <v>GM-00672</v>
          </cell>
          <cell r="C660" t="str">
            <v>HENDRA</v>
          </cell>
          <cell r="D660" t="str">
            <v>BARAK G10 DIV 2</v>
          </cell>
          <cell r="E660">
            <v>43637</v>
          </cell>
          <cell r="F660" t="str">
            <v>L</v>
          </cell>
          <cell r="G660" t="str">
            <v>SLIDU</v>
          </cell>
          <cell r="H660">
            <v>31921</v>
          </cell>
          <cell r="I660" t="str">
            <v>33 TAHUN</v>
          </cell>
          <cell r="J660" t="str">
            <v>ISLAM</v>
          </cell>
          <cell r="K660" t="str">
            <v>NON AKTIF</v>
          </cell>
          <cell r="L660">
            <v>2</v>
          </cell>
          <cell r="P660" t="str">
            <v>NON AKTIF</v>
          </cell>
          <cell r="Q660">
            <v>43715</v>
          </cell>
          <cell r="R660" t="str">
            <v>PANEN</v>
          </cell>
          <cell r="S660" t="str">
            <v>BORONGAN</v>
          </cell>
          <cell r="T660" t="str">
            <v>TUNAI</v>
          </cell>
          <cell r="U660" t="str">
            <v>6108112405870002</v>
          </cell>
          <cell r="V660" t="str">
            <v>AKAD</v>
          </cell>
        </row>
        <row r="661">
          <cell r="B661" t="str">
            <v>GM-00673</v>
          </cell>
          <cell r="C661" t="str">
            <v>RONI</v>
          </cell>
          <cell r="D661" t="str">
            <v>BARAK G10 DIV 2</v>
          </cell>
          <cell r="E661">
            <v>43637</v>
          </cell>
          <cell r="F661" t="str">
            <v>L</v>
          </cell>
          <cell r="G661" t="str">
            <v>BANDUNG</v>
          </cell>
          <cell r="H661">
            <v>29461</v>
          </cell>
          <cell r="I661" t="str">
            <v>40 TAHUN</v>
          </cell>
          <cell r="J661" t="str">
            <v>ISLAM</v>
          </cell>
          <cell r="K661" t="str">
            <v>NON AKTIF</v>
          </cell>
          <cell r="L661">
            <v>2</v>
          </cell>
          <cell r="M661" t="str">
            <v>RONI</v>
          </cell>
          <cell r="N661">
            <v>902274296</v>
          </cell>
          <cell r="O661" t="str">
            <v>BNI</v>
          </cell>
          <cell r="P661" t="str">
            <v>NON AKTIF</v>
          </cell>
          <cell r="R661" t="str">
            <v>PANEN</v>
          </cell>
          <cell r="S661" t="str">
            <v>BORONGAN</v>
          </cell>
          <cell r="T661" t="str">
            <v>TRANSFER</v>
          </cell>
          <cell r="U661" t="str">
            <v>3217132806800001</v>
          </cell>
          <cell r="V661" t="str">
            <v>AKAD</v>
          </cell>
        </row>
        <row r="662">
          <cell r="B662" t="str">
            <v>GM-00674</v>
          </cell>
          <cell r="C662" t="str">
            <v>MISLAWATI</v>
          </cell>
          <cell r="D662" t="str">
            <v>BARAK G10 DIV 2</v>
          </cell>
          <cell r="E662">
            <v>43637</v>
          </cell>
          <cell r="F662" t="str">
            <v>L</v>
          </cell>
          <cell r="G662" t="str">
            <v>PARIT CEGAT</v>
          </cell>
          <cell r="H662">
            <v>31995</v>
          </cell>
          <cell r="I662" t="str">
            <v>33 TAHUN</v>
          </cell>
          <cell r="J662" t="str">
            <v>ISLAM</v>
          </cell>
          <cell r="K662" t="str">
            <v>NON AKTIF</v>
          </cell>
          <cell r="L662">
            <v>2</v>
          </cell>
          <cell r="M662" t="str">
            <v>MISLAWATI</v>
          </cell>
          <cell r="N662">
            <v>902271159</v>
          </cell>
          <cell r="O662" t="str">
            <v>BNI</v>
          </cell>
          <cell r="P662" t="str">
            <v>NON AKTIF</v>
          </cell>
          <cell r="R662" t="str">
            <v>PANEN</v>
          </cell>
          <cell r="S662" t="str">
            <v>BORONGAN</v>
          </cell>
          <cell r="T662" t="str">
            <v>TRANSFER</v>
          </cell>
          <cell r="U662" t="str">
            <v>6101064608870004</v>
          </cell>
          <cell r="V662" t="str">
            <v>AKAD</v>
          </cell>
        </row>
        <row r="663">
          <cell r="B663" t="str">
            <v>GM-00675</v>
          </cell>
          <cell r="C663" t="str">
            <v>SERINA</v>
          </cell>
          <cell r="E663">
            <v>43641</v>
          </cell>
          <cell r="F663" t="str">
            <v>P</v>
          </cell>
          <cell r="G663" t="str">
            <v>BEMBAN</v>
          </cell>
          <cell r="H663">
            <v>25799</v>
          </cell>
          <cell r="I663" t="str">
            <v>50 TAHUN</v>
          </cell>
          <cell r="J663" t="str">
            <v>KRISTEN</v>
          </cell>
          <cell r="K663" t="str">
            <v>NON KONTRAKTOR</v>
          </cell>
          <cell r="L663">
            <v>3</v>
          </cell>
          <cell r="P663" t="str">
            <v>AKTIF</v>
          </cell>
          <cell r="R663" t="str">
            <v>PERAWATAN</v>
          </cell>
          <cell r="S663" t="str">
            <v>BORONGAN</v>
          </cell>
          <cell r="T663" t="str">
            <v>TUNAI</v>
          </cell>
          <cell r="U663" t="str">
            <v>6109065908700001</v>
          </cell>
          <cell r="V663" t="str">
            <v>LOKAL</v>
          </cell>
        </row>
        <row r="664">
          <cell r="B664" t="str">
            <v>GM-00676</v>
          </cell>
          <cell r="C664" t="str">
            <v>MERI</v>
          </cell>
          <cell r="E664">
            <v>43641</v>
          </cell>
          <cell r="F664" t="str">
            <v>P</v>
          </cell>
          <cell r="G664" t="str">
            <v>BEMBAN</v>
          </cell>
          <cell r="H664">
            <v>24904</v>
          </cell>
          <cell r="I664" t="str">
            <v>52 TAHUN</v>
          </cell>
          <cell r="J664" t="str">
            <v>KRISTEN</v>
          </cell>
          <cell r="K664" t="str">
            <v>NON KONTRAKTOR</v>
          </cell>
          <cell r="L664">
            <v>3</v>
          </cell>
          <cell r="P664" t="str">
            <v>AKTIF</v>
          </cell>
          <cell r="R664" t="str">
            <v>PERAWATAN</v>
          </cell>
          <cell r="S664" t="str">
            <v>BORONGAN</v>
          </cell>
          <cell r="T664" t="str">
            <v>TUNAI</v>
          </cell>
          <cell r="U664" t="str">
            <v>6109064703680004</v>
          </cell>
          <cell r="V664" t="str">
            <v>LOKAL</v>
          </cell>
        </row>
        <row r="665">
          <cell r="B665" t="str">
            <v>GM-00677</v>
          </cell>
          <cell r="C665" t="str">
            <v>ALDO SUSANTO</v>
          </cell>
          <cell r="F665" t="str">
            <v>L</v>
          </cell>
          <cell r="I665" t="str">
            <v>121 TAHUN</v>
          </cell>
          <cell r="J665" t="str">
            <v>KRISTEN</v>
          </cell>
          <cell r="K665" t="str">
            <v>NON KONTRAKTOR</v>
          </cell>
          <cell r="L665">
            <v>1</v>
          </cell>
          <cell r="P665" t="str">
            <v>AKTIF</v>
          </cell>
          <cell r="R665" t="str">
            <v>PERAWATAN</v>
          </cell>
          <cell r="S665" t="str">
            <v>BORONGAN</v>
          </cell>
          <cell r="T665" t="str">
            <v>TUNAI</v>
          </cell>
          <cell r="V665" t="str">
            <v>LOKAL</v>
          </cell>
        </row>
        <row r="666">
          <cell r="B666" t="str">
            <v>GM-00678</v>
          </cell>
          <cell r="C666" t="str">
            <v>HERI</v>
          </cell>
          <cell r="E666">
            <v>43647</v>
          </cell>
          <cell r="F666" t="str">
            <v>L</v>
          </cell>
          <cell r="G666" t="str">
            <v>MERTAWAI</v>
          </cell>
          <cell r="H666">
            <v>35169</v>
          </cell>
          <cell r="I666" t="str">
            <v>24 TAHUN</v>
          </cell>
          <cell r="J666" t="str">
            <v>KRISTEN</v>
          </cell>
          <cell r="K666" t="str">
            <v>NON KONTRAKTOR</v>
          </cell>
          <cell r="L666">
            <v>1</v>
          </cell>
          <cell r="M666" t="str">
            <v>HERI</v>
          </cell>
          <cell r="N666">
            <v>842930302</v>
          </cell>
          <cell r="O666" t="str">
            <v>BNI</v>
          </cell>
          <cell r="P666" t="str">
            <v>AKTIF</v>
          </cell>
          <cell r="R666" t="str">
            <v>PANEN</v>
          </cell>
          <cell r="S666" t="str">
            <v>BORONGAN</v>
          </cell>
          <cell r="T666" t="str">
            <v>TRANSFER</v>
          </cell>
          <cell r="U666" t="str">
            <v>6109061404960002</v>
          </cell>
          <cell r="V666" t="str">
            <v>LOKAL</v>
          </cell>
        </row>
        <row r="667">
          <cell r="B667" t="str">
            <v>GM-00679</v>
          </cell>
          <cell r="C667" t="str">
            <v>ANITA</v>
          </cell>
          <cell r="E667">
            <v>43647</v>
          </cell>
          <cell r="F667" t="str">
            <v>P</v>
          </cell>
          <cell r="G667" t="str">
            <v>BASONG</v>
          </cell>
          <cell r="H667">
            <v>30234</v>
          </cell>
          <cell r="I667" t="str">
            <v>38 TAHUN</v>
          </cell>
          <cell r="J667" t="str">
            <v>ISLAM</v>
          </cell>
          <cell r="K667" t="str">
            <v>NON KONTRAKTOR</v>
          </cell>
          <cell r="L667">
            <v>3</v>
          </cell>
          <cell r="P667" t="str">
            <v>AKTIF</v>
          </cell>
          <cell r="R667" t="str">
            <v>PERAWATAN</v>
          </cell>
          <cell r="S667" t="str">
            <v>BORONGAN</v>
          </cell>
          <cell r="T667" t="str">
            <v>TUNAI</v>
          </cell>
          <cell r="U667" t="str">
            <v>6109065010820001</v>
          </cell>
          <cell r="V667" t="str">
            <v>LOKAL</v>
          </cell>
        </row>
        <row r="668">
          <cell r="B668" t="str">
            <v>GM-00680</v>
          </cell>
          <cell r="C668" t="str">
            <v>MARLIN</v>
          </cell>
          <cell r="E668">
            <v>43647</v>
          </cell>
          <cell r="F668" t="str">
            <v>P</v>
          </cell>
          <cell r="G668" t="str">
            <v>SEI TEBELIAN</v>
          </cell>
          <cell r="H668">
            <v>29495</v>
          </cell>
          <cell r="I668" t="str">
            <v>40 TAHUN</v>
          </cell>
          <cell r="J668" t="str">
            <v>KRISTEN</v>
          </cell>
          <cell r="K668" t="str">
            <v>NON KONTRAKTOR</v>
          </cell>
          <cell r="L668">
            <v>1</v>
          </cell>
          <cell r="P668" t="str">
            <v>AKTIF</v>
          </cell>
          <cell r="R668" t="str">
            <v>PERAWATAN</v>
          </cell>
          <cell r="S668" t="str">
            <v>BORONGAN</v>
          </cell>
          <cell r="T668" t="str">
            <v>TUNAI</v>
          </cell>
          <cell r="U668" t="str">
            <v>6109064110800006</v>
          </cell>
          <cell r="V668" t="str">
            <v>LOKAL</v>
          </cell>
        </row>
        <row r="669">
          <cell r="B669" t="str">
            <v>GM-00681</v>
          </cell>
          <cell r="C669" t="str">
            <v>RINA</v>
          </cell>
          <cell r="E669">
            <v>43647</v>
          </cell>
          <cell r="F669" t="str">
            <v>P</v>
          </cell>
          <cell r="G669" t="str">
            <v>KAMPUNG BARU</v>
          </cell>
          <cell r="H669">
            <v>27322</v>
          </cell>
          <cell r="I669" t="str">
            <v>46 TAHUN</v>
          </cell>
          <cell r="J669" t="str">
            <v>KRISTEN</v>
          </cell>
          <cell r="K669" t="str">
            <v>NON KONTRAKTOR</v>
          </cell>
          <cell r="L669">
            <v>1</v>
          </cell>
          <cell r="P669" t="str">
            <v>AKTIF</v>
          </cell>
          <cell r="R669" t="str">
            <v>PERAWATAN</v>
          </cell>
          <cell r="S669" t="str">
            <v>BORONGAN</v>
          </cell>
          <cell r="T669" t="str">
            <v>TUNAI</v>
          </cell>
          <cell r="U669" t="str">
            <v>6109066010740003</v>
          </cell>
          <cell r="V669" t="str">
            <v>LOKAL</v>
          </cell>
        </row>
        <row r="670">
          <cell r="B670" t="str">
            <v>GM-00682</v>
          </cell>
          <cell r="C670" t="str">
            <v>SUKARDI</v>
          </cell>
          <cell r="D670" t="str">
            <v>BARAK G10 DIV 5</v>
          </cell>
          <cell r="E670">
            <v>43648</v>
          </cell>
          <cell r="F670" t="str">
            <v>L</v>
          </cell>
          <cell r="G670" t="str">
            <v>SAUH</v>
          </cell>
          <cell r="H670">
            <v>29586</v>
          </cell>
          <cell r="I670" t="str">
            <v>40 TAHUN</v>
          </cell>
          <cell r="J670" t="str">
            <v>ISLAM</v>
          </cell>
          <cell r="K670" t="str">
            <v>NON AKTIF</v>
          </cell>
          <cell r="L670">
            <v>5</v>
          </cell>
          <cell r="P670" t="str">
            <v>NON AKTIF</v>
          </cell>
          <cell r="Q670">
            <v>43773</v>
          </cell>
          <cell r="R670" t="str">
            <v>PERAWATAN</v>
          </cell>
          <cell r="S670" t="str">
            <v>BORONGAN</v>
          </cell>
          <cell r="T670" t="str">
            <v>TUNAI</v>
          </cell>
          <cell r="U670" t="str">
            <v>5201073112800379</v>
          </cell>
          <cell r="V670" t="str">
            <v>AKAD</v>
          </cell>
        </row>
        <row r="671">
          <cell r="B671" t="str">
            <v>GM-00683</v>
          </cell>
          <cell r="C671" t="str">
            <v>SUKIMAN</v>
          </cell>
          <cell r="D671" t="str">
            <v>BARAK G10 DIV 5</v>
          </cell>
          <cell r="E671">
            <v>43648</v>
          </cell>
          <cell r="F671" t="str">
            <v>L</v>
          </cell>
          <cell r="G671" t="str">
            <v>KAMBENG</v>
          </cell>
          <cell r="H671">
            <v>29403</v>
          </cell>
          <cell r="I671" t="str">
            <v>40 TAHUN</v>
          </cell>
          <cell r="J671" t="str">
            <v>ISLAM</v>
          </cell>
          <cell r="K671" t="str">
            <v>NON AKTIF</v>
          </cell>
          <cell r="L671">
            <v>5</v>
          </cell>
          <cell r="P671" t="str">
            <v>NON AKTIF</v>
          </cell>
          <cell r="Q671">
            <v>43773</v>
          </cell>
          <cell r="R671" t="str">
            <v>PERAWATAN</v>
          </cell>
          <cell r="S671" t="str">
            <v>BORONGAN</v>
          </cell>
          <cell r="T671" t="str">
            <v>TUNAI</v>
          </cell>
          <cell r="U671" t="str">
            <v>5201130107800257</v>
          </cell>
          <cell r="V671" t="str">
            <v>AKAD</v>
          </cell>
        </row>
        <row r="672">
          <cell r="B672" t="str">
            <v>GM-00684</v>
          </cell>
          <cell r="C672" t="str">
            <v>MUSTAPA</v>
          </cell>
          <cell r="D672" t="str">
            <v>BARAK G10 DIV 1</v>
          </cell>
          <cell r="E672">
            <v>43648</v>
          </cell>
          <cell r="F672" t="str">
            <v>L</v>
          </cell>
          <cell r="G672" t="str">
            <v>KELEP</v>
          </cell>
          <cell r="H672">
            <v>25535</v>
          </cell>
          <cell r="I672" t="str">
            <v>51 TAHUN</v>
          </cell>
          <cell r="J672" t="str">
            <v>ISLAM</v>
          </cell>
          <cell r="K672" t="str">
            <v>NURSAIL</v>
          </cell>
          <cell r="L672">
            <v>5</v>
          </cell>
          <cell r="P672" t="str">
            <v>AKTIF</v>
          </cell>
          <cell r="Q672">
            <v>43667</v>
          </cell>
          <cell r="R672" t="str">
            <v>PERAWATAN</v>
          </cell>
          <cell r="S672" t="str">
            <v>BORONGAN</v>
          </cell>
          <cell r="T672" t="str">
            <v>TUNAI</v>
          </cell>
          <cell r="U672" t="str">
            <v>5201072911690000</v>
          </cell>
          <cell r="V672" t="str">
            <v>AKAD</v>
          </cell>
        </row>
        <row r="673">
          <cell r="B673" t="str">
            <v>GM-00685</v>
          </cell>
          <cell r="C673" t="str">
            <v>KERIK</v>
          </cell>
          <cell r="D673" t="str">
            <v>BARAK G10 DIV 5</v>
          </cell>
          <cell r="E673">
            <v>43648</v>
          </cell>
          <cell r="F673" t="str">
            <v>L</v>
          </cell>
          <cell r="G673" t="str">
            <v>KELANJUR</v>
          </cell>
          <cell r="H673">
            <v>24654</v>
          </cell>
          <cell r="I673" t="str">
            <v>53 TAHUN</v>
          </cell>
          <cell r="J673" t="str">
            <v>ISLAM</v>
          </cell>
          <cell r="K673" t="str">
            <v>NON AKTIF</v>
          </cell>
          <cell r="L673">
            <v>5</v>
          </cell>
          <cell r="P673" t="str">
            <v>NON AKTIF</v>
          </cell>
          <cell r="Q673">
            <v>43667</v>
          </cell>
          <cell r="R673" t="str">
            <v>PERAWATAN</v>
          </cell>
          <cell r="S673" t="str">
            <v>BORONGAN</v>
          </cell>
          <cell r="T673" t="str">
            <v>TUNAI</v>
          </cell>
          <cell r="U673" t="str">
            <v>5202110107670273</v>
          </cell>
          <cell r="V673" t="str">
            <v>AKAD</v>
          </cell>
        </row>
        <row r="674">
          <cell r="B674" t="str">
            <v>GM-00686</v>
          </cell>
          <cell r="C674" t="str">
            <v>SUDIRMAN</v>
          </cell>
          <cell r="D674" t="str">
            <v>BARAK G10 DIV 5</v>
          </cell>
          <cell r="E674">
            <v>43648</v>
          </cell>
          <cell r="F674" t="str">
            <v>L</v>
          </cell>
          <cell r="G674" t="str">
            <v>MANGGONG</v>
          </cell>
          <cell r="H674">
            <v>33026</v>
          </cell>
          <cell r="I674" t="str">
            <v>30 TAHUN</v>
          </cell>
          <cell r="J674" t="str">
            <v>ISLAM</v>
          </cell>
          <cell r="K674" t="str">
            <v>NON AKTIF</v>
          </cell>
          <cell r="L674">
            <v>5</v>
          </cell>
          <cell r="P674" t="str">
            <v>NON AKTIF</v>
          </cell>
          <cell r="Q674">
            <v>43667</v>
          </cell>
          <cell r="R674" t="str">
            <v>PANEN</v>
          </cell>
          <cell r="S674" t="str">
            <v>BORONGAN</v>
          </cell>
          <cell r="T674" t="str">
            <v>TUNAI</v>
          </cell>
          <cell r="U674" t="str">
            <v>5002020206900001</v>
          </cell>
          <cell r="V674" t="str">
            <v>AKAD</v>
          </cell>
        </row>
        <row r="675">
          <cell r="B675" t="str">
            <v>GM-00687</v>
          </cell>
          <cell r="C675" t="str">
            <v>ALIMUDIN</v>
          </cell>
          <cell r="D675" t="str">
            <v>BARAK G10 DIV 5</v>
          </cell>
          <cell r="E675">
            <v>43648</v>
          </cell>
          <cell r="F675" t="str">
            <v>L</v>
          </cell>
          <cell r="G675" t="str">
            <v>SAUH</v>
          </cell>
          <cell r="H675">
            <v>25385</v>
          </cell>
          <cell r="I675" t="str">
            <v>51 TAHUN</v>
          </cell>
          <cell r="J675" t="str">
            <v>ISLAM</v>
          </cell>
          <cell r="K675" t="str">
            <v>NON AKTIF</v>
          </cell>
          <cell r="L675">
            <v>5</v>
          </cell>
          <cell r="P675" t="str">
            <v>NON AKTIF</v>
          </cell>
          <cell r="Q675">
            <v>43773</v>
          </cell>
          <cell r="R675" t="str">
            <v>PANEN</v>
          </cell>
          <cell r="S675" t="str">
            <v>BORONGAN</v>
          </cell>
          <cell r="T675" t="str">
            <v>TUNAI</v>
          </cell>
          <cell r="U675" t="str">
            <v>5201072107760001</v>
          </cell>
          <cell r="V675" t="str">
            <v>AKAD</v>
          </cell>
        </row>
        <row r="676">
          <cell r="B676" t="str">
            <v>GM-00688</v>
          </cell>
          <cell r="C676" t="str">
            <v>SAMSUDIN</v>
          </cell>
          <cell r="D676" t="str">
            <v>BARAK G10 DIV 5</v>
          </cell>
          <cell r="E676">
            <v>43648</v>
          </cell>
          <cell r="F676" t="str">
            <v>L</v>
          </cell>
          <cell r="G676" t="str">
            <v>SAUH</v>
          </cell>
          <cell r="H676">
            <v>35064</v>
          </cell>
          <cell r="I676" t="str">
            <v>25 TAHUN</v>
          </cell>
          <cell r="J676" t="str">
            <v>ISLAM</v>
          </cell>
          <cell r="K676" t="str">
            <v>NON AKTIF</v>
          </cell>
          <cell r="L676">
            <v>5</v>
          </cell>
          <cell r="P676" t="str">
            <v>NON AKTIF</v>
          </cell>
          <cell r="Q676">
            <v>43773</v>
          </cell>
          <cell r="R676" t="str">
            <v>PANEN</v>
          </cell>
          <cell r="S676" t="str">
            <v>BORONGAN</v>
          </cell>
          <cell r="T676" t="str">
            <v>TUNAI</v>
          </cell>
          <cell r="U676" t="str">
            <v>5201073112950182</v>
          </cell>
          <cell r="V676" t="str">
            <v>AKAD</v>
          </cell>
        </row>
        <row r="677">
          <cell r="B677" t="str">
            <v>GM-00689</v>
          </cell>
          <cell r="C677" t="str">
            <v>RIAH</v>
          </cell>
          <cell r="D677" t="str">
            <v>BARAK G10 DIV 5</v>
          </cell>
          <cell r="E677">
            <v>43648</v>
          </cell>
          <cell r="F677" t="str">
            <v>L</v>
          </cell>
          <cell r="G677" t="str">
            <v>SAUH</v>
          </cell>
          <cell r="H677">
            <v>30190</v>
          </cell>
          <cell r="I677" t="str">
            <v>38 TAHUN</v>
          </cell>
          <cell r="J677" t="str">
            <v>ISLAM</v>
          </cell>
          <cell r="K677" t="str">
            <v>NON AKTIF</v>
          </cell>
          <cell r="L677">
            <v>5</v>
          </cell>
          <cell r="P677" t="str">
            <v>NON AKTIF</v>
          </cell>
          <cell r="Q677">
            <v>43773</v>
          </cell>
          <cell r="R677" t="str">
            <v>PERAWATAN</v>
          </cell>
          <cell r="S677" t="str">
            <v>BORONGAN</v>
          </cell>
          <cell r="T677" t="str">
            <v>TUNAI</v>
          </cell>
          <cell r="U677" t="str">
            <v>5201072708820001</v>
          </cell>
          <cell r="V677" t="str">
            <v>AKAD</v>
          </cell>
        </row>
        <row r="678">
          <cell r="B678" t="str">
            <v>GM-00690</v>
          </cell>
          <cell r="C678" t="str">
            <v>KARMEN P</v>
          </cell>
          <cell r="E678">
            <v>43637</v>
          </cell>
          <cell r="F678" t="str">
            <v>L</v>
          </cell>
          <cell r="G678" t="str">
            <v>PAKIT MULAU</v>
          </cell>
          <cell r="H678">
            <v>27001</v>
          </cell>
          <cell r="I678" t="str">
            <v>47 TAHUN</v>
          </cell>
          <cell r="J678" t="str">
            <v>KRISTEN</v>
          </cell>
          <cell r="K678" t="str">
            <v>NON KONTRAKTOR</v>
          </cell>
          <cell r="L678">
            <v>1</v>
          </cell>
          <cell r="P678" t="str">
            <v>AKTIF</v>
          </cell>
          <cell r="R678" t="str">
            <v>PERAWATAN</v>
          </cell>
          <cell r="S678" t="str">
            <v>BORONGAN</v>
          </cell>
          <cell r="T678" t="str">
            <v>TUNAI</v>
          </cell>
          <cell r="U678" t="str">
            <v>6109060312730002</v>
          </cell>
          <cell r="V678" t="str">
            <v>LOKAL</v>
          </cell>
        </row>
        <row r="679">
          <cell r="B679" t="str">
            <v>GM-00691</v>
          </cell>
          <cell r="C679" t="str">
            <v>DORES</v>
          </cell>
          <cell r="E679">
            <v>43656</v>
          </cell>
          <cell r="F679" t="str">
            <v>P</v>
          </cell>
          <cell r="G679" t="str">
            <v>TERDUK DAMPAK</v>
          </cell>
          <cell r="H679">
            <v>30295</v>
          </cell>
          <cell r="I679" t="str">
            <v>38 TAHUN</v>
          </cell>
          <cell r="J679" t="str">
            <v>KRISTEN</v>
          </cell>
          <cell r="K679" t="str">
            <v>NON KONTRAKTOR</v>
          </cell>
          <cell r="L679">
            <v>5</v>
          </cell>
          <cell r="P679" t="str">
            <v>AKTIF</v>
          </cell>
          <cell r="R679" t="str">
            <v>PERAWATAN</v>
          </cell>
          <cell r="S679" t="str">
            <v>BORONGAN</v>
          </cell>
          <cell r="T679" t="str">
            <v>TUNAI</v>
          </cell>
          <cell r="U679" t="str">
            <v>6109065012820002</v>
          </cell>
          <cell r="V679" t="str">
            <v>LOKAL</v>
          </cell>
        </row>
        <row r="680">
          <cell r="B680" t="str">
            <v>GM-00692</v>
          </cell>
          <cell r="C680" t="str">
            <v>EDISON</v>
          </cell>
          <cell r="E680">
            <v>43656</v>
          </cell>
          <cell r="F680" t="str">
            <v>L</v>
          </cell>
          <cell r="G680" t="str">
            <v>SUNGAI ANTU PULAU</v>
          </cell>
          <cell r="H680">
            <v>35273</v>
          </cell>
          <cell r="I680" t="str">
            <v>24 TAHUN</v>
          </cell>
          <cell r="J680" t="str">
            <v>KRISTEN</v>
          </cell>
          <cell r="K680" t="str">
            <v>NON KONTRAKTOR</v>
          </cell>
          <cell r="L680">
            <v>5</v>
          </cell>
          <cell r="P680" t="str">
            <v>AKTIF</v>
          </cell>
          <cell r="R680" t="str">
            <v>PERAWATAN</v>
          </cell>
          <cell r="S680" t="str">
            <v>BORONGAN</v>
          </cell>
          <cell r="T680" t="str">
            <v>TUNAI</v>
          </cell>
          <cell r="U680" t="str">
            <v>6109062707960003</v>
          </cell>
          <cell r="V680" t="str">
            <v>LOKAL</v>
          </cell>
        </row>
        <row r="681">
          <cell r="B681" t="str">
            <v>GM-00693</v>
          </cell>
          <cell r="C681" t="str">
            <v>GIMING</v>
          </cell>
          <cell r="E681">
            <v>43656</v>
          </cell>
          <cell r="F681" t="str">
            <v>L</v>
          </cell>
          <cell r="G681" t="str">
            <v>SUNGAI ANTU PULAU</v>
          </cell>
          <cell r="H681">
            <v>36114</v>
          </cell>
          <cell r="I681" t="str">
            <v>22 TAHUN</v>
          </cell>
          <cell r="J681" t="str">
            <v>KRISTEN</v>
          </cell>
          <cell r="K681" t="str">
            <v>NON KONTRAKTOR</v>
          </cell>
          <cell r="L681">
            <v>5</v>
          </cell>
          <cell r="P681" t="str">
            <v>AKTIF</v>
          </cell>
          <cell r="R681" t="str">
            <v>PERAWATAN</v>
          </cell>
          <cell r="S681" t="str">
            <v>BORONGAN</v>
          </cell>
          <cell r="T681" t="str">
            <v>TUNAI</v>
          </cell>
          <cell r="U681" t="str">
            <v>6109061511980002</v>
          </cell>
          <cell r="V681" t="str">
            <v>LOKAL</v>
          </cell>
        </row>
        <row r="682">
          <cell r="B682" t="str">
            <v>GM-00694</v>
          </cell>
          <cell r="C682" t="str">
            <v>BRIMUB</v>
          </cell>
          <cell r="E682">
            <v>43656</v>
          </cell>
          <cell r="F682" t="str">
            <v>L</v>
          </cell>
          <cell r="G682" t="str">
            <v>RUYUNG</v>
          </cell>
          <cell r="H682">
            <v>28450</v>
          </cell>
          <cell r="I682" t="str">
            <v>43 TAHUN</v>
          </cell>
          <cell r="J682" t="str">
            <v>KRISTEN</v>
          </cell>
          <cell r="K682" t="str">
            <v>NON KONTRAKTOR</v>
          </cell>
          <cell r="L682">
            <v>5</v>
          </cell>
          <cell r="P682" t="str">
            <v>AKTIF</v>
          </cell>
          <cell r="R682" t="str">
            <v>PANEN</v>
          </cell>
          <cell r="S682" t="str">
            <v>BORONGAN</v>
          </cell>
          <cell r="T682" t="str">
            <v>TUNAI</v>
          </cell>
          <cell r="U682" t="str">
            <v>6109062111970001</v>
          </cell>
          <cell r="V682" t="str">
            <v>LOKAL</v>
          </cell>
        </row>
        <row r="683">
          <cell r="B683" t="str">
            <v>GM-00695</v>
          </cell>
          <cell r="C683" t="str">
            <v>JOKO SUDARNO</v>
          </cell>
          <cell r="E683">
            <v>43656</v>
          </cell>
          <cell r="F683" t="str">
            <v>L</v>
          </cell>
          <cell r="G683" t="str">
            <v>SEBINDANG</v>
          </cell>
          <cell r="H683">
            <v>29124</v>
          </cell>
          <cell r="I683" t="str">
            <v>41 TAHUN</v>
          </cell>
          <cell r="J683" t="str">
            <v>KRISTEN</v>
          </cell>
          <cell r="K683" t="str">
            <v>NON KONTRAKTOR</v>
          </cell>
          <cell r="L683">
            <v>5</v>
          </cell>
          <cell r="M683" t="str">
            <v>JOKO SUDARNO</v>
          </cell>
          <cell r="N683">
            <v>413959082</v>
          </cell>
          <cell r="O683" t="str">
            <v>BNI</v>
          </cell>
          <cell r="P683" t="str">
            <v>AKTIF</v>
          </cell>
          <cell r="R683" t="str">
            <v>PANEN</v>
          </cell>
          <cell r="S683" t="str">
            <v>BORONGAN</v>
          </cell>
          <cell r="T683" t="str">
            <v>TRANSFER</v>
          </cell>
          <cell r="U683" t="str">
            <v>6109062609790002</v>
          </cell>
          <cell r="V683" t="str">
            <v>LOKAL</v>
          </cell>
        </row>
        <row r="684">
          <cell r="B684" t="str">
            <v>GM-00696</v>
          </cell>
          <cell r="C684" t="str">
            <v>ELISER DAS</v>
          </cell>
          <cell r="E684">
            <v>43658</v>
          </cell>
          <cell r="F684" t="str">
            <v>L</v>
          </cell>
          <cell r="G684" t="str">
            <v>SUNGAI SAWAK</v>
          </cell>
          <cell r="H684">
            <v>29819</v>
          </cell>
          <cell r="I684" t="str">
            <v>39 TAHUN</v>
          </cell>
          <cell r="J684" t="str">
            <v>KRISTEN</v>
          </cell>
          <cell r="K684" t="str">
            <v>NON KONTRAKTOR</v>
          </cell>
          <cell r="L684">
            <v>2</v>
          </cell>
          <cell r="P684" t="str">
            <v>AKTIF</v>
          </cell>
          <cell r="R684" t="str">
            <v>PERAWATAN</v>
          </cell>
          <cell r="S684" t="str">
            <v>BORONGAN</v>
          </cell>
          <cell r="T684" t="str">
            <v>TUNAI</v>
          </cell>
          <cell r="U684" t="str">
            <v>6109052108810003</v>
          </cell>
          <cell r="V684" t="str">
            <v>LOKAL</v>
          </cell>
        </row>
        <row r="685">
          <cell r="B685" t="str">
            <v>GM-00697</v>
          </cell>
          <cell r="C685" t="str">
            <v>DELILA</v>
          </cell>
          <cell r="E685">
            <v>43662</v>
          </cell>
          <cell r="F685" t="str">
            <v>P</v>
          </cell>
          <cell r="G685" t="str">
            <v>RANSA</v>
          </cell>
          <cell r="H685">
            <v>24045</v>
          </cell>
          <cell r="I685" t="str">
            <v>55 TAHUN</v>
          </cell>
          <cell r="J685" t="str">
            <v>KRISTEN</v>
          </cell>
          <cell r="K685" t="str">
            <v>NON KONTRAKTOR</v>
          </cell>
          <cell r="L685">
            <v>2</v>
          </cell>
          <cell r="P685" t="str">
            <v>AKTIF</v>
          </cell>
          <cell r="R685" t="str">
            <v>PERAWATAN</v>
          </cell>
          <cell r="S685" t="str">
            <v>BORONGAN</v>
          </cell>
          <cell r="T685" t="str">
            <v>TUNAI</v>
          </cell>
          <cell r="U685" t="str">
            <v>61090607010650003</v>
          </cell>
          <cell r="V685" t="str">
            <v>LOKAL</v>
          </cell>
        </row>
        <row r="686">
          <cell r="B686" t="str">
            <v>GM-00698</v>
          </cell>
          <cell r="C686" t="str">
            <v>HENDIU</v>
          </cell>
          <cell r="E686">
            <v>43662</v>
          </cell>
          <cell r="F686" t="str">
            <v>L</v>
          </cell>
          <cell r="G686" t="str">
            <v>RANSA</v>
          </cell>
          <cell r="H686">
            <v>35608</v>
          </cell>
          <cell r="I686" t="str">
            <v>23 TAHUN</v>
          </cell>
          <cell r="J686" t="str">
            <v>KRISTEN</v>
          </cell>
          <cell r="K686" t="str">
            <v>NON KONTRAKTOR</v>
          </cell>
          <cell r="L686">
            <v>2</v>
          </cell>
          <cell r="P686" t="str">
            <v>AKTIF</v>
          </cell>
          <cell r="R686" t="str">
            <v>PERAWATAN</v>
          </cell>
          <cell r="S686" t="str">
            <v>BORONGAN</v>
          </cell>
          <cell r="T686" t="str">
            <v>TUNAI</v>
          </cell>
          <cell r="U686" t="str">
            <v>6109062706970001</v>
          </cell>
          <cell r="V686" t="str">
            <v>LOKAL</v>
          </cell>
        </row>
        <row r="687">
          <cell r="B687" t="str">
            <v>GM-00699</v>
          </cell>
          <cell r="C687" t="str">
            <v>SUTAR</v>
          </cell>
          <cell r="D687" t="str">
            <v>BARAK G10 DIV 1</v>
          </cell>
          <cell r="E687">
            <v>43659</v>
          </cell>
          <cell r="F687" t="str">
            <v>L</v>
          </cell>
          <cell r="G687" t="str">
            <v>BATU SALANG</v>
          </cell>
          <cell r="H687">
            <v>28968</v>
          </cell>
          <cell r="I687" t="str">
            <v>41 TAHUN</v>
          </cell>
          <cell r="J687" t="str">
            <v>ISLAM</v>
          </cell>
          <cell r="K687" t="str">
            <v>NURSAIL</v>
          </cell>
          <cell r="L687">
            <v>1</v>
          </cell>
          <cell r="P687" t="str">
            <v>AKTIF</v>
          </cell>
          <cell r="R687" t="str">
            <v>PANEN</v>
          </cell>
          <cell r="S687" t="str">
            <v>BORONGAN</v>
          </cell>
          <cell r="T687" t="str">
            <v>TUNAI</v>
          </cell>
          <cell r="U687" t="str">
            <v>5202072304790001</v>
          </cell>
          <cell r="V687" t="str">
            <v>AKAD</v>
          </cell>
        </row>
        <row r="688">
          <cell r="B688" t="str">
            <v>GM-00700</v>
          </cell>
          <cell r="C688" t="str">
            <v>SUNI</v>
          </cell>
          <cell r="E688">
            <v>43659</v>
          </cell>
          <cell r="F688" t="str">
            <v>P</v>
          </cell>
          <cell r="G688" t="str">
            <v>PENGANTAP</v>
          </cell>
          <cell r="H688">
            <v>31047</v>
          </cell>
          <cell r="I688" t="str">
            <v>36 TAHUN</v>
          </cell>
          <cell r="J688" t="str">
            <v>ISLAM</v>
          </cell>
          <cell r="K688" t="str">
            <v>NURSAIL</v>
          </cell>
          <cell r="L688">
            <v>1</v>
          </cell>
          <cell r="M688" t="str">
            <v>SUNI</v>
          </cell>
          <cell r="N688">
            <v>895985781</v>
          </cell>
          <cell r="O688" t="str">
            <v>BNI</v>
          </cell>
          <cell r="P688" t="str">
            <v>AKTIF</v>
          </cell>
          <cell r="R688" t="str">
            <v>PERAWATAN</v>
          </cell>
          <cell r="S688" t="str">
            <v>BORONGAN</v>
          </cell>
          <cell r="T688" t="str">
            <v>TRANSFER</v>
          </cell>
          <cell r="U688" t="str">
            <v>5201077112840059</v>
          </cell>
          <cell r="V688" t="str">
            <v>LOKAL</v>
          </cell>
        </row>
        <row r="689">
          <cell r="B689" t="str">
            <v>GM-00701</v>
          </cell>
          <cell r="C689" t="str">
            <v>LAURENSIUS SUTIKNO</v>
          </cell>
          <cell r="E689">
            <v>43661</v>
          </cell>
          <cell r="F689" t="str">
            <v>L</v>
          </cell>
          <cell r="G689" t="str">
            <v>RANDAU</v>
          </cell>
          <cell r="H689">
            <v>31719</v>
          </cell>
          <cell r="I689" t="str">
            <v>34 TAHUN</v>
          </cell>
          <cell r="J689" t="str">
            <v>KATHOLIK</v>
          </cell>
          <cell r="K689" t="str">
            <v>NON KONTRAKTOR</v>
          </cell>
          <cell r="L689">
            <v>4</v>
          </cell>
          <cell r="P689" t="str">
            <v>AKTIF</v>
          </cell>
          <cell r="R689" t="str">
            <v>PERAWATAN</v>
          </cell>
          <cell r="S689" t="str">
            <v>BORONGAN</v>
          </cell>
          <cell r="T689" t="str">
            <v>TUNAI</v>
          </cell>
          <cell r="U689" t="str">
            <v>6109060311860003</v>
          </cell>
          <cell r="V689" t="str">
            <v>LOKAL</v>
          </cell>
        </row>
        <row r="690">
          <cell r="B690" t="str">
            <v>GM-00702</v>
          </cell>
          <cell r="C690" t="str">
            <v>NIKOLAUS ADON</v>
          </cell>
          <cell r="E690">
            <v>43661</v>
          </cell>
          <cell r="F690" t="str">
            <v>L</v>
          </cell>
          <cell r="G690" t="str">
            <v>RANDAU</v>
          </cell>
          <cell r="H690">
            <v>32382</v>
          </cell>
          <cell r="I690" t="str">
            <v>32 TAHUN</v>
          </cell>
          <cell r="J690" t="str">
            <v>KATHOLIK</v>
          </cell>
          <cell r="K690" t="str">
            <v>NON KONTRAKTOR</v>
          </cell>
          <cell r="L690">
            <v>4</v>
          </cell>
          <cell r="P690" t="str">
            <v>AKTIF</v>
          </cell>
          <cell r="R690" t="str">
            <v>PERAWATAN</v>
          </cell>
          <cell r="S690" t="str">
            <v>BORONGAN</v>
          </cell>
          <cell r="T690" t="str">
            <v>TUNAI</v>
          </cell>
          <cell r="U690" t="str">
            <v>6109062708860004</v>
          </cell>
          <cell r="V690" t="str">
            <v>LOKAL</v>
          </cell>
        </row>
        <row r="691">
          <cell r="B691" t="str">
            <v>GM-00703</v>
          </cell>
          <cell r="C691" t="str">
            <v>SRILIUS</v>
          </cell>
          <cell r="E691">
            <v>43661</v>
          </cell>
          <cell r="F691" t="str">
            <v>L</v>
          </cell>
          <cell r="G691" t="str">
            <v>RANDAU</v>
          </cell>
          <cell r="H691">
            <v>34853</v>
          </cell>
          <cell r="I691" t="str">
            <v>25 TAHUN</v>
          </cell>
          <cell r="J691" t="str">
            <v>KATHOLIK</v>
          </cell>
          <cell r="K691" t="str">
            <v>NON KONTRAKTOR</v>
          </cell>
          <cell r="L691">
            <v>4</v>
          </cell>
          <cell r="P691" t="str">
            <v>AKTIF</v>
          </cell>
          <cell r="R691" t="str">
            <v>PERAWATAN</v>
          </cell>
          <cell r="S691" t="str">
            <v>BORONGAN</v>
          </cell>
          <cell r="T691" t="str">
            <v>TUNAI</v>
          </cell>
          <cell r="U691" t="str">
            <v>6109060306950002</v>
          </cell>
          <cell r="V691" t="str">
            <v>LOKAL</v>
          </cell>
        </row>
        <row r="692">
          <cell r="B692" t="str">
            <v>GM-00704</v>
          </cell>
          <cell r="C692" t="str">
            <v>TOMI SUHARTO</v>
          </cell>
          <cell r="E692">
            <v>43661</v>
          </cell>
          <cell r="F692" t="str">
            <v>L</v>
          </cell>
          <cell r="G692" t="str">
            <v>RANDAU</v>
          </cell>
          <cell r="H692">
            <v>36648</v>
          </cell>
          <cell r="I692" t="str">
            <v>20 TAHUN</v>
          </cell>
          <cell r="J692" t="str">
            <v>KATHOLIK</v>
          </cell>
          <cell r="K692" t="str">
            <v>NON KONTRAKTOR</v>
          </cell>
          <cell r="L692">
            <v>4</v>
          </cell>
          <cell r="P692" t="str">
            <v>AKTIF</v>
          </cell>
          <cell r="R692" t="str">
            <v>PERAWATAN</v>
          </cell>
          <cell r="S692" t="str">
            <v>BORONGAN</v>
          </cell>
          <cell r="T692" t="str">
            <v>TUNAI</v>
          </cell>
          <cell r="U692" t="str">
            <v>6109060205000004</v>
          </cell>
          <cell r="V692" t="str">
            <v>LOKAL</v>
          </cell>
        </row>
        <row r="693">
          <cell r="B693" t="str">
            <v>GM-00705</v>
          </cell>
          <cell r="C693" t="str">
            <v>DAVITRISTIANTO</v>
          </cell>
          <cell r="E693">
            <v>43661</v>
          </cell>
          <cell r="F693" t="str">
            <v>L</v>
          </cell>
          <cell r="G693" t="str">
            <v>SENUNTUK</v>
          </cell>
          <cell r="H693">
            <v>32208</v>
          </cell>
          <cell r="I693" t="str">
            <v>32 TAHUN</v>
          </cell>
          <cell r="J693" t="str">
            <v>KATHOLIK</v>
          </cell>
          <cell r="K693" t="str">
            <v>NON KONTRAKTOR</v>
          </cell>
          <cell r="L693">
            <v>4</v>
          </cell>
          <cell r="M693" t="str">
            <v>DAVITRISTIANTO</v>
          </cell>
          <cell r="N693">
            <v>984424362</v>
          </cell>
          <cell r="O693" t="str">
            <v>BNI</v>
          </cell>
          <cell r="P693" t="str">
            <v>AKTIF</v>
          </cell>
          <cell r="R693" t="str">
            <v>PANEN</v>
          </cell>
          <cell r="S693" t="str">
            <v>BORONGAN</v>
          </cell>
          <cell r="T693" t="str">
            <v>TRANSFER</v>
          </cell>
          <cell r="U693" t="str">
            <v>6108100603880001</v>
          </cell>
          <cell r="V693" t="str">
            <v>LOKAL</v>
          </cell>
        </row>
        <row r="694">
          <cell r="B694" t="str">
            <v>GM-00706</v>
          </cell>
          <cell r="C694" t="str">
            <v>LEVANIA LILI SUSANTI</v>
          </cell>
          <cell r="E694">
            <v>43661</v>
          </cell>
          <cell r="F694" t="str">
            <v>P</v>
          </cell>
          <cell r="G694" t="str">
            <v>SELAMPONG</v>
          </cell>
          <cell r="H694">
            <v>33803</v>
          </cell>
          <cell r="I694" t="str">
            <v>28 TAHUN</v>
          </cell>
          <cell r="J694" t="str">
            <v>KRISTEN</v>
          </cell>
          <cell r="K694" t="str">
            <v>NON KONTRAKTOR</v>
          </cell>
          <cell r="L694">
            <v>4</v>
          </cell>
          <cell r="P694" t="str">
            <v>AKTIF</v>
          </cell>
          <cell r="R694" t="str">
            <v>PERAWATAN</v>
          </cell>
          <cell r="S694" t="str">
            <v>BORONGAN</v>
          </cell>
          <cell r="T694" t="str">
            <v>TUNAI</v>
          </cell>
          <cell r="U694" t="str">
            <v>6103045807920002</v>
          </cell>
          <cell r="V694" t="str">
            <v>LOKAL</v>
          </cell>
        </row>
        <row r="695">
          <cell r="B695" t="str">
            <v>GM-00707</v>
          </cell>
          <cell r="C695" t="str">
            <v>RIKI ARDIAN SAPUTRA</v>
          </cell>
          <cell r="E695">
            <v>43661</v>
          </cell>
          <cell r="F695" t="str">
            <v>L</v>
          </cell>
          <cell r="G695" t="str">
            <v>SEBUDA</v>
          </cell>
          <cell r="H695">
            <v>36494</v>
          </cell>
          <cell r="I695" t="str">
            <v>21 TAHUN</v>
          </cell>
          <cell r="J695" t="str">
            <v>KRISTEN</v>
          </cell>
          <cell r="K695" t="str">
            <v>NON KONTRAKTOR</v>
          </cell>
          <cell r="L695">
            <v>4</v>
          </cell>
          <cell r="P695" t="str">
            <v>AKTIF</v>
          </cell>
          <cell r="R695" t="str">
            <v>PERAWATAN</v>
          </cell>
          <cell r="S695" t="str">
            <v>BORONGAN</v>
          </cell>
          <cell r="T695" t="str">
            <v>TUNAI</v>
          </cell>
          <cell r="U695" t="str">
            <v>6103043011990001</v>
          </cell>
          <cell r="V695" t="str">
            <v>LOKAL</v>
          </cell>
        </row>
        <row r="696">
          <cell r="B696" t="str">
            <v>GM-00708</v>
          </cell>
          <cell r="C696" t="str">
            <v>ARIANTO</v>
          </cell>
          <cell r="D696" t="str">
            <v>BARAK G10 DIV 4</v>
          </cell>
          <cell r="E696">
            <v>43661</v>
          </cell>
          <cell r="F696" t="str">
            <v>L</v>
          </cell>
          <cell r="G696" t="str">
            <v>CAPALULU</v>
          </cell>
          <cell r="H696">
            <v>29333</v>
          </cell>
          <cell r="I696" t="str">
            <v>40 TAHUN</v>
          </cell>
          <cell r="J696" t="str">
            <v>ISLAM</v>
          </cell>
          <cell r="K696" t="str">
            <v>NON AKTIF</v>
          </cell>
          <cell r="L696">
            <v>4</v>
          </cell>
          <cell r="P696" t="str">
            <v>NON AKTIF</v>
          </cell>
          <cell r="R696" t="str">
            <v>PANEN</v>
          </cell>
          <cell r="S696" t="str">
            <v>BORONGAN</v>
          </cell>
          <cell r="T696" t="str">
            <v>TUNAI</v>
          </cell>
          <cell r="U696" t="str">
            <v>6103202204800001</v>
          </cell>
          <cell r="V696" t="str">
            <v>AKAD</v>
          </cell>
        </row>
        <row r="697">
          <cell r="B697" t="str">
            <v>GM-00709</v>
          </cell>
          <cell r="C697" t="str">
            <v>RIO ARVIANTO</v>
          </cell>
          <cell r="E697">
            <v>43661</v>
          </cell>
          <cell r="F697" t="str">
            <v>L</v>
          </cell>
          <cell r="G697" t="str">
            <v>AFDELING VIII</v>
          </cell>
          <cell r="H697">
            <v>36761</v>
          </cell>
          <cell r="I697" t="str">
            <v>20 TAHUN</v>
          </cell>
          <cell r="J697" t="str">
            <v>ISLAM</v>
          </cell>
          <cell r="K697" t="str">
            <v>NON KONTRAKTOR</v>
          </cell>
          <cell r="L697">
            <v>4</v>
          </cell>
          <cell r="P697" t="str">
            <v>AKTIF</v>
          </cell>
          <cell r="R697" t="str">
            <v>PANEN</v>
          </cell>
          <cell r="S697" t="str">
            <v>BORONGAN</v>
          </cell>
          <cell r="T697" t="str">
            <v>TUNAI</v>
          </cell>
          <cell r="U697" t="str">
            <v>6103202308000002</v>
          </cell>
          <cell r="V697" t="str">
            <v>LOKAL</v>
          </cell>
        </row>
        <row r="698">
          <cell r="B698" t="str">
            <v>GM-00710</v>
          </cell>
          <cell r="C698" t="str">
            <v>PERUA ROSELA</v>
          </cell>
          <cell r="E698">
            <v>43667</v>
          </cell>
          <cell r="F698" t="str">
            <v>P</v>
          </cell>
          <cell r="G698" t="str">
            <v>MUNTIK</v>
          </cell>
          <cell r="H698">
            <v>32415</v>
          </cell>
          <cell r="I698" t="str">
            <v>32 TAHUN</v>
          </cell>
          <cell r="J698" t="str">
            <v>KRISTEN</v>
          </cell>
          <cell r="K698" t="str">
            <v>NON KONTRAKTOR</v>
          </cell>
          <cell r="L698">
            <v>1</v>
          </cell>
          <cell r="M698" t="str">
            <v>PERUA ROSELA</v>
          </cell>
          <cell r="N698">
            <v>1055522710</v>
          </cell>
          <cell r="O698" t="str">
            <v>BNI</v>
          </cell>
          <cell r="P698" t="str">
            <v>AKTIF</v>
          </cell>
          <cell r="R698" t="str">
            <v>PERAWATAN</v>
          </cell>
          <cell r="S698" t="str">
            <v>BORONGAN</v>
          </cell>
          <cell r="T698" t="str">
            <v>TRANSFER</v>
          </cell>
          <cell r="U698" t="str">
            <v>6109066909880001</v>
          </cell>
          <cell r="V698" t="str">
            <v>LOKAL</v>
          </cell>
        </row>
        <row r="699">
          <cell r="B699" t="str">
            <v>GM-00711</v>
          </cell>
          <cell r="C699" t="str">
            <v>MARIYADI</v>
          </cell>
          <cell r="D699" t="str">
            <v>BARAK G10 DIV 1</v>
          </cell>
          <cell r="E699">
            <v>43667</v>
          </cell>
          <cell r="F699" t="str">
            <v>L</v>
          </cell>
          <cell r="G699" t="str">
            <v>LOMBOK TIMUR</v>
          </cell>
          <cell r="H699">
            <v>35735</v>
          </cell>
          <cell r="I699" t="str">
            <v>23 TAHUN</v>
          </cell>
          <cell r="J699" t="str">
            <v>ISLAM</v>
          </cell>
          <cell r="K699" t="str">
            <v>NURSAIL</v>
          </cell>
          <cell r="L699">
            <v>1</v>
          </cell>
          <cell r="M699" t="str">
            <v>MARIYADI</v>
          </cell>
          <cell r="N699">
            <v>897169567</v>
          </cell>
          <cell r="O699" t="str">
            <v>BNI</v>
          </cell>
          <cell r="P699" t="str">
            <v>NON AKTIF</v>
          </cell>
          <cell r="R699" t="str">
            <v>PANEN</v>
          </cell>
          <cell r="S699" t="str">
            <v>BORONGAN</v>
          </cell>
          <cell r="T699" t="str">
            <v>TRANSFER</v>
          </cell>
          <cell r="U699" t="str">
            <v>5203170107960569</v>
          </cell>
          <cell r="V699" t="str">
            <v>AKAD</v>
          </cell>
        </row>
        <row r="700">
          <cell r="B700" t="str">
            <v>GM-00712</v>
          </cell>
          <cell r="C700" t="str">
            <v>JUNAIDI</v>
          </cell>
          <cell r="D700" t="str">
            <v>BARAK G10 DIV 1</v>
          </cell>
          <cell r="E700">
            <v>43667</v>
          </cell>
          <cell r="F700" t="str">
            <v>L</v>
          </cell>
          <cell r="G700" t="str">
            <v>IJOBALIT DAYA</v>
          </cell>
          <cell r="H700">
            <v>29951</v>
          </cell>
          <cell r="I700" t="str">
            <v>39 TAHUN</v>
          </cell>
          <cell r="J700" t="str">
            <v>ISLAM</v>
          </cell>
          <cell r="K700" t="str">
            <v>NURSAIL</v>
          </cell>
          <cell r="L700">
            <v>1</v>
          </cell>
          <cell r="M700" t="str">
            <v>JUNAIDI</v>
          </cell>
          <cell r="N700">
            <v>897169578</v>
          </cell>
          <cell r="O700" t="str">
            <v>BNI</v>
          </cell>
          <cell r="P700" t="str">
            <v>NON AKTIF</v>
          </cell>
          <cell r="R700" t="str">
            <v>PANEN</v>
          </cell>
          <cell r="S700" t="str">
            <v>BORONGAN</v>
          </cell>
          <cell r="T700" t="str">
            <v>TRANSFER</v>
          </cell>
          <cell r="U700" t="str">
            <v>6203173112810160</v>
          </cell>
          <cell r="V700" t="str">
            <v>AKAD</v>
          </cell>
        </row>
        <row r="701">
          <cell r="B701" t="str">
            <v>GM-00713</v>
          </cell>
          <cell r="C701" t="str">
            <v>APIT</v>
          </cell>
          <cell r="E701">
            <v>43667</v>
          </cell>
          <cell r="F701" t="str">
            <v>L</v>
          </cell>
          <cell r="G701" t="str">
            <v>PENGANTAP</v>
          </cell>
          <cell r="H701">
            <v>29586</v>
          </cell>
          <cell r="I701" t="str">
            <v>40 TAHUN</v>
          </cell>
          <cell r="J701" t="str">
            <v>ISLAM</v>
          </cell>
          <cell r="K701" t="str">
            <v>NURSAIL</v>
          </cell>
          <cell r="L701">
            <v>1</v>
          </cell>
          <cell r="P701" t="str">
            <v>NON AKTIF</v>
          </cell>
          <cell r="R701" t="str">
            <v>PERAWATAN</v>
          </cell>
          <cell r="S701" t="str">
            <v>BORONGAN</v>
          </cell>
          <cell r="T701" t="str">
            <v>TUNAI</v>
          </cell>
          <cell r="U701" t="str">
            <v>6203173112810160</v>
          </cell>
          <cell r="V701" t="str">
            <v>AKAD</v>
          </cell>
        </row>
        <row r="702">
          <cell r="B702" t="str">
            <v>GM-00714</v>
          </cell>
          <cell r="C702" t="str">
            <v>MARDINO</v>
          </cell>
          <cell r="E702">
            <v>43675</v>
          </cell>
          <cell r="F702" t="str">
            <v>L</v>
          </cell>
          <cell r="G702" t="str">
            <v>TERDUK DAMPAK</v>
          </cell>
          <cell r="H702">
            <v>36609</v>
          </cell>
          <cell r="I702" t="str">
            <v>20 TAHUN</v>
          </cell>
          <cell r="J702" t="str">
            <v>KRISTEN</v>
          </cell>
          <cell r="K702" t="str">
            <v>NON KONTRAKTOR</v>
          </cell>
          <cell r="L702">
            <v>5</v>
          </cell>
          <cell r="P702" t="str">
            <v>AKTIF</v>
          </cell>
          <cell r="R702" t="str">
            <v>PERAWATAN</v>
          </cell>
          <cell r="S702" t="str">
            <v>BORONGAN</v>
          </cell>
          <cell r="T702" t="str">
            <v>TUNAI</v>
          </cell>
          <cell r="U702" t="str">
            <v>6109062403333336</v>
          </cell>
          <cell r="V702" t="str">
            <v>LOKAL</v>
          </cell>
        </row>
        <row r="703">
          <cell r="B703" t="str">
            <v>GM-00715</v>
          </cell>
          <cell r="C703" t="str">
            <v>MARIAM</v>
          </cell>
          <cell r="E703">
            <v>43675</v>
          </cell>
          <cell r="F703" t="str">
            <v>P</v>
          </cell>
          <cell r="G703" t="str">
            <v>ENGKUDU</v>
          </cell>
          <cell r="H703">
            <v>26520</v>
          </cell>
          <cell r="I703" t="str">
            <v>48 TAHUN</v>
          </cell>
          <cell r="J703" t="str">
            <v>KRISTEN</v>
          </cell>
          <cell r="K703" t="str">
            <v>NON KONTRAKTOR</v>
          </cell>
          <cell r="L703">
            <v>5</v>
          </cell>
          <cell r="P703" t="str">
            <v>AKTIF</v>
          </cell>
          <cell r="R703" t="str">
            <v>PERAWATAN</v>
          </cell>
          <cell r="S703" t="str">
            <v>BORONGAN</v>
          </cell>
          <cell r="T703" t="str">
            <v>TUNAI</v>
          </cell>
          <cell r="U703" t="str">
            <v>6109064908720002</v>
          </cell>
          <cell r="V703" t="str">
            <v>LOKAL</v>
          </cell>
        </row>
        <row r="704">
          <cell r="B704" t="str">
            <v>GM-00716</v>
          </cell>
          <cell r="C704" t="str">
            <v>DEDI CANDRA</v>
          </cell>
          <cell r="E704">
            <v>43675</v>
          </cell>
          <cell r="F704" t="str">
            <v>L</v>
          </cell>
          <cell r="G704" t="str">
            <v>SEBINDANG</v>
          </cell>
          <cell r="H704">
            <v>36770</v>
          </cell>
          <cell r="I704" t="str">
            <v>20 TAHUN</v>
          </cell>
          <cell r="J704" t="str">
            <v>KRISTEN</v>
          </cell>
          <cell r="K704" t="str">
            <v>NON KONTRAKTOR</v>
          </cell>
          <cell r="L704">
            <v>5</v>
          </cell>
          <cell r="P704" t="str">
            <v>AKTIF</v>
          </cell>
          <cell r="R704" t="str">
            <v>PERAWATAN</v>
          </cell>
          <cell r="S704" t="str">
            <v>BORONGAN</v>
          </cell>
          <cell r="T704" t="str">
            <v>TUNAI</v>
          </cell>
          <cell r="U704" t="str">
            <v>6109060109000004</v>
          </cell>
          <cell r="V704" t="str">
            <v>LOKAL</v>
          </cell>
        </row>
        <row r="705">
          <cell r="B705" t="str">
            <v>GM-00717</v>
          </cell>
          <cell r="C705" t="str">
            <v>NATALIA KATARINA</v>
          </cell>
          <cell r="E705">
            <v>43675</v>
          </cell>
          <cell r="F705" t="str">
            <v>P</v>
          </cell>
          <cell r="G705" t="str">
            <v>PAKIT MULAU</v>
          </cell>
          <cell r="H705">
            <v>30679</v>
          </cell>
          <cell r="I705" t="str">
            <v>37 TAHUN</v>
          </cell>
          <cell r="J705" t="str">
            <v>KRISTEN</v>
          </cell>
          <cell r="K705" t="str">
            <v>NON KONTRAKTOR</v>
          </cell>
          <cell r="L705">
            <v>5</v>
          </cell>
          <cell r="P705" t="str">
            <v>AKTIF</v>
          </cell>
          <cell r="R705" t="str">
            <v>PERAWATAN</v>
          </cell>
          <cell r="S705" t="str">
            <v>BORONGAN</v>
          </cell>
          <cell r="T705" t="str">
            <v>TUNAI</v>
          </cell>
          <cell r="U705" t="str">
            <v>6109066912830002</v>
          </cell>
          <cell r="V705" t="str">
            <v>LOKAL</v>
          </cell>
        </row>
        <row r="706">
          <cell r="B706" t="str">
            <v>GM-00718</v>
          </cell>
          <cell r="C706" t="str">
            <v>SELINA</v>
          </cell>
          <cell r="E706">
            <v>43675</v>
          </cell>
          <cell r="F706" t="str">
            <v>P</v>
          </cell>
          <cell r="G706" t="str">
            <v>DANDI</v>
          </cell>
          <cell r="H706">
            <v>28826</v>
          </cell>
          <cell r="I706" t="str">
            <v>42 TAHUN</v>
          </cell>
          <cell r="J706" t="str">
            <v>KRISTEN</v>
          </cell>
          <cell r="K706" t="str">
            <v>NON KONTRAKTOR</v>
          </cell>
          <cell r="L706">
            <v>5</v>
          </cell>
          <cell r="P706" t="str">
            <v>AKTIF</v>
          </cell>
          <cell r="R706" t="str">
            <v>PERAWATAN</v>
          </cell>
          <cell r="S706" t="str">
            <v>BORONGAN</v>
          </cell>
          <cell r="T706" t="str">
            <v>TUNAI</v>
          </cell>
          <cell r="U706" t="str">
            <v>6109064212780004</v>
          </cell>
          <cell r="V706" t="str">
            <v>LOKAL</v>
          </cell>
        </row>
        <row r="707">
          <cell r="B707" t="str">
            <v>GM-00719</v>
          </cell>
          <cell r="C707" t="str">
            <v>ELISABET KINTA</v>
          </cell>
          <cell r="E707">
            <v>43682</v>
          </cell>
          <cell r="F707" t="str">
            <v>P</v>
          </cell>
          <cell r="G707" t="str">
            <v>BALAU</v>
          </cell>
          <cell r="H707">
            <v>30991</v>
          </cell>
          <cell r="I707" t="str">
            <v>36 TAHUN</v>
          </cell>
          <cell r="J707" t="str">
            <v>KATHOLIK</v>
          </cell>
          <cell r="K707" t="str">
            <v>NON KONTRAKTOR</v>
          </cell>
          <cell r="L707">
            <v>1</v>
          </cell>
          <cell r="P707" t="str">
            <v>AKTIF</v>
          </cell>
          <cell r="R707" t="str">
            <v>PERAWATAN</v>
          </cell>
          <cell r="S707" t="str">
            <v>BORONGAN</v>
          </cell>
          <cell r="T707" t="str">
            <v>TUNAI</v>
          </cell>
          <cell r="U707" t="str">
            <v>6109054511840004</v>
          </cell>
          <cell r="V707" t="str">
            <v>LOKAL</v>
          </cell>
        </row>
        <row r="708">
          <cell r="B708" t="str">
            <v>GM-00720</v>
          </cell>
          <cell r="C708" t="str">
            <v>SILVANUS SINTUS</v>
          </cell>
          <cell r="E708">
            <v>43682</v>
          </cell>
          <cell r="F708" t="str">
            <v>L</v>
          </cell>
          <cell r="G708" t="str">
            <v>EMPUYU</v>
          </cell>
          <cell r="H708">
            <v>34984</v>
          </cell>
          <cell r="I708" t="str">
            <v>25 TAHUN</v>
          </cell>
          <cell r="J708" t="str">
            <v>KRISTEN</v>
          </cell>
          <cell r="K708" t="str">
            <v>NON KONTRAKTOR</v>
          </cell>
          <cell r="L708">
            <v>2</v>
          </cell>
          <cell r="M708" t="str">
            <v>SILVANUS SINTUS</v>
          </cell>
          <cell r="N708">
            <v>847104542</v>
          </cell>
          <cell r="O708" t="str">
            <v>BNI</v>
          </cell>
          <cell r="P708" t="str">
            <v>AKTIF</v>
          </cell>
          <cell r="R708" t="str">
            <v>PERAWATAN</v>
          </cell>
          <cell r="S708" t="str">
            <v>BORONGAN</v>
          </cell>
          <cell r="T708" t="str">
            <v>TRANSFER</v>
          </cell>
          <cell r="U708" t="str">
            <v>6103041210950002</v>
          </cell>
          <cell r="V708" t="str">
            <v>LOKAL</v>
          </cell>
        </row>
        <row r="709">
          <cell r="B709" t="str">
            <v>GM-00721</v>
          </cell>
          <cell r="C709" t="str">
            <v>DARIUS DIKA</v>
          </cell>
          <cell r="E709">
            <v>43682</v>
          </cell>
          <cell r="F709" t="str">
            <v>L</v>
          </cell>
          <cell r="G709" t="str">
            <v>KEMANATAN</v>
          </cell>
          <cell r="H709">
            <v>35120</v>
          </cell>
          <cell r="I709" t="str">
            <v>24 TAHUN</v>
          </cell>
          <cell r="J709" t="str">
            <v>KRISTEN</v>
          </cell>
          <cell r="K709" t="str">
            <v>NON KONTRAKTOR</v>
          </cell>
          <cell r="L709">
            <v>4</v>
          </cell>
          <cell r="P709" t="str">
            <v>AKTIF</v>
          </cell>
          <cell r="R709" t="str">
            <v>PERAWATAN</v>
          </cell>
          <cell r="S709" t="str">
            <v>BORONGAN</v>
          </cell>
          <cell r="T709" t="str">
            <v>TUNAI</v>
          </cell>
          <cell r="U709" t="str">
            <v>6109062509600005</v>
          </cell>
          <cell r="V709" t="str">
            <v>LOKAL</v>
          </cell>
        </row>
        <row r="710">
          <cell r="B710" t="str">
            <v>GM-00722</v>
          </cell>
          <cell r="C710" t="str">
            <v>ADE PUTRA</v>
          </cell>
          <cell r="E710">
            <v>43682</v>
          </cell>
          <cell r="F710" t="str">
            <v>L</v>
          </cell>
          <cell r="G710" t="str">
            <v>MUNTIK</v>
          </cell>
          <cell r="H710">
            <v>33100</v>
          </cell>
          <cell r="I710" t="str">
            <v>30 TAHUN</v>
          </cell>
          <cell r="J710" t="str">
            <v>KRISTEN</v>
          </cell>
          <cell r="K710" t="str">
            <v>NON KONTRAKTOR</v>
          </cell>
          <cell r="L710">
            <v>4</v>
          </cell>
          <cell r="P710" t="str">
            <v>AKTIF</v>
          </cell>
          <cell r="R710" t="str">
            <v>PERAWATAN</v>
          </cell>
          <cell r="S710" t="str">
            <v>BORONGAN</v>
          </cell>
          <cell r="T710" t="str">
            <v>TUNAI</v>
          </cell>
          <cell r="U710" t="str">
            <v>6109071508900002</v>
          </cell>
          <cell r="V710" t="str">
            <v>LOKAL</v>
          </cell>
        </row>
        <row r="711">
          <cell r="B711" t="str">
            <v>GM-00723</v>
          </cell>
          <cell r="C711" t="str">
            <v>JUNI</v>
          </cell>
          <cell r="E711">
            <v>43682</v>
          </cell>
          <cell r="F711" t="str">
            <v>L</v>
          </cell>
          <cell r="G711" t="str">
            <v>KEMANATAN</v>
          </cell>
          <cell r="H711">
            <v>34898</v>
          </cell>
          <cell r="I711" t="str">
            <v>25 TAHUN</v>
          </cell>
          <cell r="J711" t="str">
            <v>KRISTEN</v>
          </cell>
          <cell r="K711" t="str">
            <v>NON KONTRAKTOR</v>
          </cell>
          <cell r="L711">
            <v>4</v>
          </cell>
          <cell r="P711" t="str">
            <v>AKTIF</v>
          </cell>
          <cell r="R711" t="str">
            <v>PERAWATAN</v>
          </cell>
          <cell r="S711" t="str">
            <v>BORONGAN</v>
          </cell>
          <cell r="T711" t="str">
            <v>TUNAI</v>
          </cell>
          <cell r="U711" t="str">
            <v>6109061807950003</v>
          </cell>
          <cell r="V711" t="str">
            <v>LOKAL</v>
          </cell>
        </row>
        <row r="712">
          <cell r="B712" t="str">
            <v>GM-00724</v>
          </cell>
          <cell r="C712" t="str">
            <v>HERONIMUS IRON</v>
          </cell>
          <cell r="E712">
            <v>43682</v>
          </cell>
          <cell r="F712" t="str">
            <v>L</v>
          </cell>
          <cell r="G712" t="str">
            <v>RANDAU</v>
          </cell>
          <cell r="H712">
            <v>35710</v>
          </cell>
          <cell r="I712" t="str">
            <v>23 TAHUN</v>
          </cell>
          <cell r="J712" t="str">
            <v>KATHOLIK</v>
          </cell>
          <cell r="K712" t="str">
            <v>NON KONTRAKTOR</v>
          </cell>
          <cell r="L712">
            <v>4</v>
          </cell>
          <cell r="P712" t="str">
            <v>AKTIF</v>
          </cell>
          <cell r="R712" t="str">
            <v>PERAWATAN</v>
          </cell>
          <cell r="S712" t="str">
            <v>BORONGAN</v>
          </cell>
          <cell r="T712" t="str">
            <v>TUNAI</v>
          </cell>
          <cell r="U712" t="str">
            <v>6109060710970004</v>
          </cell>
          <cell r="V712" t="str">
            <v>LOKAL</v>
          </cell>
        </row>
        <row r="713">
          <cell r="B713" t="str">
            <v>GM-00725</v>
          </cell>
          <cell r="C713" t="str">
            <v>HENRI</v>
          </cell>
          <cell r="E713">
            <v>43682</v>
          </cell>
          <cell r="F713" t="str">
            <v>L</v>
          </cell>
          <cell r="G713" t="str">
            <v>SENTEBANG</v>
          </cell>
          <cell r="H713">
            <v>31340</v>
          </cell>
          <cell r="I713" t="str">
            <v>35 TAHUN</v>
          </cell>
          <cell r="J713" t="str">
            <v>ISLAM</v>
          </cell>
          <cell r="K713" t="str">
            <v>NON KONTRAKTOR</v>
          </cell>
          <cell r="L713">
            <v>4</v>
          </cell>
          <cell r="P713" t="str">
            <v>AKTIF</v>
          </cell>
          <cell r="R713" t="str">
            <v>PERAWATAN</v>
          </cell>
          <cell r="S713" t="str">
            <v>BORONGAN</v>
          </cell>
          <cell r="T713" t="str">
            <v>TUNAI</v>
          </cell>
          <cell r="U713" t="str">
            <v>6101032010850007</v>
          </cell>
          <cell r="V713" t="str">
            <v>LOKAL</v>
          </cell>
        </row>
        <row r="714">
          <cell r="B714" t="str">
            <v>GM-00726</v>
          </cell>
          <cell r="C714" t="str">
            <v>RANO</v>
          </cell>
          <cell r="E714">
            <v>43682</v>
          </cell>
          <cell r="F714" t="str">
            <v>L</v>
          </cell>
          <cell r="G714" t="str">
            <v>SB KUALA</v>
          </cell>
          <cell r="H714">
            <v>28676</v>
          </cell>
          <cell r="I714" t="str">
            <v>42 TAHUN</v>
          </cell>
          <cell r="J714" t="str">
            <v>ISLAM</v>
          </cell>
          <cell r="K714" t="str">
            <v>NON KONTRAKTOR</v>
          </cell>
          <cell r="L714">
            <v>4</v>
          </cell>
          <cell r="P714" t="str">
            <v>AKTIF</v>
          </cell>
          <cell r="R714" t="str">
            <v>PERAWATAN</v>
          </cell>
          <cell r="S714" t="str">
            <v>BORONGAN</v>
          </cell>
          <cell r="T714" t="str">
            <v>TUNAI</v>
          </cell>
          <cell r="U714" t="str">
            <v>6101030507780006</v>
          </cell>
          <cell r="V714" t="str">
            <v>LOKAL</v>
          </cell>
        </row>
        <row r="715">
          <cell r="B715" t="str">
            <v>GM-00727</v>
          </cell>
          <cell r="C715" t="str">
            <v>SARMAN SUKARIADI</v>
          </cell>
          <cell r="E715">
            <v>43682</v>
          </cell>
          <cell r="F715" t="str">
            <v>L</v>
          </cell>
          <cell r="G715" t="str">
            <v>IJUK</v>
          </cell>
          <cell r="H715">
            <v>29959</v>
          </cell>
          <cell r="I715" t="str">
            <v>39 TAHUN</v>
          </cell>
          <cell r="J715" t="str">
            <v>KRISTEN</v>
          </cell>
          <cell r="K715" t="str">
            <v>NON KONTRAKTOR</v>
          </cell>
          <cell r="L715">
            <v>4</v>
          </cell>
          <cell r="M715" t="str">
            <v>SARMAN SUKARDI</v>
          </cell>
          <cell r="N715">
            <v>1043293318</v>
          </cell>
          <cell r="O715" t="str">
            <v>BNI</v>
          </cell>
          <cell r="P715" t="str">
            <v>AKTIF</v>
          </cell>
          <cell r="R715" t="str">
            <v>PANEN</v>
          </cell>
          <cell r="S715" t="str">
            <v>BORONGAN</v>
          </cell>
          <cell r="T715" t="str">
            <v>TRANSFER</v>
          </cell>
          <cell r="V715" t="str">
            <v>LOKAL</v>
          </cell>
        </row>
        <row r="716">
          <cell r="B716" t="str">
            <v>GM-00728</v>
          </cell>
          <cell r="C716" t="str">
            <v>KUSMAWATI</v>
          </cell>
          <cell r="E716">
            <v>43682</v>
          </cell>
          <cell r="F716" t="str">
            <v>P</v>
          </cell>
          <cell r="G716" t="str">
            <v>KALAMPUK</v>
          </cell>
          <cell r="H716">
            <v>33544</v>
          </cell>
          <cell r="I716" t="str">
            <v>29 TAHUN</v>
          </cell>
          <cell r="J716" t="str">
            <v>KATHOLIK</v>
          </cell>
          <cell r="K716" t="str">
            <v>NON KONTRAKTOR</v>
          </cell>
          <cell r="L716">
            <v>1</v>
          </cell>
          <cell r="P716" t="str">
            <v>AKTIF</v>
          </cell>
          <cell r="R716" t="str">
            <v>PERAWATAN</v>
          </cell>
          <cell r="S716" t="str">
            <v>BORONGAN</v>
          </cell>
          <cell r="T716" t="str">
            <v>TUNAI</v>
          </cell>
          <cell r="U716" t="str">
            <v>6109034211910001</v>
          </cell>
          <cell r="V716" t="str">
            <v>LOKAL</v>
          </cell>
        </row>
        <row r="717">
          <cell r="B717" t="str">
            <v>GM-00729</v>
          </cell>
          <cell r="C717" t="str">
            <v>ZAINUDIN</v>
          </cell>
          <cell r="E717">
            <v>43682</v>
          </cell>
          <cell r="F717" t="str">
            <v>L</v>
          </cell>
          <cell r="G717" t="str">
            <v xml:space="preserve">CEMPAKA </v>
          </cell>
          <cell r="H717">
            <v>32142</v>
          </cell>
          <cell r="I717" t="str">
            <v>33 TAHUN</v>
          </cell>
          <cell r="J717" t="str">
            <v>ISLAM</v>
          </cell>
          <cell r="K717" t="str">
            <v>SELIKI</v>
          </cell>
          <cell r="L717">
            <v>4</v>
          </cell>
          <cell r="P717" t="str">
            <v>AKTIF</v>
          </cell>
          <cell r="R717" t="str">
            <v>PERAWATAN</v>
          </cell>
          <cell r="S717" t="str">
            <v>BORONGAN</v>
          </cell>
          <cell r="T717" t="str">
            <v>TUNAI</v>
          </cell>
          <cell r="U717" t="str">
            <v>5208033112870213</v>
          </cell>
          <cell r="V717" t="str">
            <v>LOKAL</v>
          </cell>
        </row>
        <row r="718">
          <cell r="B718" t="str">
            <v>GM-00730</v>
          </cell>
          <cell r="C718" t="str">
            <v>KORNELIUS RIPALDI</v>
          </cell>
          <cell r="E718">
            <v>43682</v>
          </cell>
          <cell r="F718" t="str">
            <v>L</v>
          </cell>
          <cell r="G718" t="str">
            <v>SP.III TAPANG PULAU</v>
          </cell>
          <cell r="H718">
            <v>36191</v>
          </cell>
          <cell r="I718" t="str">
            <v>21 TAHUN</v>
          </cell>
          <cell r="J718" t="str">
            <v>KATHOLIK</v>
          </cell>
          <cell r="K718" t="str">
            <v>NON KONTRAKTOR</v>
          </cell>
          <cell r="L718">
            <v>4</v>
          </cell>
          <cell r="P718" t="str">
            <v>AKTIF</v>
          </cell>
          <cell r="R718" t="str">
            <v>PERAWATAN</v>
          </cell>
          <cell r="S718" t="str">
            <v>BORONGAN</v>
          </cell>
          <cell r="T718" t="str">
            <v>TUNAI</v>
          </cell>
          <cell r="U718" t="str">
            <v>6109053101990001</v>
          </cell>
          <cell r="V718" t="str">
            <v>LOKAL</v>
          </cell>
        </row>
        <row r="719">
          <cell r="B719" t="str">
            <v>GM-00731</v>
          </cell>
          <cell r="C719" t="str">
            <v>SELIKI</v>
          </cell>
          <cell r="E719">
            <v>43682</v>
          </cell>
          <cell r="F719" t="str">
            <v>L</v>
          </cell>
          <cell r="G719" t="str">
            <v>PADAK</v>
          </cell>
          <cell r="H719">
            <v>26398</v>
          </cell>
          <cell r="I719" t="str">
            <v>48 TAHUN</v>
          </cell>
          <cell r="J719" t="str">
            <v>KRISTEN</v>
          </cell>
          <cell r="K719" t="str">
            <v>SELIKI</v>
          </cell>
          <cell r="L719">
            <v>4</v>
          </cell>
          <cell r="P719" t="str">
            <v>AKTIF</v>
          </cell>
          <cell r="R719" t="str">
            <v>PERAWATAN</v>
          </cell>
          <cell r="S719" t="str">
            <v>BORONGAN</v>
          </cell>
          <cell r="T719" t="str">
            <v>TUNAI</v>
          </cell>
          <cell r="U719" t="str">
            <v>6109070904720002</v>
          </cell>
          <cell r="V719" t="str">
            <v>LOKAL</v>
          </cell>
        </row>
        <row r="720">
          <cell r="B720" t="str">
            <v>GM-00732</v>
          </cell>
          <cell r="C720" t="str">
            <v>JAHARI</v>
          </cell>
          <cell r="E720">
            <v>43682</v>
          </cell>
          <cell r="F720" t="str">
            <v>L</v>
          </cell>
          <cell r="G720" t="str">
            <v>SP IV SETUNTUNG</v>
          </cell>
          <cell r="H720">
            <v>34800</v>
          </cell>
          <cell r="I720" t="str">
            <v>25 TAHUN</v>
          </cell>
          <cell r="J720" t="str">
            <v>ISLAM</v>
          </cell>
          <cell r="K720" t="str">
            <v>NON KONTRAKTOR</v>
          </cell>
          <cell r="L720">
            <v>4</v>
          </cell>
          <cell r="P720" t="str">
            <v>AKTIF</v>
          </cell>
          <cell r="R720" t="str">
            <v>PERAWATAN</v>
          </cell>
          <cell r="S720" t="str">
            <v>BORONGAN</v>
          </cell>
          <cell r="T720" t="str">
            <v>TUNAI</v>
          </cell>
          <cell r="U720" t="str">
            <v>6109071104950001</v>
          </cell>
          <cell r="V720" t="str">
            <v>LOKAL</v>
          </cell>
        </row>
        <row r="721">
          <cell r="B721" t="str">
            <v>GM-00733</v>
          </cell>
          <cell r="C721" t="str">
            <v>GEPRIEL</v>
          </cell>
          <cell r="E721">
            <v>43682</v>
          </cell>
          <cell r="F721" t="str">
            <v>L</v>
          </cell>
          <cell r="G721" t="str">
            <v>MELANJAN</v>
          </cell>
          <cell r="H721">
            <v>33353</v>
          </cell>
          <cell r="I721" t="str">
            <v>29 TAHUN</v>
          </cell>
          <cell r="J721" t="str">
            <v>KATHOLIK</v>
          </cell>
          <cell r="K721" t="str">
            <v>SELIKI</v>
          </cell>
          <cell r="L721">
            <v>4</v>
          </cell>
          <cell r="P721" t="str">
            <v>AKTIF</v>
          </cell>
          <cell r="R721" t="str">
            <v>PERAWATAN</v>
          </cell>
          <cell r="S721" t="str">
            <v>BORONGAN</v>
          </cell>
          <cell r="T721" t="str">
            <v>TUNAI</v>
          </cell>
          <cell r="U721" t="str">
            <v>6109052504910001</v>
          </cell>
          <cell r="V721" t="str">
            <v>LOKAL</v>
          </cell>
        </row>
        <row r="722">
          <cell r="B722" t="str">
            <v>GM-00734</v>
          </cell>
          <cell r="C722" t="str">
            <v>LA HUSAINI</v>
          </cell>
          <cell r="E722">
            <v>43682</v>
          </cell>
          <cell r="F722" t="str">
            <v>L</v>
          </cell>
          <cell r="G722" t="str">
            <v>TENGKOJAM</v>
          </cell>
          <cell r="H722">
            <v>27576</v>
          </cell>
          <cell r="I722" t="str">
            <v>45 TAHUN</v>
          </cell>
          <cell r="J722" t="str">
            <v>ISLAM</v>
          </cell>
          <cell r="K722" t="str">
            <v>NON KONTRAKTOR</v>
          </cell>
          <cell r="L722">
            <v>4</v>
          </cell>
          <cell r="P722" t="str">
            <v>AKTIF</v>
          </cell>
          <cell r="R722" t="str">
            <v>PERAWATAN</v>
          </cell>
          <cell r="S722" t="str">
            <v>BORONGAN</v>
          </cell>
          <cell r="T722" t="str">
            <v>TUNAI</v>
          </cell>
          <cell r="U722" t="str">
            <v>6109070107750074</v>
          </cell>
          <cell r="V722" t="str">
            <v>LOKAL</v>
          </cell>
        </row>
        <row r="723">
          <cell r="B723" t="str">
            <v>GM-00735</v>
          </cell>
          <cell r="C723" t="str">
            <v>WAN KADRI</v>
          </cell>
          <cell r="E723">
            <v>43682</v>
          </cell>
          <cell r="F723" t="str">
            <v>L</v>
          </cell>
          <cell r="G723" t="str">
            <v>BELITANG</v>
          </cell>
          <cell r="H723">
            <v>37507</v>
          </cell>
          <cell r="I723" t="str">
            <v>18 TAHUN</v>
          </cell>
          <cell r="J723" t="str">
            <v>ISLAM</v>
          </cell>
          <cell r="K723" t="str">
            <v>SELIKI</v>
          </cell>
          <cell r="L723">
            <v>4</v>
          </cell>
          <cell r="P723" t="str">
            <v>AKTIF</v>
          </cell>
          <cell r="R723" t="str">
            <v>PERAWATAN</v>
          </cell>
          <cell r="S723" t="str">
            <v>BORONGAN</v>
          </cell>
          <cell r="T723" t="str">
            <v>TUNAI</v>
          </cell>
          <cell r="U723" t="str">
            <v>6109070809020002</v>
          </cell>
          <cell r="V723" t="str">
            <v>LOKAL</v>
          </cell>
        </row>
        <row r="724">
          <cell r="B724" t="str">
            <v>GM-00736</v>
          </cell>
          <cell r="C724" t="str">
            <v>MIALAN</v>
          </cell>
          <cell r="E724">
            <v>43682</v>
          </cell>
          <cell r="F724" t="str">
            <v>L</v>
          </cell>
          <cell r="I724" t="str">
            <v>121 TAHUN</v>
          </cell>
          <cell r="J724" t="str">
            <v>ISLAM</v>
          </cell>
          <cell r="K724" t="str">
            <v>NON KONTRAKTOR</v>
          </cell>
          <cell r="L724">
            <v>4</v>
          </cell>
          <cell r="P724" t="str">
            <v>AKTIF</v>
          </cell>
          <cell r="R724" t="str">
            <v>PERAWATAN</v>
          </cell>
          <cell r="S724" t="str">
            <v>BORONGAN</v>
          </cell>
          <cell r="T724" t="str">
            <v>TUNAI</v>
          </cell>
          <cell r="V724" t="str">
            <v>LOKAL</v>
          </cell>
        </row>
        <row r="725">
          <cell r="B725" t="str">
            <v>GM-00737</v>
          </cell>
          <cell r="C725" t="str">
            <v>BONIVASIUS T</v>
          </cell>
          <cell r="E725">
            <v>43682</v>
          </cell>
          <cell r="F725" t="str">
            <v>L</v>
          </cell>
          <cell r="I725" t="str">
            <v>121 TAHUN</v>
          </cell>
          <cell r="J725" t="str">
            <v>KRISTEN</v>
          </cell>
          <cell r="K725" t="str">
            <v>NON KONTRAKTOR</v>
          </cell>
          <cell r="L725">
            <v>4</v>
          </cell>
          <cell r="P725" t="str">
            <v>AKTIF</v>
          </cell>
          <cell r="R725" t="str">
            <v>PERAWATAN</v>
          </cell>
          <cell r="S725" t="str">
            <v>BORONGAN</v>
          </cell>
          <cell r="T725" t="str">
            <v>TUNAI</v>
          </cell>
          <cell r="V725" t="str">
            <v>LOKAL</v>
          </cell>
        </row>
        <row r="726">
          <cell r="B726" t="str">
            <v>GM-00738</v>
          </cell>
          <cell r="C726" t="str">
            <v>IRVAN FEBRIYADI</v>
          </cell>
          <cell r="E726">
            <v>43682</v>
          </cell>
          <cell r="F726" t="str">
            <v>L</v>
          </cell>
          <cell r="I726" t="str">
            <v>121 TAHUN</v>
          </cell>
          <cell r="J726" t="str">
            <v>KRISTEN</v>
          </cell>
          <cell r="K726" t="str">
            <v>SELIKI</v>
          </cell>
          <cell r="L726">
            <v>4</v>
          </cell>
          <cell r="P726" t="str">
            <v>AKTIF</v>
          </cell>
          <cell r="R726" t="str">
            <v>PERAWATAN</v>
          </cell>
          <cell r="S726" t="str">
            <v>BORONGAN</v>
          </cell>
          <cell r="T726" t="str">
            <v>TUNAI</v>
          </cell>
          <cell r="V726" t="str">
            <v>LOKAL</v>
          </cell>
        </row>
        <row r="727">
          <cell r="B727" t="str">
            <v>GM-00739</v>
          </cell>
          <cell r="C727" t="str">
            <v xml:space="preserve">FRANSISNA </v>
          </cell>
          <cell r="E727">
            <v>43682</v>
          </cell>
          <cell r="F727" t="str">
            <v>L</v>
          </cell>
          <cell r="G727" t="str">
            <v>AMOH</v>
          </cell>
          <cell r="H727">
            <v>23665</v>
          </cell>
          <cell r="I727" t="str">
            <v>56 TAHUN</v>
          </cell>
          <cell r="J727" t="str">
            <v>KRISTEN</v>
          </cell>
          <cell r="K727" t="str">
            <v>NON KONTRAKTOR</v>
          </cell>
          <cell r="L727">
            <v>4</v>
          </cell>
          <cell r="P727" t="str">
            <v>AKTIF</v>
          </cell>
          <cell r="R727" t="str">
            <v>PERAWATAN</v>
          </cell>
          <cell r="S727" t="str">
            <v>BORONGAN</v>
          </cell>
          <cell r="T727" t="str">
            <v>TUNAI</v>
          </cell>
          <cell r="U727" t="str">
            <v>6109064510640002</v>
          </cell>
          <cell r="V727" t="str">
            <v>LOKAL</v>
          </cell>
        </row>
        <row r="728">
          <cell r="B728" t="str">
            <v>GM-00740</v>
          </cell>
          <cell r="C728" t="str">
            <v>SEPRILIANTO</v>
          </cell>
          <cell r="E728">
            <v>43682</v>
          </cell>
          <cell r="F728" t="str">
            <v>L</v>
          </cell>
          <cell r="G728" t="str">
            <v>SUNGAI PERING</v>
          </cell>
          <cell r="H728">
            <v>33822</v>
          </cell>
          <cell r="I728" t="str">
            <v>28 TAHUN</v>
          </cell>
          <cell r="J728" t="str">
            <v>KRISTEN</v>
          </cell>
          <cell r="K728" t="str">
            <v>NON KONTRAKTOR</v>
          </cell>
          <cell r="L728">
            <v>4</v>
          </cell>
          <cell r="P728" t="str">
            <v>AKTIF</v>
          </cell>
          <cell r="R728" t="str">
            <v>PERAWATAN</v>
          </cell>
          <cell r="S728" t="str">
            <v>BORONGAN</v>
          </cell>
          <cell r="T728" t="str">
            <v>TUNAI</v>
          </cell>
          <cell r="U728" t="str">
            <v>6109060608820002</v>
          </cell>
          <cell r="V728" t="str">
            <v>LOKAL</v>
          </cell>
        </row>
        <row r="729">
          <cell r="B729" t="str">
            <v>GM-00741</v>
          </cell>
          <cell r="C729" t="str">
            <v>HENDRI WIJAYA K</v>
          </cell>
          <cell r="E729">
            <v>43682</v>
          </cell>
          <cell r="F729" t="str">
            <v>L</v>
          </cell>
          <cell r="G729" t="str">
            <v>AMOH</v>
          </cell>
          <cell r="H729">
            <v>32490</v>
          </cell>
          <cell r="I729" t="str">
            <v>32 TAHUN</v>
          </cell>
          <cell r="J729" t="str">
            <v>KRISTEN</v>
          </cell>
          <cell r="K729" t="str">
            <v>NON KONTRAKTOR</v>
          </cell>
          <cell r="L729">
            <v>4</v>
          </cell>
          <cell r="P729" t="str">
            <v>AKTIF</v>
          </cell>
          <cell r="R729" t="str">
            <v>PANEN</v>
          </cell>
          <cell r="S729" t="str">
            <v>BORONGAN</v>
          </cell>
          <cell r="T729" t="str">
            <v>TUNAI</v>
          </cell>
          <cell r="U729" t="str">
            <v>6109061312880007</v>
          </cell>
          <cell r="V729" t="str">
            <v>LOKAL</v>
          </cell>
        </row>
        <row r="730">
          <cell r="B730" t="str">
            <v>GM-00742</v>
          </cell>
          <cell r="C730" t="str">
            <v>MANAHEM ARDI</v>
          </cell>
          <cell r="E730">
            <v>43689</v>
          </cell>
          <cell r="F730" t="str">
            <v>L</v>
          </cell>
          <cell r="G730" t="str">
            <v>EMPUYU</v>
          </cell>
          <cell r="H730">
            <v>35939</v>
          </cell>
          <cell r="I730" t="str">
            <v>22 TAHUN</v>
          </cell>
          <cell r="J730" t="str">
            <v>KRISTEN</v>
          </cell>
          <cell r="K730" t="str">
            <v>NON KONTRAKTOR</v>
          </cell>
          <cell r="L730">
            <v>2</v>
          </cell>
          <cell r="P730" t="str">
            <v>AKTIF</v>
          </cell>
          <cell r="R730" t="str">
            <v>PERAWATAN</v>
          </cell>
          <cell r="S730" t="str">
            <v>BORONGAN</v>
          </cell>
          <cell r="T730" t="str">
            <v>TUNAI</v>
          </cell>
          <cell r="U730" t="str">
            <v>6103042405980002</v>
          </cell>
          <cell r="V730" t="str">
            <v>LOKAL</v>
          </cell>
        </row>
        <row r="731">
          <cell r="B731" t="str">
            <v>GM-00743</v>
          </cell>
          <cell r="C731" t="str">
            <v>ROY MARTIN</v>
          </cell>
          <cell r="E731">
            <v>43692</v>
          </cell>
          <cell r="F731" t="str">
            <v>L</v>
          </cell>
          <cell r="G731" t="str">
            <v xml:space="preserve">LINGKUNG </v>
          </cell>
          <cell r="H731">
            <v>34151</v>
          </cell>
          <cell r="I731" t="str">
            <v>27 TAHUN</v>
          </cell>
          <cell r="J731" t="str">
            <v>ISLAM</v>
          </cell>
          <cell r="K731" t="str">
            <v>NON AKTIF</v>
          </cell>
          <cell r="L731">
            <v>4</v>
          </cell>
          <cell r="P731" t="str">
            <v>NON AKTIF</v>
          </cell>
          <cell r="Q731">
            <v>43775</v>
          </cell>
          <cell r="R731" t="str">
            <v>PANEN</v>
          </cell>
          <cell r="S731" t="str">
            <v>BORONGAN</v>
          </cell>
          <cell r="T731" t="str">
            <v>TUNAI</v>
          </cell>
          <cell r="U731" t="str">
            <v>5202070107930454</v>
          </cell>
          <cell r="V731" t="str">
            <v>AKAD</v>
          </cell>
        </row>
        <row r="732">
          <cell r="B732" t="str">
            <v>GM-00744</v>
          </cell>
          <cell r="C732" t="str">
            <v>SAPOAN</v>
          </cell>
          <cell r="E732">
            <v>43692</v>
          </cell>
          <cell r="F732" t="str">
            <v>L</v>
          </cell>
          <cell r="G732" t="str">
            <v xml:space="preserve">LINGKUNG </v>
          </cell>
          <cell r="H732">
            <v>26115</v>
          </cell>
          <cell r="I732" t="str">
            <v>49 TAHUN</v>
          </cell>
          <cell r="J732" t="str">
            <v>ISLAM</v>
          </cell>
          <cell r="K732" t="str">
            <v>NON AKTIF</v>
          </cell>
          <cell r="L732">
            <v>4</v>
          </cell>
          <cell r="P732" t="str">
            <v>NON AKTIF</v>
          </cell>
          <cell r="Q732">
            <v>43747</v>
          </cell>
          <cell r="R732" t="str">
            <v>PERAWATAN</v>
          </cell>
          <cell r="S732" t="str">
            <v>BORONGAN</v>
          </cell>
          <cell r="T732" t="str">
            <v>TUNAI</v>
          </cell>
          <cell r="U732" t="str">
            <v>5202070107710200</v>
          </cell>
          <cell r="V732" t="str">
            <v>AKAD</v>
          </cell>
        </row>
        <row r="733">
          <cell r="B733" t="str">
            <v>GM-00745</v>
          </cell>
          <cell r="C733" t="str">
            <v>TANDUR PURNAMA</v>
          </cell>
          <cell r="E733">
            <v>43692</v>
          </cell>
          <cell r="F733" t="str">
            <v>L</v>
          </cell>
          <cell r="G733" t="str">
            <v xml:space="preserve">LINGKUNG </v>
          </cell>
          <cell r="H733">
            <v>33989</v>
          </cell>
          <cell r="I733" t="str">
            <v>28 TAHUN</v>
          </cell>
          <cell r="J733" t="str">
            <v>ISLAM</v>
          </cell>
          <cell r="K733" t="str">
            <v>NON AKTIF</v>
          </cell>
          <cell r="L733">
            <v>4</v>
          </cell>
          <cell r="P733" t="str">
            <v>NON AKTIF</v>
          </cell>
          <cell r="Q733">
            <v>43775</v>
          </cell>
          <cell r="R733" t="str">
            <v>PANEN</v>
          </cell>
          <cell r="S733" t="str">
            <v>BORONGAN</v>
          </cell>
          <cell r="T733" t="str">
            <v>TUNAI</v>
          </cell>
          <cell r="U733" t="str">
            <v>5203052001930006</v>
          </cell>
          <cell r="V733" t="str">
            <v>AKAD</v>
          </cell>
        </row>
        <row r="734">
          <cell r="B734" t="str">
            <v>GM-00746</v>
          </cell>
          <cell r="C734" t="str">
            <v>MUHASAN</v>
          </cell>
          <cell r="E734">
            <v>43692</v>
          </cell>
          <cell r="F734" t="str">
            <v>L</v>
          </cell>
          <cell r="G734" t="str">
            <v>GELUMPANG</v>
          </cell>
          <cell r="H734">
            <v>33420</v>
          </cell>
          <cell r="I734" t="str">
            <v>29 TAHUN</v>
          </cell>
          <cell r="J734" t="str">
            <v>ISLAM</v>
          </cell>
          <cell r="K734" t="str">
            <v>NON AKTIF</v>
          </cell>
          <cell r="L734">
            <v>4</v>
          </cell>
          <cell r="P734" t="str">
            <v>NON AKTIF</v>
          </cell>
          <cell r="Q734">
            <v>43747</v>
          </cell>
          <cell r="R734" t="str">
            <v>PANEN</v>
          </cell>
          <cell r="S734" t="str">
            <v>BORONGAN</v>
          </cell>
          <cell r="T734" t="str">
            <v>TUNAI</v>
          </cell>
          <cell r="U734" t="str">
            <v>5202070107950426</v>
          </cell>
          <cell r="V734" t="str">
            <v>AKAD</v>
          </cell>
        </row>
        <row r="735">
          <cell r="B735" t="str">
            <v>GM-00747</v>
          </cell>
          <cell r="C735" t="str">
            <v>ROHIDI</v>
          </cell>
          <cell r="E735">
            <v>43692</v>
          </cell>
          <cell r="F735" t="str">
            <v>L</v>
          </cell>
          <cell r="G735" t="str">
            <v>SUWANGKU</v>
          </cell>
          <cell r="H735">
            <v>33878</v>
          </cell>
          <cell r="I735" t="str">
            <v>28 TAHUN</v>
          </cell>
          <cell r="J735" t="str">
            <v>ISLAM</v>
          </cell>
          <cell r="K735" t="str">
            <v>NON AKTIF</v>
          </cell>
          <cell r="L735">
            <v>4</v>
          </cell>
          <cell r="P735" t="str">
            <v>NON AKTIF</v>
          </cell>
          <cell r="Q735">
            <v>43747</v>
          </cell>
          <cell r="R735" t="str">
            <v>PANEN</v>
          </cell>
          <cell r="S735" t="str">
            <v>BORONGAN</v>
          </cell>
          <cell r="T735" t="str">
            <v>TUNAI</v>
          </cell>
          <cell r="U735" t="str">
            <v>50203200110920003</v>
          </cell>
          <cell r="V735" t="str">
            <v>AKAD</v>
          </cell>
        </row>
        <row r="736">
          <cell r="B736" t="str">
            <v>GM-00748</v>
          </cell>
          <cell r="C736" t="str">
            <v>M. ALI SADRI</v>
          </cell>
          <cell r="E736">
            <v>43692</v>
          </cell>
          <cell r="F736" t="str">
            <v>L</v>
          </cell>
          <cell r="J736" t="str">
            <v>ISLAM</v>
          </cell>
          <cell r="K736" t="str">
            <v>NON AKTIF</v>
          </cell>
          <cell r="L736">
            <v>4</v>
          </cell>
          <cell r="P736" t="str">
            <v>NON AKTIF</v>
          </cell>
          <cell r="Q736">
            <v>43747</v>
          </cell>
          <cell r="R736" t="str">
            <v>PANEN</v>
          </cell>
          <cell r="S736" t="str">
            <v>BORONGAN</v>
          </cell>
          <cell r="T736" t="str">
            <v>TUNAI</v>
          </cell>
          <cell r="V736" t="str">
            <v>AKAD</v>
          </cell>
        </row>
        <row r="737">
          <cell r="B737" t="str">
            <v>GM-00749</v>
          </cell>
          <cell r="C737" t="str">
            <v>MUNAENAH</v>
          </cell>
          <cell r="E737">
            <v>43692</v>
          </cell>
          <cell r="F737" t="str">
            <v>P</v>
          </cell>
          <cell r="J737" t="str">
            <v>ISLAM</v>
          </cell>
          <cell r="K737" t="str">
            <v>NURSAIL</v>
          </cell>
          <cell r="L737">
            <v>4</v>
          </cell>
          <cell r="P737" t="str">
            <v>AKTIF</v>
          </cell>
          <cell r="Q737">
            <v>43747</v>
          </cell>
          <cell r="R737" t="str">
            <v>PANEN</v>
          </cell>
          <cell r="S737" t="str">
            <v>BORONGAN</v>
          </cell>
          <cell r="T737" t="str">
            <v>TUNAI</v>
          </cell>
          <cell r="V737" t="str">
            <v>AKAD</v>
          </cell>
        </row>
        <row r="738">
          <cell r="B738" t="str">
            <v>GM-00750</v>
          </cell>
        </row>
        <row r="739">
          <cell r="B739" t="str">
            <v>GM-00751</v>
          </cell>
          <cell r="C739" t="str">
            <v>ATEN</v>
          </cell>
          <cell r="E739">
            <v>43692</v>
          </cell>
          <cell r="F739" t="str">
            <v>L</v>
          </cell>
          <cell r="G739" t="str">
            <v>SP III TAPANG P</v>
          </cell>
          <cell r="H739">
            <v>36046</v>
          </cell>
          <cell r="I739" t="str">
            <v>22 TAHUN</v>
          </cell>
          <cell r="J739" t="str">
            <v>KRISTEN</v>
          </cell>
          <cell r="K739" t="str">
            <v>NON KONTRAKTOR</v>
          </cell>
          <cell r="L739">
            <v>4</v>
          </cell>
          <cell r="P739" t="str">
            <v>AKTIF</v>
          </cell>
          <cell r="R739" t="str">
            <v>PERAWATAN</v>
          </cell>
          <cell r="S739" t="str">
            <v>BORONGAN</v>
          </cell>
          <cell r="T739" t="str">
            <v>TUNAI</v>
          </cell>
          <cell r="U739" t="str">
            <v>6109050609960001</v>
          </cell>
          <cell r="V739" t="str">
            <v>LOKAL</v>
          </cell>
        </row>
        <row r="740">
          <cell r="B740" t="str">
            <v>GM-00752</v>
          </cell>
          <cell r="C740" t="str">
            <v>ROI MUNDUS</v>
          </cell>
          <cell r="E740">
            <v>43692</v>
          </cell>
          <cell r="F740" t="str">
            <v>L</v>
          </cell>
          <cell r="G740" t="str">
            <v>MELANJAN</v>
          </cell>
          <cell r="H740">
            <v>29030</v>
          </cell>
          <cell r="I740" t="str">
            <v>41 TAHUN</v>
          </cell>
          <cell r="J740" t="str">
            <v>KATHOLIK</v>
          </cell>
          <cell r="K740" t="str">
            <v>NON KONTRAKTOR</v>
          </cell>
          <cell r="L740">
            <v>4</v>
          </cell>
          <cell r="P740" t="str">
            <v>AKTIF</v>
          </cell>
          <cell r="R740" t="str">
            <v>PERAWATAN</v>
          </cell>
          <cell r="S740" t="str">
            <v>BORONGAN</v>
          </cell>
          <cell r="T740" t="str">
            <v>TUNAI</v>
          </cell>
          <cell r="U740" t="str">
            <v>6109052406790003</v>
          </cell>
          <cell r="V740" t="str">
            <v>LOKAL</v>
          </cell>
        </row>
        <row r="741">
          <cell r="B741" t="str">
            <v>GM-00753</v>
          </cell>
          <cell r="C741" t="str">
            <v>FLOREANUS PANDUNG</v>
          </cell>
          <cell r="E741">
            <v>43692</v>
          </cell>
          <cell r="F741" t="str">
            <v>L</v>
          </cell>
          <cell r="G741" t="str">
            <v>MELANJAN</v>
          </cell>
          <cell r="H741">
            <v>29345</v>
          </cell>
          <cell r="I741" t="str">
            <v>40 TAHUN</v>
          </cell>
          <cell r="J741" t="str">
            <v>KATHOLIK</v>
          </cell>
          <cell r="K741" t="str">
            <v>NON KONTRAKTOR</v>
          </cell>
          <cell r="L741">
            <v>4</v>
          </cell>
          <cell r="P741" t="str">
            <v>AKTIF</v>
          </cell>
          <cell r="R741" t="str">
            <v>PERAWATAN</v>
          </cell>
          <cell r="S741" t="str">
            <v>BORONGAN</v>
          </cell>
          <cell r="T741" t="str">
            <v>TUNAI</v>
          </cell>
          <cell r="U741" t="str">
            <v>6109050405800001</v>
          </cell>
          <cell r="V741" t="str">
            <v>LOKAL</v>
          </cell>
        </row>
        <row r="742">
          <cell r="B742" t="str">
            <v>GM-00754</v>
          </cell>
          <cell r="C742" t="str">
            <v>BERITO</v>
          </cell>
          <cell r="E742">
            <v>43692</v>
          </cell>
          <cell r="F742" t="str">
            <v>L</v>
          </cell>
          <cell r="G742" t="str">
            <v>AMOH</v>
          </cell>
          <cell r="H742">
            <v>24993</v>
          </cell>
          <cell r="I742" t="str">
            <v>52 TAHUN</v>
          </cell>
          <cell r="J742" t="str">
            <v>KRISTEN</v>
          </cell>
          <cell r="K742" t="str">
            <v>NON KONTRAKTOR</v>
          </cell>
          <cell r="L742">
            <v>4</v>
          </cell>
          <cell r="M742" t="str">
            <v>BERITO</v>
          </cell>
          <cell r="N742">
            <v>954802330</v>
          </cell>
          <cell r="O742" t="str">
            <v>BNI</v>
          </cell>
          <cell r="P742" t="str">
            <v>AKTIF</v>
          </cell>
          <cell r="R742" t="str">
            <v>PANEN</v>
          </cell>
          <cell r="S742" t="str">
            <v>BORONGAN</v>
          </cell>
          <cell r="T742" t="str">
            <v>TRANSFER</v>
          </cell>
          <cell r="U742" t="str">
            <v>6109060406680001</v>
          </cell>
          <cell r="V742" t="str">
            <v>LOKAL</v>
          </cell>
        </row>
        <row r="743">
          <cell r="B743" t="str">
            <v>GM-00755</v>
          </cell>
          <cell r="C743" t="str">
            <v>JUTANOM</v>
          </cell>
          <cell r="E743">
            <v>43692</v>
          </cell>
          <cell r="F743" t="str">
            <v>L</v>
          </cell>
          <cell r="G743" t="str">
            <v>LOMBOK BARAT</v>
          </cell>
          <cell r="H743">
            <v>28307</v>
          </cell>
          <cell r="I743" t="str">
            <v>43 TAHUN</v>
          </cell>
          <cell r="J743" t="str">
            <v>ISLAM</v>
          </cell>
          <cell r="K743" t="str">
            <v>NON AKTIF</v>
          </cell>
          <cell r="L743">
            <v>4</v>
          </cell>
          <cell r="P743" t="str">
            <v>NON AKTIF</v>
          </cell>
          <cell r="Q743">
            <v>43742</v>
          </cell>
          <cell r="R743" t="str">
            <v>PERAWATAN</v>
          </cell>
          <cell r="S743" t="str">
            <v>BORONGAN</v>
          </cell>
          <cell r="T743" t="str">
            <v>TUNAI</v>
          </cell>
          <cell r="U743" t="str">
            <v>5208040107790090</v>
          </cell>
          <cell r="V743" t="str">
            <v>AKAD</v>
          </cell>
        </row>
        <row r="744">
          <cell r="B744" t="str">
            <v>GM-00756</v>
          </cell>
          <cell r="C744" t="str">
            <v>NURMENEP</v>
          </cell>
          <cell r="E744">
            <v>43692</v>
          </cell>
          <cell r="F744" t="str">
            <v>L</v>
          </cell>
          <cell r="G744" t="str">
            <v>LENDANG JELITI</v>
          </cell>
          <cell r="H744">
            <v>36708</v>
          </cell>
          <cell r="I744" t="str">
            <v>20 TAHUN</v>
          </cell>
          <cell r="J744" t="str">
            <v>ISLAM</v>
          </cell>
          <cell r="K744" t="str">
            <v>NON AKTIF</v>
          </cell>
          <cell r="L744">
            <v>4</v>
          </cell>
          <cell r="P744" t="str">
            <v>NON AKTIF</v>
          </cell>
          <cell r="Q744">
            <v>43742</v>
          </cell>
          <cell r="R744" t="str">
            <v>PERAWATAN</v>
          </cell>
          <cell r="S744" t="str">
            <v>BORONGAN</v>
          </cell>
          <cell r="T744" t="str">
            <v>TUNAI</v>
          </cell>
          <cell r="U744" t="str">
            <v>5208040107000503</v>
          </cell>
          <cell r="V744" t="str">
            <v>AKAD</v>
          </cell>
        </row>
        <row r="745">
          <cell r="B745" t="str">
            <v>GM-00757</v>
          </cell>
          <cell r="C745" t="str">
            <v>HERBIANTO</v>
          </cell>
          <cell r="E745">
            <v>43692</v>
          </cell>
          <cell r="F745" t="str">
            <v>L</v>
          </cell>
          <cell r="G745" t="str">
            <v>SUNGKA</v>
          </cell>
          <cell r="H745">
            <v>34516</v>
          </cell>
          <cell r="I745" t="str">
            <v>26 TAHUN</v>
          </cell>
          <cell r="J745" t="str">
            <v>ISLAM</v>
          </cell>
          <cell r="K745" t="str">
            <v>NURSAIL</v>
          </cell>
          <cell r="L745">
            <v>4</v>
          </cell>
          <cell r="P745" t="str">
            <v>NON AKTIF</v>
          </cell>
          <cell r="R745" t="str">
            <v>PANEN</v>
          </cell>
          <cell r="S745" t="str">
            <v>BORONGAN</v>
          </cell>
          <cell r="T745" t="str">
            <v>TUNAI</v>
          </cell>
          <cell r="U745" t="str">
            <v>5202070107940321</v>
          </cell>
          <cell r="V745" t="str">
            <v>AKAD</v>
          </cell>
        </row>
        <row r="746">
          <cell r="B746" t="str">
            <v>GM-00758</v>
          </cell>
          <cell r="C746" t="str">
            <v>DESYI WARDIYANTO</v>
          </cell>
          <cell r="F746" t="str">
            <v>L</v>
          </cell>
          <cell r="G746" t="str">
            <v>RAWALO</v>
          </cell>
          <cell r="H746">
            <v>31397</v>
          </cell>
          <cell r="I746" t="str">
            <v>35 TAHUN</v>
          </cell>
          <cell r="J746" t="str">
            <v>ISLAM</v>
          </cell>
          <cell r="K746" t="str">
            <v>NURSAIL</v>
          </cell>
          <cell r="L746">
            <v>4</v>
          </cell>
          <cell r="P746" t="str">
            <v>AKTIF</v>
          </cell>
          <cell r="R746" t="str">
            <v>PANEN</v>
          </cell>
          <cell r="S746" t="str">
            <v>BORONGAN</v>
          </cell>
          <cell r="T746" t="str">
            <v>TUNAI</v>
          </cell>
          <cell r="U746" t="str">
            <v>6103021612850002</v>
          </cell>
          <cell r="V746" t="str">
            <v>AKAD</v>
          </cell>
        </row>
        <row r="747">
          <cell r="B747" t="str">
            <v>GM-00759</v>
          </cell>
          <cell r="C747" t="str">
            <v>USABINO</v>
          </cell>
          <cell r="F747" t="str">
            <v>L</v>
          </cell>
          <cell r="G747" t="str">
            <v>SUNGAI MAWANG</v>
          </cell>
          <cell r="H747">
            <v>33824</v>
          </cell>
          <cell r="I747" t="str">
            <v>28 TAHUN</v>
          </cell>
          <cell r="J747" t="str">
            <v>KATHOLIK</v>
          </cell>
          <cell r="K747" t="str">
            <v>NURSAIL</v>
          </cell>
          <cell r="L747">
            <v>4</v>
          </cell>
          <cell r="P747" t="str">
            <v>NON AKTIF</v>
          </cell>
          <cell r="R747" t="str">
            <v>PANEN</v>
          </cell>
          <cell r="S747" t="str">
            <v>BORONGAN</v>
          </cell>
          <cell r="T747" t="str">
            <v>TUNAI</v>
          </cell>
          <cell r="U747" t="str">
            <v>6103020808920002</v>
          </cell>
          <cell r="V747" t="str">
            <v>AKAD</v>
          </cell>
        </row>
        <row r="748">
          <cell r="B748" t="str">
            <v>GM-00760</v>
          </cell>
          <cell r="C748" t="str">
            <v>JAYIN</v>
          </cell>
          <cell r="F748" t="str">
            <v>L</v>
          </cell>
          <cell r="G748" t="str">
            <v>SANGGAU</v>
          </cell>
          <cell r="H748">
            <v>33452</v>
          </cell>
          <cell r="I748" t="str">
            <v>29 TAHUN</v>
          </cell>
          <cell r="J748" t="str">
            <v>KATHOLIK</v>
          </cell>
          <cell r="K748" t="str">
            <v>SELIKI</v>
          </cell>
          <cell r="L748">
            <v>4</v>
          </cell>
          <cell r="P748" t="str">
            <v>NON AKTIF</v>
          </cell>
          <cell r="R748" t="str">
            <v>PANEN</v>
          </cell>
          <cell r="S748" t="str">
            <v>BORONGAN</v>
          </cell>
          <cell r="T748" t="str">
            <v>TUNAI</v>
          </cell>
          <cell r="U748" t="str">
            <v>6103020208910002</v>
          </cell>
          <cell r="V748" t="str">
            <v>AKAD</v>
          </cell>
        </row>
        <row r="749">
          <cell r="B749" t="str">
            <v>GM-00761</v>
          </cell>
          <cell r="C749" t="str">
            <v>MATIUS KIYONG</v>
          </cell>
          <cell r="F749" t="str">
            <v>L</v>
          </cell>
          <cell r="G749" t="str">
            <v>TAPANG JAYA</v>
          </cell>
          <cell r="H749">
            <v>28862</v>
          </cell>
          <cell r="I749" t="str">
            <v>42 TAHUN</v>
          </cell>
          <cell r="J749" t="str">
            <v>KATHOLIK</v>
          </cell>
          <cell r="K749" t="str">
            <v>NON KONTRAKTOR</v>
          </cell>
          <cell r="L749">
            <v>4</v>
          </cell>
          <cell r="P749" t="str">
            <v>NON AKTIF</v>
          </cell>
          <cell r="R749" t="str">
            <v>PERAWATAN</v>
          </cell>
          <cell r="S749" t="str">
            <v>BORONGAN</v>
          </cell>
          <cell r="T749" t="str">
            <v>TUNAI</v>
          </cell>
          <cell r="U749" t="str">
            <v>6109010701790005</v>
          </cell>
          <cell r="V749" t="str">
            <v>AKAD</v>
          </cell>
        </row>
        <row r="750">
          <cell r="B750" t="str">
            <v>GM-00762</v>
          </cell>
          <cell r="C750" t="str">
            <v>SERSIUS MIDESTUS</v>
          </cell>
          <cell r="F750" t="str">
            <v>L</v>
          </cell>
          <cell r="G750" t="str">
            <v>SUNGAI MAWANG</v>
          </cell>
          <cell r="H750">
            <v>35867</v>
          </cell>
          <cell r="I750" t="str">
            <v>22 TAHUN</v>
          </cell>
          <cell r="J750" t="str">
            <v>KATHOLIK</v>
          </cell>
          <cell r="K750" t="str">
            <v>NURSAIL</v>
          </cell>
          <cell r="L750">
            <v>4</v>
          </cell>
          <cell r="P750" t="str">
            <v>AKTIF</v>
          </cell>
          <cell r="R750" t="str">
            <v>PANEN</v>
          </cell>
          <cell r="S750" t="str">
            <v>BORONGAN</v>
          </cell>
          <cell r="T750" t="str">
            <v>TUNAI</v>
          </cell>
          <cell r="U750" t="str">
            <v>6103021303980002</v>
          </cell>
          <cell r="V750" t="str">
            <v>AKAD</v>
          </cell>
        </row>
        <row r="751">
          <cell r="B751" t="str">
            <v>GM-00763</v>
          </cell>
          <cell r="C751" t="str">
            <v>LOKO</v>
          </cell>
          <cell r="F751" t="str">
            <v>L</v>
          </cell>
          <cell r="G751" t="str">
            <v>SEBUDA</v>
          </cell>
          <cell r="H751">
            <v>35353</v>
          </cell>
          <cell r="I751" t="str">
            <v>24 TAHUN</v>
          </cell>
          <cell r="J751" t="str">
            <v>KATHOLIK</v>
          </cell>
          <cell r="K751" t="str">
            <v>NON KONTRAKTOR</v>
          </cell>
          <cell r="L751">
            <v>4</v>
          </cell>
          <cell r="P751" t="str">
            <v>NON AKTIF</v>
          </cell>
          <cell r="R751" t="str">
            <v>PANEN</v>
          </cell>
          <cell r="S751" t="str">
            <v>BORONGAN</v>
          </cell>
          <cell r="T751" t="str">
            <v>TUNAI</v>
          </cell>
          <cell r="U751" t="str">
            <v>6103041510950001</v>
          </cell>
          <cell r="V751" t="str">
            <v>AKAD</v>
          </cell>
        </row>
        <row r="752">
          <cell r="B752" t="str">
            <v>GM-00764</v>
          </cell>
          <cell r="C752" t="str">
            <v>ANDREANUS SITOMPUL</v>
          </cell>
          <cell r="F752" t="str">
            <v>L</v>
          </cell>
          <cell r="G752" t="str">
            <v>SEBUDA</v>
          </cell>
          <cell r="H752">
            <v>33175</v>
          </cell>
          <cell r="I752" t="str">
            <v>30 TAHUN</v>
          </cell>
          <cell r="J752" t="str">
            <v>KATHOLIK</v>
          </cell>
          <cell r="K752" t="str">
            <v>NON KONTRAKTOR</v>
          </cell>
          <cell r="L752">
            <v>4</v>
          </cell>
          <cell r="P752" t="str">
            <v>NON AKTIF</v>
          </cell>
          <cell r="R752" t="str">
            <v>PANEN</v>
          </cell>
          <cell r="S752" t="str">
            <v>BORONGAN</v>
          </cell>
          <cell r="T752" t="str">
            <v>TUNAI</v>
          </cell>
          <cell r="U752" t="str">
            <v>6103040510900001</v>
          </cell>
          <cell r="V752" t="str">
            <v>AKAD</v>
          </cell>
        </row>
        <row r="753">
          <cell r="B753" t="str">
            <v>GM-00765</v>
          </cell>
          <cell r="C753" t="str">
            <v>LEBEN GUSTIAWAN</v>
          </cell>
          <cell r="F753" t="str">
            <v>L</v>
          </cell>
          <cell r="G753" t="str">
            <v>RANDAU</v>
          </cell>
          <cell r="H753">
            <v>36358</v>
          </cell>
          <cell r="I753" t="str">
            <v>21 TAHUN</v>
          </cell>
          <cell r="J753" t="str">
            <v>KRISTEN</v>
          </cell>
          <cell r="K753" t="str">
            <v>NON KONTRAKTOR</v>
          </cell>
          <cell r="L753">
            <v>4</v>
          </cell>
          <cell r="P753" t="str">
            <v>NON AKTIF</v>
          </cell>
          <cell r="R753" t="str">
            <v>PERAWATAN</v>
          </cell>
          <cell r="S753" t="str">
            <v>BORONGAN</v>
          </cell>
          <cell r="T753" t="str">
            <v>TUNAI</v>
          </cell>
          <cell r="U753" t="str">
            <v>6109061707990005</v>
          </cell>
          <cell r="V753" t="str">
            <v>AKAD</v>
          </cell>
        </row>
        <row r="754">
          <cell r="B754" t="str">
            <v>GM-00766</v>
          </cell>
          <cell r="C754" t="str">
            <v>MARIUS LUPONG</v>
          </cell>
          <cell r="F754" t="str">
            <v>L</v>
          </cell>
          <cell r="G754" t="str">
            <v>TAPANG JAYA</v>
          </cell>
          <cell r="H754">
            <v>35034</v>
          </cell>
          <cell r="I754" t="str">
            <v>25 TAHUN</v>
          </cell>
          <cell r="J754" t="str">
            <v>KATHOLIK</v>
          </cell>
          <cell r="K754" t="str">
            <v>NURSAIL</v>
          </cell>
          <cell r="L754">
            <v>4</v>
          </cell>
          <cell r="P754" t="str">
            <v>AKTIF</v>
          </cell>
          <cell r="R754" t="str">
            <v>PANEN</v>
          </cell>
          <cell r="S754" t="str">
            <v>BORONGAN</v>
          </cell>
          <cell r="T754" t="str">
            <v>TUNAI</v>
          </cell>
          <cell r="U754" t="str">
            <v>6109010112960004</v>
          </cell>
          <cell r="V754" t="str">
            <v>AKAD</v>
          </cell>
        </row>
        <row r="755">
          <cell r="B755" t="str">
            <v>GM-00767</v>
          </cell>
          <cell r="C755" t="str">
            <v>AGUSTINUS</v>
          </cell>
          <cell r="F755" t="str">
            <v>L</v>
          </cell>
          <cell r="G755" t="str">
            <v>SUNGAI MAWANG</v>
          </cell>
          <cell r="H755">
            <v>36653</v>
          </cell>
          <cell r="I755" t="str">
            <v>20 TAHUN</v>
          </cell>
          <cell r="J755" t="str">
            <v>KATHOLIK</v>
          </cell>
          <cell r="K755" t="str">
            <v>SELIKI</v>
          </cell>
          <cell r="L755">
            <v>4</v>
          </cell>
          <cell r="P755" t="str">
            <v>AKTIF</v>
          </cell>
          <cell r="R755" t="str">
            <v>PANEN</v>
          </cell>
          <cell r="S755" t="str">
            <v>BORONGAN</v>
          </cell>
          <cell r="T755" t="str">
            <v>TUNAI</v>
          </cell>
          <cell r="U755" t="str">
            <v>6103020705000003</v>
          </cell>
          <cell r="V755" t="str">
            <v>AKAD</v>
          </cell>
        </row>
        <row r="756">
          <cell r="B756" t="str">
            <v>GM-00768</v>
          </cell>
          <cell r="C756" t="str">
            <v>PAULUS SUPARDI</v>
          </cell>
          <cell r="F756" t="str">
            <v>L</v>
          </cell>
          <cell r="J756" t="str">
            <v>KRISTEN</v>
          </cell>
          <cell r="K756" t="str">
            <v>NURSAIL</v>
          </cell>
          <cell r="L756">
            <v>4</v>
          </cell>
          <cell r="P756" t="str">
            <v>NON AKTIF</v>
          </cell>
          <cell r="R756" t="str">
            <v>PANEN</v>
          </cell>
          <cell r="S756" t="str">
            <v>BORONGAN</v>
          </cell>
          <cell r="T756" t="str">
            <v>TUNAI</v>
          </cell>
          <cell r="V756" t="str">
            <v>AKAD</v>
          </cell>
        </row>
        <row r="757">
          <cell r="B757" t="str">
            <v>GM-00769</v>
          </cell>
          <cell r="C757" t="str">
            <v>HEPNI</v>
          </cell>
          <cell r="F757" t="str">
            <v>L</v>
          </cell>
          <cell r="G757" t="str">
            <v>BAKAU</v>
          </cell>
          <cell r="H757">
            <v>21070</v>
          </cell>
          <cell r="I757" t="str">
            <v>63 TAHUN</v>
          </cell>
          <cell r="J757" t="str">
            <v>ISLAM</v>
          </cell>
          <cell r="K757" t="str">
            <v>NON AKTIF</v>
          </cell>
          <cell r="L757">
            <v>4</v>
          </cell>
          <cell r="P757" t="str">
            <v>NON AKTIF</v>
          </cell>
          <cell r="Q757">
            <v>43746</v>
          </cell>
          <cell r="R757" t="str">
            <v>PERAWATAN</v>
          </cell>
          <cell r="S757" t="str">
            <v>BORONGAN</v>
          </cell>
          <cell r="T757" t="str">
            <v>TUNAI</v>
          </cell>
          <cell r="U757" t="str">
            <v>6101030709570001</v>
          </cell>
          <cell r="V757" t="str">
            <v>AKAD</v>
          </cell>
        </row>
        <row r="758">
          <cell r="B758" t="str">
            <v>GM-00770</v>
          </cell>
          <cell r="C758" t="str">
            <v>SANODI</v>
          </cell>
          <cell r="F758" t="str">
            <v>L</v>
          </cell>
          <cell r="G758" t="str">
            <v>BAKAU</v>
          </cell>
          <cell r="H758">
            <v>31450</v>
          </cell>
          <cell r="I758" t="str">
            <v>34 TAHUN</v>
          </cell>
          <cell r="J758" t="str">
            <v>ISLAM</v>
          </cell>
          <cell r="K758" t="str">
            <v>NON AKTIF</v>
          </cell>
          <cell r="L758">
            <v>4</v>
          </cell>
          <cell r="P758" t="str">
            <v>NON AKTIF</v>
          </cell>
          <cell r="Q758">
            <v>43746</v>
          </cell>
          <cell r="R758" t="str">
            <v>PERAWATAN</v>
          </cell>
          <cell r="S758" t="str">
            <v>BORONGAN</v>
          </cell>
          <cell r="T758" t="str">
            <v>TUNAI</v>
          </cell>
          <cell r="U758" t="str">
            <v>6101030702860003</v>
          </cell>
          <cell r="V758" t="str">
            <v>AKAD</v>
          </cell>
        </row>
        <row r="759">
          <cell r="B759" t="str">
            <v>GM-00771</v>
          </cell>
          <cell r="C759" t="str">
            <v>TOMI</v>
          </cell>
          <cell r="F759" t="str">
            <v>L</v>
          </cell>
          <cell r="G759" t="str">
            <v>BAKAU</v>
          </cell>
          <cell r="H759">
            <v>33388</v>
          </cell>
          <cell r="I759" t="str">
            <v>29 TAHUN</v>
          </cell>
          <cell r="J759" t="str">
            <v>ISLAM</v>
          </cell>
          <cell r="K759" t="str">
            <v>NON AKTIF</v>
          </cell>
          <cell r="L759">
            <v>4</v>
          </cell>
          <cell r="P759" t="str">
            <v>NON AKTIF</v>
          </cell>
          <cell r="Q759">
            <v>43746</v>
          </cell>
          <cell r="R759" t="str">
            <v>PERAWATAN</v>
          </cell>
          <cell r="S759" t="str">
            <v>BORONGAN</v>
          </cell>
          <cell r="T759" t="str">
            <v>TUNAI</v>
          </cell>
          <cell r="U759" t="str">
            <v>6101033005910002</v>
          </cell>
          <cell r="V759" t="str">
            <v>AKAD</v>
          </cell>
        </row>
        <row r="760">
          <cell r="B760" t="str">
            <v>GM-00772</v>
          </cell>
          <cell r="C760" t="str">
            <v>NOVRITA</v>
          </cell>
          <cell r="F760" t="str">
            <v>P</v>
          </cell>
          <cell r="G760" t="str">
            <v>JUNAK</v>
          </cell>
          <cell r="H760">
            <v>36160</v>
          </cell>
          <cell r="I760" t="str">
            <v>22 TAHUN</v>
          </cell>
          <cell r="J760" t="str">
            <v>KRISTEN</v>
          </cell>
          <cell r="K760" t="str">
            <v>NON KONTRAKTOR</v>
          </cell>
          <cell r="L760">
            <v>1</v>
          </cell>
          <cell r="P760" t="str">
            <v>AKTIF</v>
          </cell>
          <cell r="R760" t="str">
            <v>PERAWATAN</v>
          </cell>
          <cell r="S760" t="str">
            <v>BORONGAN</v>
          </cell>
          <cell r="T760" t="str">
            <v>TUNAI</v>
          </cell>
          <cell r="U760" t="str">
            <v>6109067112980001</v>
          </cell>
          <cell r="V760" t="str">
            <v>LOKAL</v>
          </cell>
        </row>
        <row r="761">
          <cell r="B761" t="str">
            <v>GM-00773</v>
          </cell>
          <cell r="C761" t="str">
            <v>TOMI ISNARDIANTO</v>
          </cell>
          <cell r="E761">
            <v>43707</v>
          </cell>
          <cell r="F761" t="str">
            <v>L</v>
          </cell>
          <cell r="G761" t="str">
            <v>MENTEGER</v>
          </cell>
          <cell r="H761">
            <v>35238</v>
          </cell>
          <cell r="I761" t="str">
            <v>24 TAHUN</v>
          </cell>
          <cell r="J761" t="str">
            <v>ISLAM</v>
          </cell>
          <cell r="K761" t="str">
            <v>NURSAIL</v>
          </cell>
          <cell r="L761">
            <v>4</v>
          </cell>
          <cell r="P761" t="str">
            <v>AKTIF</v>
          </cell>
          <cell r="R761" t="str">
            <v>PANEN</v>
          </cell>
          <cell r="S761" t="str">
            <v>BORONGAN</v>
          </cell>
          <cell r="T761" t="str">
            <v>TUNAI</v>
          </cell>
          <cell r="U761" t="str">
            <v>5202072206960001</v>
          </cell>
          <cell r="V761" t="str">
            <v>AKAD</v>
          </cell>
        </row>
        <row r="762">
          <cell r="B762" t="str">
            <v>GM-00774</v>
          </cell>
          <cell r="C762" t="str">
            <v>NURAINI</v>
          </cell>
          <cell r="E762">
            <v>43707</v>
          </cell>
          <cell r="F762" t="str">
            <v>P</v>
          </cell>
          <cell r="G762" t="str">
            <v>SURADADI</v>
          </cell>
          <cell r="H762">
            <v>35244</v>
          </cell>
          <cell r="I762" t="str">
            <v>24 TAHUN</v>
          </cell>
          <cell r="J762" t="str">
            <v>ISLAM</v>
          </cell>
          <cell r="K762" t="str">
            <v>NURSAIL</v>
          </cell>
          <cell r="L762">
            <v>4</v>
          </cell>
          <cell r="P762" t="str">
            <v>NON AKTIF</v>
          </cell>
          <cell r="R762" t="str">
            <v>PERAWATAN</v>
          </cell>
          <cell r="S762" t="str">
            <v>BORONGAN</v>
          </cell>
          <cell r="T762" t="str">
            <v>TUNAI</v>
          </cell>
          <cell r="U762" t="str">
            <v>5203036806960004</v>
          </cell>
          <cell r="V762" t="str">
            <v>AKAD</v>
          </cell>
        </row>
        <row r="763">
          <cell r="B763" t="str">
            <v>GM-00775</v>
          </cell>
          <cell r="C763" t="str">
            <v>SUANIYATI</v>
          </cell>
          <cell r="E763">
            <v>43715</v>
          </cell>
          <cell r="F763" t="str">
            <v>P</v>
          </cell>
          <cell r="G763" t="str">
            <v>DANDI</v>
          </cell>
          <cell r="H763">
            <v>26733</v>
          </cell>
          <cell r="I763" t="str">
            <v>47 TAHUN</v>
          </cell>
          <cell r="J763" t="str">
            <v>KRISTEN</v>
          </cell>
          <cell r="K763" t="str">
            <v>NON KONTRAKTOR</v>
          </cell>
          <cell r="L763">
            <v>3</v>
          </cell>
          <cell r="P763" t="str">
            <v>AKTIF</v>
          </cell>
          <cell r="R763" t="str">
            <v>PERAWATAN</v>
          </cell>
          <cell r="S763" t="str">
            <v>BORONGAN</v>
          </cell>
          <cell r="T763" t="str">
            <v>TUNAI</v>
          </cell>
          <cell r="U763" t="str">
            <v>6109065000673015</v>
          </cell>
          <cell r="V763" t="str">
            <v>LOKAL</v>
          </cell>
        </row>
        <row r="764">
          <cell r="B764" t="str">
            <v>GM-00776</v>
          </cell>
          <cell r="C764" t="str">
            <v>SANTO</v>
          </cell>
          <cell r="E764">
            <v>43719</v>
          </cell>
          <cell r="F764" t="str">
            <v>L</v>
          </cell>
          <cell r="G764" t="str">
            <v>GERNIS</v>
          </cell>
          <cell r="H764">
            <v>30941</v>
          </cell>
          <cell r="I764" t="str">
            <v>36 TAHUN</v>
          </cell>
          <cell r="J764" t="str">
            <v>KRISTEN</v>
          </cell>
          <cell r="K764" t="str">
            <v>NON KONTRAKTOR</v>
          </cell>
          <cell r="L764">
            <v>2</v>
          </cell>
          <cell r="P764" t="str">
            <v>AKTIF</v>
          </cell>
          <cell r="R764" t="str">
            <v>PANEN</v>
          </cell>
          <cell r="S764" t="str">
            <v>BORONGAN</v>
          </cell>
          <cell r="T764" t="str">
            <v>TUNAI</v>
          </cell>
          <cell r="U764" t="str">
            <v>6105031609840003</v>
          </cell>
          <cell r="V764" t="str">
            <v>LOKAL</v>
          </cell>
        </row>
        <row r="765">
          <cell r="B765" t="str">
            <v>GM-00777</v>
          </cell>
          <cell r="C765" t="str">
            <v>YURINIE</v>
          </cell>
          <cell r="E765">
            <v>43717</v>
          </cell>
          <cell r="F765" t="str">
            <v>P</v>
          </cell>
          <cell r="G765" t="str">
            <v>AMOH</v>
          </cell>
          <cell r="H765">
            <v>34124</v>
          </cell>
          <cell r="I765" t="str">
            <v>27 TAHUN</v>
          </cell>
          <cell r="J765" t="str">
            <v>KRISTEN</v>
          </cell>
          <cell r="K765" t="str">
            <v>NON KONTRAKTOR</v>
          </cell>
          <cell r="L765">
            <v>5</v>
          </cell>
          <cell r="P765" t="str">
            <v>AKTIF</v>
          </cell>
          <cell r="R765" t="str">
            <v>PERAWATAN</v>
          </cell>
          <cell r="S765" t="str">
            <v>BORONGAN</v>
          </cell>
          <cell r="T765" t="str">
            <v>TUNAI</v>
          </cell>
          <cell r="U765" t="str">
            <v>6109064406930001</v>
          </cell>
          <cell r="V765" t="str">
            <v>LOKAL</v>
          </cell>
        </row>
        <row r="766">
          <cell r="B766" t="str">
            <v>GM-00778</v>
          </cell>
          <cell r="C766" t="str">
            <v>MILIYANI</v>
          </cell>
          <cell r="E766">
            <v>43717</v>
          </cell>
          <cell r="F766" t="str">
            <v>P</v>
          </cell>
          <cell r="G766" t="str">
            <v>SEBINDANG</v>
          </cell>
          <cell r="H766">
            <v>30977</v>
          </cell>
          <cell r="I766" t="str">
            <v>36 TAHUN</v>
          </cell>
          <cell r="J766" t="str">
            <v>KRISTEN</v>
          </cell>
          <cell r="K766" t="str">
            <v>NON KONTRAKTOR</v>
          </cell>
          <cell r="L766">
            <v>5</v>
          </cell>
          <cell r="M766" t="str">
            <v>MILIYANI</v>
          </cell>
          <cell r="N766">
            <v>413959220</v>
          </cell>
          <cell r="O766" t="str">
            <v>BNI</v>
          </cell>
          <cell r="P766" t="str">
            <v>AKTIF</v>
          </cell>
          <cell r="R766" t="str">
            <v>PERAWATAN</v>
          </cell>
          <cell r="S766" t="str">
            <v>BORONGAN</v>
          </cell>
          <cell r="T766" t="str">
            <v>TRANSFER</v>
          </cell>
          <cell r="U766" t="str">
            <v>6109066210840004</v>
          </cell>
          <cell r="V766" t="str">
            <v>LOKAL</v>
          </cell>
        </row>
        <row r="767">
          <cell r="B767" t="str">
            <v>GM-00779</v>
          </cell>
          <cell r="C767" t="str">
            <v>QUENI IMMANUELA</v>
          </cell>
          <cell r="E767">
            <v>43717</v>
          </cell>
          <cell r="F767" t="str">
            <v>P</v>
          </cell>
          <cell r="G767" t="str">
            <v>SENGKUANG</v>
          </cell>
          <cell r="H767">
            <v>30641</v>
          </cell>
          <cell r="I767" t="str">
            <v>37 TAHUN</v>
          </cell>
          <cell r="J767" t="str">
            <v>KRISTEN</v>
          </cell>
          <cell r="K767" t="str">
            <v>NON KONTRAKTOR</v>
          </cell>
          <cell r="L767">
            <v>5</v>
          </cell>
          <cell r="M767" t="str">
            <v>QUENI IMMANUELA</v>
          </cell>
          <cell r="N767">
            <v>954802443</v>
          </cell>
          <cell r="O767" t="str">
            <v>BNI</v>
          </cell>
          <cell r="P767" t="str">
            <v>AKTIF</v>
          </cell>
          <cell r="R767" t="str">
            <v>PERAWATAN</v>
          </cell>
          <cell r="S767" t="str">
            <v>BORONGAN</v>
          </cell>
          <cell r="T767" t="str">
            <v>TRANSFER</v>
          </cell>
          <cell r="U767" t="str">
            <v>6109066111830002</v>
          </cell>
          <cell r="V767" t="str">
            <v>LOKAL</v>
          </cell>
        </row>
        <row r="768">
          <cell r="B768" t="str">
            <v>GM-00780</v>
          </cell>
          <cell r="C768" t="str">
            <v>NENI KUSMAWATI</v>
          </cell>
          <cell r="E768">
            <v>43717</v>
          </cell>
          <cell r="F768" t="str">
            <v>P</v>
          </cell>
          <cell r="G768" t="str">
            <v>SEBINDANG</v>
          </cell>
          <cell r="H768">
            <v>31414</v>
          </cell>
          <cell r="I768" t="str">
            <v>35 TAHUN</v>
          </cell>
          <cell r="J768" t="str">
            <v>KRISTEN</v>
          </cell>
          <cell r="K768" t="str">
            <v>NON KONTRAKTOR</v>
          </cell>
          <cell r="L768">
            <v>5</v>
          </cell>
          <cell r="M768" t="str">
            <v>NENI KUSMAWATI</v>
          </cell>
          <cell r="N768">
            <v>954802410</v>
          </cell>
          <cell r="O768" t="str">
            <v>BNI</v>
          </cell>
          <cell r="P768" t="str">
            <v>AKTIF</v>
          </cell>
          <cell r="R768" t="str">
            <v>PERAWATAN</v>
          </cell>
          <cell r="S768" t="str">
            <v>BORONGAN</v>
          </cell>
          <cell r="T768" t="str">
            <v>TRANSFER</v>
          </cell>
          <cell r="U768" t="str">
            <v>6109064201860004</v>
          </cell>
          <cell r="V768" t="str">
            <v>LOKAL</v>
          </cell>
        </row>
        <row r="769">
          <cell r="B769" t="str">
            <v>GM-00781</v>
          </cell>
          <cell r="C769" t="str">
            <v>YENNI SUSILAWATI</v>
          </cell>
          <cell r="E769">
            <v>43717</v>
          </cell>
          <cell r="F769" t="str">
            <v>P</v>
          </cell>
          <cell r="G769" t="str">
            <v>SEBINDANG</v>
          </cell>
          <cell r="H769">
            <v>32466</v>
          </cell>
          <cell r="I769" t="str">
            <v>32 TAHUN</v>
          </cell>
          <cell r="J769" t="str">
            <v>KRISTEN</v>
          </cell>
          <cell r="K769" t="str">
            <v>NON KONTRAKTOR</v>
          </cell>
          <cell r="L769">
            <v>5</v>
          </cell>
          <cell r="M769" t="str">
            <v>YENNI SUSILAWATI</v>
          </cell>
          <cell r="N769">
            <v>954802409</v>
          </cell>
          <cell r="O769" t="str">
            <v>BNI</v>
          </cell>
          <cell r="P769" t="str">
            <v>AKTIF</v>
          </cell>
          <cell r="R769" t="str">
            <v>PERAWATAN</v>
          </cell>
          <cell r="S769" t="str">
            <v>BORONGAN</v>
          </cell>
          <cell r="T769" t="str">
            <v>TRANSFER</v>
          </cell>
          <cell r="U769" t="str">
            <v>6109065911880003</v>
          </cell>
          <cell r="V769" t="str">
            <v>LOKAL</v>
          </cell>
        </row>
        <row r="770">
          <cell r="B770" t="str">
            <v>GM-00782</v>
          </cell>
          <cell r="C770" t="str">
            <v>RAMAI YATI</v>
          </cell>
          <cell r="E770">
            <v>43717</v>
          </cell>
          <cell r="F770" t="str">
            <v>P</v>
          </cell>
          <cell r="G770" t="str">
            <v>PAKIT MULAU</v>
          </cell>
          <cell r="H770">
            <v>28752</v>
          </cell>
          <cell r="I770" t="str">
            <v>42 TAHUN</v>
          </cell>
          <cell r="J770" t="str">
            <v>KRISTEN</v>
          </cell>
          <cell r="K770" t="str">
            <v>NON KONTRAKTOR</v>
          </cell>
          <cell r="L770">
            <v>5</v>
          </cell>
          <cell r="M770" t="str">
            <v>RAMAI YATI</v>
          </cell>
          <cell r="N770">
            <v>1055552508</v>
          </cell>
          <cell r="O770" t="str">
            <v>BNI</v>
          </cell>
          <cell r="P770" t="str">
            <v>AKTIF</v>
          </cell>
          <cell r="R770" t="str">
            <v>PERAWATAN</v>
          </cell>
          <cell r="S770" t="str">
            <v>BORONGAN</v>
          </cell>
          <cell r="T770" t="str">
            <v>TRANSFER</v>
          </cell>
          <cell r="U770" t="str">
            <v>6109065909780003</v>
          </cell>
          <cell r="V770" t="str">
            <v>LOKAL</v>
          </cell>
        </row>
        <row r="771">
          <cell r="B771" t="str">
            <v>GM-00783</v>
          </cell>
          <cell r="C771" t="str">
            <v>NORAMI</v>
          </cell>
          <cell r="E771">
            <v>43717</v>
          </cell>
          <cell r="F771" t="str">
            <v>P</v>
          </cell>
          <cell r="G771" t="str">
            <v>ENGKUDU</v>
          </cell>
          <cell r="H771">
            <v>34513</v>
          </cell>
          <cell r="I771" t="str">
            <v>26 TAHUN</v>
          </cell>
          <cell r="J771" t="str">
            <v>KRISTEN</v>
          </cell>
          <cell r="K771" t="str">
            <v>NON KONTRAKTOR</v>
          </cell>
          <cell r="L771">
            <v>5</v>
          </cell>
          <cell r="M771" t="str">
            <v>NORAMI</v>
          </cell>
          <cell r="N771">
            <v>906222142</v>
          </cell>
          <cell r="O771" t="str">
            <v>BNI</v>
          </cell>
          <cell r="P771" t="str">
            <v>AKTIF</v>
          </cell>
          <cell r="R771" t="str">
            <v>PERAWATAN</v>
          </cell>
          <cell r="S771" t="str">
            <v>BORONGAN</v>
          </cell>
          <cell r="T771" t="str">
            <v>TRANSFER</v>
          </cell>
          <cell r="U771" t="str">
            <v>6109066806940003</v>
          </cell>
          <cell r="V771" t="str">
            <v>LOKAL</v>
          </cell>
        </row>
        <row r="772">
          <cell r="B772" t="str">
            <v>GM-00784</v>
          </cell>
          <cell r="C772" t="str">
            <v>SWAN DYOSMAN</v>
          </cell>
          <cell r="E772">
            <v>43717</v>
          </cell>
          <cell r="F772" t="str">
            <v>P</v>
          </cell>
          <cell r="G772" t="str">
            <v>TERDUK DAMPAK</v>
          </cell>
          <cell r="H772">
            <v>34239</v>
          </cell>
          <cell r="I772" t="str">
            <v>27 TAHUN</v>
          </cell>
          <cell r="J772" t="str">
            <v>KRISTEN</v>
          </cell>
          <cell r="K772" t="str">
            <v>NON KONTRAKTOR</v>
          </cell>
          <cell r="L772">
            <v>5</v>
          </cell>
          <cell r="M772" t="str">
            <v>SWAN DYOSMAN</v>
          </cell>
          <cell r="N772">
            <v>906222222</v>
          </cell>
          <cell r="O772" t="str">
            <v>BNI</v>
          </cell>
          <cell r="P772" t="str">
            <v>AKTIF</v>
          </cell>
          <cell r="R772" t="str">
            <v>PERAWATAN</v>
          </cell>
          <cell r="S772" t="str">
            <v>BORONGAN</v>
          </cell>
          <cell r="T772" t="str">
            <v>TRANSFER</v>
          </cell>
          <cell r="U772" t="str">
            <v>6109062709930004</v>
          </cell>
          <cell r="V772" t="str">
            <v>LOKAL</v>
          </cell>
        </row>
        <row r="773">
          <cell r="B773" t="str">
            <v>GM-00785</v>
          </cell>
          <cell r="C773" t="str">
            <v>ZAKARIA</v>
          </cell>
          <cell r="E773">
            <v>43717</v>
          </cell>
          <cell r="F773" t="str">
            <v>L</v>
          </cell>
          <cell r="G773" t="str">
            <v>NEK SAWAK</v>
          </cell>
          <cell r="H773">
            <v>23114</v>
          </cell>
          <cell r="I773" t="str">
            <v>57 TAHUN</v>
          </cell>
          <cell r="J773" t="str">
            <v>KRISTEN</v>
          </cell>
          <cell r="K773" t="str">
            <v>NON KONTRAKTOR</v>
          </cell>
          <cell r="L773">
            <v>5</v>
          </cell>
          <cell r="P773" t="str">
            <v>AKTIF</v>
          </cell>
          <cell r="R773" t="str">
            <v>PERAWATAN</v>
          </cell>
          <cell r="S773" t="str">
            <v>BORONGAN</v>
          </cell>
          <cell r="T773" t="str">
            <v>TUNAI</v>
          </cell>
          <cell r="U773" t="str">
            <v>6109061304630001</v>
          </cell>
          <cell r="V773" t="str">
            <v>LOKAL</v>
          </cell>
        </row>
        <row r="774">
          <cell r="B774" t="str">
            <v>GM-00786</v>
          </cell>
          <cell r="C774" t="str">
            <v>IMAWATI</v>
          </cell>
          <cell r="E774">
            <v>43717</v>
          </cell>
          <cell r="F774" t="str">
            <v>P</v>
          </cell>
          <cell r="G774" t="str">
            <v>TERDUK DAMPAK</v>
          </cell>
          <cell r="H774">
            <v>28735</v>
          </cell>
          <cell r="I774" t="str">
            <v>42 TAHUN</v>
          </cell>
          <cell r="J774" t="str">
            <v>KRISTEN</v>
          </cell>
          <cell r="K774" t="str">
            <v>NON KONTRAKTOR</v>
          </cell>
          <cell r="L774">
            <v>5</v>
          </cell>
          <cell r="P774" t="str">
            <v>AKTIF</v>
          </cell>
          <cell r="R774" t="str">
            <v>PERAWATAN</v>
          </cell>
          <cell r="S774" t="str">
            <v>BORONGAN</v>
          </cell>
          <cell r="T774" t="str">
            <v>TUNAI</v>
          </cell>
          <cell r="U774" t="str">
            <v>6109064209780004</v>
          </cell>
          <cell r="V774" t="str">
            <v>LOKAL</v>
          </cell>
        </row>
        <row r="775">
          <cell r="B775" t="str">
            <v>GM-00787</v>
          </cell>
          <cell r="C775" t="str">
            <v>TROBITA</v>
          </cell>
          <cell r="E775">
            <v>43717</v>
          </cell>
          <cell r="F775" t="str">
            <v>P</v>
          </cell>
          <cell r="G775" t="str">
            <v>SEPAUH</v>
          </cell>
          <cell r="H775">
            <v>32193</v>
          </cell>
          <cell r="I775" t="str">
            <v>32 TAHUN</v>
          </cell>
          <cell r="J775" t="str">
            <v>KRISTEN</v>
          </cell>
          <cell r="K775" t="str">
            <v>NON KONTRAKTOR</v>
          </cell>
          <cell r="L775">
            <v>5</v>
          </cell>
          <cell r="P775" t="str">
            <v>AKTIF</v>
          </cell>
          <cell r="R775" t="str">
            <v>PERAWATAN</v>
          </cell>
          <cell r="S775" t="str">
            <v>BORONGAN</v>
          </cell>
          <cell r="T775" t="str">
            <v>TUNAI</v>
          </cell>
          <cell r="U775" t="str">
            <v>6109068002880002</v>
          </cell>
          <cell r="V775" t="str">
            <v>LOKAL</v>
          </cell>
        </row>
        <row r="776">
          <cell r="B776" t="str">
            <v>GM-00788</v>
          </cell>
          <cell r="C776" t="str">
            <v>LUDIA</v>
          </cell>
          <cell r="E776">
            <v>43717</v>
          </cell>
          <cell r="F776" t="str">
            <v>P</v>
          </cell>
          <cell r="G776" t="str">
            <v>KEDANG</v>
          </cell>
          <cell r="H776">
            <v>31497</v>
          </cell>
          <cell r="I776" t="str">
            <v>34 TAHUN</v>
          </cell>
          <cell r="J776" t="str">
            <v>KRISTEN</v>
          </cell>
          <cell r="K776" t="str">
            <v>NON KONTRAKTOR</v>
          </cell>
          <cell r="L776">
            <v>5</v>
          </cell>
          <cell r="P776" t="str">
            <v>AKTIF</v>
          </cell>
          <cell r="R776" t="str">
            <v>PERAWATAN</v>
          </cell>
          <cell r="S776" t="str">
            <v>BORONGAN</v>
          </cell>
          <cell r="T776" t="str">
            <v>TUNAI</v>
          </cell>
          <cell r="U776" t="str">
            <v>6109066603860001</v>
          </cell>
          <cell r="V776" t="str">
            <v>LOKAL</v>
          </cell>
        </row>
        <row r="777">
          <cell r="B777" t="str">
            <v>GM-00789</v>
          </cell>
          <cell r="C777" t="str">
            <v>MUHAMMAD AGUS ALI</v>
          </cell>
          <cell r="E777">
            <v>43725</v>
          </cell>
          <cell r="F777" t="str">
            <v>L</v>
          </cell>
          <cell r="G777" t="str">
            <v>SEMARANG</v>
          </cell>
          <cell r="H777">
            <v>37059</v>
          </cell>
          <cell r="I777" t="str">
            <v>19 TAHUN</v>
          </cell>
          <cell r="J777" t="str">
            <v>ISLAM</v>
          </cell>
          <cell r="K777" t="str">
            <v>NURSAIL</v>
          </cell>
          <cell r="L777">
            <v>3</v>
          </cell>
          <cell r="P777" t="str">
            <v>NON AKTIF</v>
          </cell>
          <cell r="R777" t="str">
            <v>PANEN</v>
          </cell>
          <cell r="S777" t="str">
            <v>BORONGAN</v>
          </cell>
          <cell r="T777" t="str">
            <v>TUNAI</v>
          </cell>
          <cell r="V777" t="str">
            <v>AKAD</v>
          </cell>
        </row>
        <row r="778">
          <cell r="B778" t="str">
            <v>GM-00790</v>
          </cell>
          <cell r="C778" t="str">
            <v>WIDADI</v>
          </cell>
          <cell r="E778">
            <v>43725</v>
          </cell>
          <cell r="F778" t="str">
            <v>L</v>
          </cell>
          <cell r="G778" t="str">
            <v>GUNUNG KIDUL</v>
          </cell>
          <cell r="H778">
            <v>31893</v>
          </cell>
          <cell r="I778" t="str">
            <v>33 TAHUN</v>
          </cell>
          <cell r="J778" t="str">
            <v>ISLAM</v>
          </cell>
          <cell r="K778" t="str">
            <v>NON AKTIF</v>
          </cell>
          <cell r="L778">
            <v>3</v>
          </cell>
          <cell r="P778" t="str">
            <v>NON AKTIF</v>
          </cell>
          <cell r="Q778">
            <v>43782</v>
          </cell>
          <cell r="R778" t="str">
            <v>PANEN</v>
          </cell>
          <cell r="S778" t="str">
            <v>BORONGAN</v>
          </cell>
          <cell r="T778" t="str">
            <v>TUNAI</v>
          </cell>
          <cell r="V778" t="str">
            <v>AKAD</v>
          </cell>
        </row>
        <row r="779">
          <cell r="B779" t="str">
            <v>GM-00791</v>
          </cell>
          <cell r="C779" t="str">
            <v>TOTOK CAHYO SUWARNO</v>
          </cell>
          <cell r="E779">
            <v>43725</v>
          </cell>
          <cell r="F779" t="str">
            <v>L</v>
          </cell>
          <cell r="G779" t="str">
            <v>GUNUNG KIDUL</v>
          </cell>
          <cell r="H779">
            <v>30102</v>
          </cell>
          <cell r="I779" t="str">
            <v>38 TAHUN</v>
          </cell>
          <cell r="J779" t="str">
            <v>ISLAM</v>
          </cell>
          <cell r="K779" t="str">
            <v>NON AKTIF</v>
          </cell>
          <cell r="L779">
            <v>3</v>
          </cell>
          <cell r="P779" t="str">
            <v>NON AKTIF</v>
          </cell>
          <cell r="Q779">
            <v>43782</v>
          </cell>
          <cell r="R779" t="str">
            <v>PANEN</v>
          </cell>
          <cell r="S779" t="str">
            <v>BORONGAN</v>
          </cell>
          <cell r="T779" t="str">
            <v>TUNAI</v>
          </cell>
          <cell r="V779" t="str">
            <v>AKAD</v>
          </cell>
        </row>
        <row r="780">
          <cell r="B780" t="str">
            <v>GM-00792</v>
          </cell>
          <cell r="C780" t="str">
            <v>TURINO</v>
          </cell>
          <cell r="E780">
            <v>43725</v>
          </cell>
          <cell r="F780" t="str">
            <v>L</v>
          </cell>
          <cell r="G780" t="str">
            <v>KEBUMEN</v>
          </cell>
          <cell r="H780">
            <v>33238</v>
          </cell>
          <cell r="I780" t="str">
            <v>30 TAHUN</v>
          </cell>
          <cell r="J780" t="str">
            <v>ISLAM</v>
          </cell>
          <cell r="K780" t="str">
            <v>NURSAIL</v>
          </cell>
          <cell r="L780">
            <v>3</v>
          </cell>
          <cell r="M780" t="str">
            <v>TURINO</v>
          </cell>
          <cell r="N780">
            <v>912301195</v>
          </cell>
          <cell r="O780" t="str">
            <v>BNI</v>
          </cell>
          <cell r="P780" t="str">
            <v>AKTIF</v>
          </cell>
          <cell r="R780" t="str">
            <v>PANEN</v>
          </cell>
          <cell r="S780" t="str">
            <v>BORONGAN</v>
          </cell>
          <cell r="T780" t="str">
            <v>TRANSFER</v>
          </cell>
          <cell r="V780" t="str">
            <v>AKAD</v>
          </cell>
        </row>
        <row r="781">
          <cell r="B781" t="str">
            <v>GM-00793</v>
          </cell>
          <cell r="C781" t="str">
            <v>FAUZAN AZWADI</v>
          </cell>
          <cell r="E781">
            <v>43745</v>
          </cell>
          <cell r="F781" t="str">
            <v>L</v>
          </cell>
          <cell r="G781" t="str">
            <v>LABUHAN HAJI</v>
          </cell>
          <cell r="H781">
            <v>34121</v>
          </cell>
          <cell r="I781" t="str">
            <v>27 TAHUN</v>
          </cell>
          <cell r="J781" t="str">
            <v>ISLAM</v>
          </cell>
          <cell r="K781" t="str">
            <v>NON KONTRAKTOR</v>
          </cell>
          <cell r="L781">
            <v>4</v>
          </cell>
          <cell r="P781" t="str">
            <v>AKTIF</v>
          </cell>
          <cell r="R781" t="str">
            <v>PERAWATAN</v>
          </cell>
          <cell r="S781" t="str">
            <v>BORONGAN</v>
          </cell>
          <cell r="T781" t="str">
            <v>TUNAI</v>
          </cell>
          <cell r="U781" t="str">
            <v>203172006940005</v>
          </cell>
          <cell r="V781" t="str">
            <v>LOKAL</v>
          </cell>
        </row>
        <row r="782">
          <cell r="B782" t="str">
            <v>GM-00794</v>
          </cell>
          <cell r="C782" t="str">
            <v>MEI SUSANTO</v>
          </cell>
          <cell r="E782">
            <v>43745</v>
          </cell>
          <cell r="F782" t="str">
            <v>L</v>
          </cell>
          <cell r="G782" t="str">
            <v>SANGGAU</v>
          </cell>
          <cell r="H782">
            <v>34455</v>
          </cell>
          <cell r="I782" t="str">
            <v>26 TAHUN</v>
          </cell>
          <cell r="J782" t="str">
            <v>ISLAM</v>
          </cell>
          <cell r="K782" t="str">
            <v>SELIKI</v>
          </cell>
          <cell r="L782">
            <v>4</v>
          </cell>
          <cell r="P782" t="str">
            <v>AKTIF</v>
          </cell>
          <cell r="R782" t="str">
            <v>PANEN</v>
          </cell>
          <cell r="S782" t="str">
            <v>BORONGAN</v>
          </cell>
          <cell r="T782" t="str">
            <v>TUNAI</v>
          </cell>
          <cell r="U782" t="str">
            <v>6103021005940001</v>
          </cell>
          <cell r="V782" t="str">
            <v>LOKAL</v>
          </cell>
        </row>
        <row r="783">
          <cell r="B783" t="str">
            <v>GM-00795</v>
          </cell>
          <cell r="C783" t="str">
            <v>SURYANI</v>
          </cell>
          <cell r="E783">
            <v>43745</v>
          </cell>
          <cell r="F783" t="str">
            <v>P</v>
          </cell>
          <cell r="G783" t="str">
            <v>AMOH</v>
          </cell>
          <cell r="H783">
            <v>26439</v>
          </cell>
          <cell r="I783" t="str">
            <v>48 TAHUN</v>
          </cell>
          <cell r="J783" t="str">
            <v>KRISTEN</v>
          </cell>
          <cell r="K783" t="str">
            <v>NON KONTRAKTOR</v>
          </cell>
          <cell r="L783">
            <v>4</v>
          </cell>
          <cell r="M783" t="str">
            <v>SURYANI</v>
          </cell>
          <cell r="N783">
            <v>984424475</v>
          </cell>
          <cell r="O783" t="str">
            <v>BNI</v>
          </cell>
          <cell r="P783" t="str">
            <v>AKTIF</v>
          </cell>
          <cell r="R783" t="str">
            <v>PERAWATAN</v>
          </cell>
          <cell r="S783" t="str">
            <v>BORONGAN</v>
          </cell>
          <cell r="T783" t="str">
            <v>TRANSFER</v>
          </cell>
          <cell r="U783" t="str">
            <v>6109066005720008</v>
          </cell>
          <cell r="V783" t="str">
            <v>LOKAL</v>
          </cell>
        </row>
        <row r="784">
          <cell r="B784" t="str">
            <v>GM-00796</v>
          </cell>
          <cell r="C784" t="str">
            <v>JELAWAI</v>
          </cell>
          <cell r="E784">
            <v>43745</v>
          </cell>
          <cell r="F784" t="str">
            <v>P</v>
          </cell>
          <cell r="G784" t="str">
            <v>JUNAK</v>
          </cell>
          <cell r="H784">
            <v>26694</v>
          </cell>
          <cell r="I784" t="str">
            <v>47 TAHUN</v>
          </cell>
          <cell r="J784" t="str">
            <v>KRISTEN</v>
          </cell>
          <cell r="K784" t="str">
            <v>NON KONTRAKTOR</v>
          </cell>
          <cell r="L784">
            <v>4</v>
          </cell>
          <cell r="M784" t="str">
            <v>JELAWAI</v>
          </cell>
          <cell r="N784">
            <v>984424453</v>
          </cell>
          <cell r="O784" t="str">
            <v>BNI</v>
          </cell>
          <cell r="P784" t="str">
            <v>AKTIF</v>
          </cell>
          <cell r="R784" t="str">
            <v>PERAWATAN</v>
          </cell>
          <cell r="S784" t="str">
            <v>BORONGAN</v>
          </cell>
          <cell r="T784" t="str">
            <v>TRANSFER</v>
          </cell>
          <cell r="U784" t="str">
            <v>6109067001730006</v>
          </cell>
          <cell r="V784" t="str">
            <v>LOKAL</v>
          </cell>
        </row>
        <row r="785">
          <cell r="B785" t="str">
            <v>GM-00797</v>
          </cell>
          <cell r="C785" t="str">
            <v>RIKI SISWANTO</v>
          </cell>
          <cell r="E785">
            <v>43745</v>
          </cell>
          <cell r="F785" t="str">
            <v>L</v>
          </cell>
          <cell r="G785" t="str">
            <v>SP IV ANSAR</v>
          </cell>
          <cell r="H785">
            <v>36422</v>
          </cell>
          <cell r="I785" t="str">
            <v>21 TAHUN</v>
          </cell>
          <cell r="J785" t="str">
            <v>KRISTEN</v>
          </cell>
          <cell r="K785" t="str">
            <v>NON KONTRAKTOR</v>
          </cell>
          <cell r="L785">
            <v>4</v>
          </cell>
          <cell r="P785" t="str">
            <v>AKTIF</v>
          </cell>
          <cell r="R785" t="str">
            <v>PERAWATAN</v>
          </cell>
          <cell r="S785" t="str">
            <v>BORONGAN</v>
          </cell>
          <cell r="T785" t="str">
            <v>TUNAI</v>
          </cell>
          <cell r="U785" t="str">
            <v>6109071909990002</v>
          </cell>
          <cell r="V785" t="str">
            <v>LOKAL</v>
          </cell>
        </row>
        <row r="786">
          <cell r="B786" t="str">
            <v>GM-00798</v>
          </cell>
          <cell r="C786" t="str">
            <v>AJUN</v>
          </cell>
          <cell r="D786" t="str">
            <v>BARAK G10 DIV 5</v>
          </cell>
          <cell r="E786">
            <v>43745</v>
          </cell>
          <cell r="F786" t="str">
            <v>L</v>
          </cell>
          <cell r="G786" t="str">
            <v>SP IV ANSAR</v>
          </cell>
          <cell r="H786">
            <v>35204</v>
          </cell>
          <cell r="I786" t="str">
            <v>24 TAHUN</v>
          </cell>
          <cell r="J786" t="str">
            <v>KRISTEN</v>
          </cell>
          <cell r="K786" t="str">
            <v>NON KONTRAKTOR</v>
          </cell>
          <cell r="L786">
            <v>4</v>
          </cell>
          <cell r="P786" t="str">
            <v>AKTIF</v>
          </cell>
          <cell r="R786" t="str">
            <v>PERAWATAN</v>
          </cell>
          <cell r="S786" t="str">
            <v>BORONGAN</v>
          </cell>
          <cell r="T786" t="str">
            <v>TUNAI</v>
          </cell>
          <cell r="U786" t="str">
            <v>6109071905950001</v>
          </cell>
          <cell r="V786" t="str">
            <v>LOKAL</v>
          </cell>
        </row>
        <row r="787">
          <cell r="B787" t="str">
            <v>GM-00799</v>
          </cell>
          <cell r="C787" t="str">
            <v>ANDREANUS  AGUNG</v>
          </cell>
          <cell r="E787">
            <v>43745</v>
          </cell>
          <cell r="F787" t="str">
            <v>L</v>
          </cell>
          <cell r="G787" t="str">
            <v>SP IV ANSAR</v>
          </cell>
          <cell r="H787">
            <v>37225</v>
          </cell>
          <cell r="I787" t="str">
            <v>19 TAHUN</v>
          </cell>
          <cell r="J787" t="str">
            <v>KATHOLIK</v>
          </cell>
          <cell r="K787" t="str">
            <v>SELIKI</v>
          </cell>
          <cell r="L787">
            <v>4</v>
          </cell>
          <cell r="P787" t="str">
            <v>AKTIF</v>
          </cell>
          <cell r="R787" t="str">
            <v>PERAWATAN</v>
          </cell>
          <cell r="S787" t="str">
            <v>BORONGAN</v>
          </cell>
          <cell r="T787" t="str">
            <v>TUNAI</v>
          </cell>
          <cell r="U787" t="str">
            <v>6109073011010004</v>
          </cell>
          <cell r="V787" t="str">
            <v>LOKAL</v>
          </cell>
        </row>
        <row r="788">
          <cell r="B788" t="str">
            <v>GM-00800</v>
          </cell>
          <cell r="C788" t="str">
            <v>HENDRIANUS DONI</v>
          </cell>
          <cell r="E788">
            <v>43745</v>
          </cell>
          <cell r="F788" t="str">
            <v>L</v>
          </cell>
          <cell r="G788" t="str">
            <v>SP IV ANSAR</v>
          </cell>
          <cell r="H788">
            <v>36553</v>
          </cell>
          <cell r="I788" t="str">
            <v>21 TAHUN</v>
          </cell>
          <cell r="J788" t="str">
            <v>KRISTEN</v>
          </cell>
          <cell r="K788" t="str">
            <v>SELIKI</v>
          </cell>
          <cell r="L788">
            <v>4</v>
          </cell>
          <cell r="P788" t="str">
            <v>AKTIF</v>
          </cell>
          <cell r="R788" t="str">
            <v>PERAWATAN</v>
          </cell>
          <cell r="S788" t="str">
            <v>BORONGAN</v>
          </cell>
          <cell r="T788" t="str">
            <v>TUNAI</v>
          </cell>
          <cell r="U788" t="str">
            <v>6109072801000002</v>
          </cell>
          <cell r="V788" t="str">
            <v>LOKAL</v>
          </cell>
        </row>
        <row r="789">
          <cell r="B789" t="str">
            <v>GM-00801</v>
          </cell>
          <cell r="C789" t="str">
            <v>BENNI ROBINSON</v>
          </cell>
          <cell r="E789">
            <v>43748</v>
          </cell>
          <cell r="F789" t="str">
            <v>L</v>
          </cell>
          <cell r="G789" t="str">
            <v>TERDUK DAMPAK</v>
          </cell>
          <cell r="H789">
            <v>37653</v>
          </cell>
          <cell r="I789" t="str">
            <v>17 TAHUN</v>
          </cell>
          <cell r="J789" t="str">
            <v>KRISTEN</v>
          </cell>
          <cell r="K789" t="str">
            <v>NON KONTRAKTOR</v>
          </cell>
          <cell r="L789">
            <v>5</v>
          </cell>
          <cell r="P789" t="str">
            <v>AKTIF</v>
          </cell>
          <cell r="R789" t="str">
            <v>PERAWATAN</v>
          </cell>
          <cell r="S789" t="str">
            <v>BORONGAN</v>
          </cell>
          <cell r="T789" t="str">
            <v>TUNAI</v>
          </cell>
          <cell r="U789" t="str">
            <v>6109060102030007</v>
          </cell>
          <cell r="V789" t="str">
            <v>LOKAL</v>
          </cell>
        </row>
        <row r="790">
          <cell r="B790" t="str">
            <v>GM-00802</v>
          </cell>
          <cell r="C790" t="str">
            <v>NIKODEMUS</v>
          </cell>
          <cell r="E790">
            <v>43752</v>
          </cell>
          <cell r="F790" t="str">
            <v>L</v>
          </cell>
          <cell r="I790" t="str">
            <v>121 TAHUN</v>
          </cell>
          <cell r="J790" t="str">
            <v>KRISTEN</v>
          </cell>
          <cell r="K790" t="str">
            <v>NON KONTRAKTOR</v>
          </cell>
          <cell r="L790">
            <v>1</v>
          </cell>
          <cell r="M790" t="str">
            <v>NIKODEMUS</v>
          </cell>
          <cell r="N790">
            <v>865256528</v>
          </cell>
          <cell r="O790" t="str">
            <v>BNI</v>
          </cell>
          <cell r="P790" t="str">
            <v>AKTIF</v>
          </cell>
          <cell r="R790" t="str">
            <v>PERAWATAN</v>
          </cell>
          <cell r="S790" t="str">
            <v>BORONGAN</v>
          </cell>
          <cell r="T790" t="str">
            <v>TRANSFER</v>
          </cell>
          <cell r="V790" t="str">
            <v>LOKAL</v>
          </cell>
        </row>
        <row r="791">
          <cell r="B791" t="str">
            <v>GM-00803</v>
          </cell>
          <cell r="C791" t="str">
            <v>SAHRUM</v>
          </cell>
          <cell r="E791">
            <v>43752</v>
          </cell>
          <cell r="F791" t="str">
            <v>L</v>
          </cell>
          <cell r="G791" t="str">
            <v>ONTOK</v>
          </cell>
          <cell r="H791">
            <v>29421</v>
          </cell>
          <cell r="I791" t="str">
            <v>40 TAHUN</v>
          </cell>
          <cell r="J791" t="str">
            <v>ISLAM</v>
          </cell>
          <cell r="K791" t="str">
            <v>NON AKTIF</v>
          </cell>
          <cell r="L791">
            <v>2</v>
          </cell>
          <cell r="P791" t="str">
            <v>NON AKTIF</v>
          </cell>
          <cell r="Q791">
            <v>43761</v>
          </cell>
          <cell r="R791" t="str">
            <v>PANEN</v>
          </cell>
          <cell r="S791" t="str">
            <v>BORONGAN</v>
          </cell>
          <cell r="T791" t="str">
            <v>TUNAI</v>
          </cell>
          <cell r="V791" t="str">
            <v>AKAD</v>
          </cell>
        </row>
        <row r="792">
          <cell r="B792" t="str">
            <v>GM-00804</v>
          </cell>
          <cell r="C792" t="str">
            <v>HASBUN</v>
          </cell>
          <cell r="E792">
            <v>43752</v>
          </cell>
          <cell r="F792" t="str">
            <v>L</v>
          </cell>
          <cell r="G792" t="str">
            <v>KARANG PAOK</v>
          </cell>
          <cell r="H792">
            <v>35977</v>
          </cell>
          <cell r="I792" t="str">
            <v>22 TAHUN</v>
          </cell>
          <cell r="J792" t="str">
            <v>ISLAM</v>
          </cell>
          <cell r="K792" t="str">
            <v>NON AKTIF</v>
          </cell>
          <cell r="L792">
            <v>2</v>
          </cell>
          <cell r="P792" t="str">
            <v>NON AKTIF</v>
          </cell>
          <cell r="Q792">
            <v>43761</v>
          </cell>
          <cell r="R792" t="str">
            <v>PERAWATAN</v>
          </cell>
          <cell r="S792" t="str">
            <v>BORONGAN</v>
          </cell>
          <cell r="T792" t="str">
            <v>TUNAI</v>
          </cell>
          <cell r="V792" t="str">
            <v>AKAD</v>
          </cell>
        </row>
        <row r="793">
          <cell r="B793" t="str">
            <v>GM-00805</v>
          </cell>
          <cell r="C793" t="str">
            <v>LALU MAHYUDIN</v>
          </cell>
          <cell r="D793" t="str">
            <v>BARAK G10 DIV 1</v>
          </cell>
          <cell r="E793">
            <v>43752</v>
          </cell>
          <cell r="F793" t="str">
            <v>L</v>
          </cell>
          <cell r="G793" t="str">
            <v>SEKOTONG</v>
          </cell>
          <cell r="H793">
            <v>23491</v>
          </cell>
          <cell r="I793" t="str">
            <v>56 TAHUN</v>
          </cell>
          <cell r="J793" t="str">
            <v>ISLAM</v>
          </cell>
          <cell r="K793" t="str">
            <v>NURSAIL</v>
          </cell>
          <cell r="L793">
            <v>1</v>
          </cell>
          <cell r="P793" t="str">
            <v>AKTIF</v>
          </cell>
          <cell r="R793" t="str">
            <v>PANEN</v>
          </cell>
          <cell r="S793" t="str">
            <v>BORONGAN</v>
          </cell>
          <cell r="T793" t="str">
            <v>TUNAI</v>
          </cell>
          <cell r="V793" t="str">
            <v>AKAD</v>
          </cell>
        </row>
        <row r="794">
          <cell r="B794" t="str">
            <v>GM-00806</v>
          </cell>
          <cell r="C794" t="str">
            <v>MUHAMAD JAELANI</v>
          </cell>
          <cell r="E794">
            <v>43752</v>
          </cell>
          <cell r="F794" t="str">
            <v>L</v>
          </cell>
          <cell r="G794" t="str">
            <v>MENTORE</v>
          </cell>
          <cell r="H794">
            <v>22281</v>
          </cell>
          <cell r="I794" t="str">
            <v>60 TAHUN</v>
          </cell>
          <cell r="J794" t="str">
            <v>ISLAM</v>
          </cell>
          <cell r="K794" t="str">
            <v>NON AKTIF</v>
          </cell>
          <cell r="L794">
            <v>2</v>
          </cell>
          <cell r="P794" t="str">
            <v>NON AKTIF</v>
          </cell>
          <cell r="Q794">
            <v>43761</v>
          </cell>
          <cell r="R794" t="str">
            <v>PANEN</v>
          </cell>
          <cell r="S794" t="str">
            <v>BORONGAN</v>
          </cell>
          <cell r="T794" t="str">
            <v>TUNAI</v>
          </cell>
          <cell r="V794" t="str">
            <v>AKAD</v>
          </cell>
        </row>
        <row r="795">
          <cell r="B795" t="str">
            <v>GM-00807</v>
          </cell>
          <cell r="C795" t="str">
            <v>MUHAMMAD JAINUDIN</v>
          </cell>
          <cell r="E795">
            <v>43752</v>
          </cell>
          <cell r="F795" t="str">
            <v>L</v>
          </cell>
          <cell r="G795" t="str">
            <v>MUJUR</v>
          </cell>
          <cell r="H795">
            <v>29138</v>
          </cell>
          <cell r="I795" t="str">
            <v>41 TAHUN</v>
          </cell>
          <cell r="J795" t="str">
            <v>ISLAM</v>
          </cell>
          <cell r="K795" t="str">
            <v>NON AKTIF</v>
          </cell>
          <cell r="L795">
            <v>2</v>
          </cell>
          <cell r="P795" t="str">
            <v>NON AKTIF</v>
          </cell>
          <cell r="R795" t="str">
            <v>PERAWATAN</v>
          </cell>
          <cell r="S795" t="str">
            <v>BORONGAN</v>
          </cell>
          <cell r="T795" t="str">
            <v>TUNAI</v>
          </cell>
          <cell r="V795" t="str">
            <v>AKAD</v>
          </cell>
        </row>
        <row r="796">
          <cell r="B796" t="str">
            <v>GM-00808</v>
          </cell>
          <cell r="C796" t="str">
            <v>RIAN</v>
          </cell>
          <cell r="E796">
            <v>43752</v>
          </cell>
          <cell r="F796" t="str">
            <v>L</v>
          </cell>
          <cell r="I796" t="str">
            <v>121 TAHUN</v>
          </cell>
          <cell r="J796" t="str">
            <v>ISLAM</v>
          </cell>
          <cell r="K796" t="str">
            <v>NON AKTIF</v>
          </cell>
          <cell r="L796">
            <v>2</v>
          </cell>
          <cell r="P796" t="str">
            <v>NON AKTIF</v>
          </cell>
          <cell r="Q796">
            <v>43761</v>
          </cell>
          <cell r="R796" t="str">
            <v>PANEN</v>
          </cell>
          <cell r="S796" t="str">
            <v>BORONGAN</v>
          </cell>
          <cell r="T796" t="str">
            <v>TUNAI</v>
          </cell>
          <cell r="V796" t="str">
            <v>AKAD</v>
          </cell>
        </row>
        <row r="797">
          <cell r="B797" t="str">
            <v>GM-00809</v>
          </cell>
          <cell r="C797" t="str">
            <v>LALU BAWE</v>
          </cell>
          <cell r="E797">
            <v>43752</v>
          </cell>
          <cell r="F797" t="str">
            <v>L</v>
          </cell>
          <cell r="I797" t="str">
            <v>121 TAHUN</v>
          </cell>
          <cell r="J797" t="str">
            <v>ISLAM</v>
          </cell>
          <cell r="K797" t="str">
            <v>NON AKTIF</v>
          </cell>
          <cell r="L797">
            <v>2</v>
          </cell>
          <cell r="P797" t="str">
            <v>NON AKTIF</v>
          </cell>
          <cell r="Q797">
            <v>43761</v>
          </cell>
          <cell r="R797" t="str">
            <v>PANEN</v>
          </cell>
          <cell r="S797" t="str">
            <v>BORONGAN</v>
          </cell>
          <cell r="T797" t="str">
            <v>TUNAI</v>
          </cell>
          <cell r="V797" t="str">
            <v>AKAD</v>
          </cell>
        </row>
        <row r="798">
          <cell r="B798" t="str">
            <v>GM-00810</v>
          </cell>
          <cell r="C798" t="str">
            <v>PETRUS KIRAN</v>
          </cell>
          <cell r="E798">
            <v>43754</v>
          </cell>
          <cell r="F798" t="str">
            <v>L</v>
          </cell>
          <cell r="G798" t="str">
            <v>SUNGAI MAWANG</v>
          </cell>
          <cell r="H798">
            <v>22095</v>
          </cell>
          <cell r="I798" t="str">
            <v>60 TAHUN</v>
          </cell>
          <cell r="J798" t="str">
            <v>KATHOLIK</v>
          </cell>
          <cell r="K798" t="str">
            <v>NON KONTRAKTOR</v>
          </cell>
          <cell r="L798">
            <v>4</v>
          </cell>
          <cell r="P798" t="str">
            <v>AKTIF</v>
          </cell>
          <cell r="R798" t="str">
            <v>PERAWATAN</v>
          </cell>
          <cell r="S798" t="str">
            <v>BORONGAN</v>
          </cell>
          <cell r="T798" t="str">
            <v>TUNAI</v>
          </cell>
          <cell r="U798" t="str">
            <v>6103022806600001</v>
          </cell>
          <cell r="V798" t="str">
            <v>LOKAL</v>
          </cell>
        </row>
        <row r="799">
          <cell r="B799" t="str">
            <v>GM-00811</v>
          </cell>
          <cell r="C799" t="str">
            <v>AMBROSIUS BAEN</v>
          </cell>
          <cell r="E799">
            <v>43754</v>
          </cell>
          <cell r="F799" t="str">
            <v>L</v>
          </cell>
          <cell r="G799" t="str">
            <v>RANDAU</v>
          </cell>
          <cell r="H799">
            <v>23877</v>
          </cell>
          <cell r="I799" t="str">
            <v>55 TAHUN</v>
          </cell>
          <cell r="J799" t="str">
            <v>KATHOLIK</v>
          </cell>
          <cell r="K799" t="str">
            <v>NON KONTRAKTOR</v>
          </cell>
          <cell r="L799">
            <v>4</v>
          </cell>
          <cell r="P799" t="str">
            <v>AKTIF</v>
          </cell>
          <cell r="R799" t="str">
            <v>PERAWATAN</v>
          </cell>
          <cell r="S799" t="str">
            <v>BORONGAN</v>
          </cell>
          <cell r="T799" t="str">
            <v>TUNAI</v>
          </cell>
          <cell r="U799" t="str">
            <v>6109061505650003</v>
          </cell>
          <cell r="V799" t="str">
            <v>LOKAL</v>
          </cell>
        </row>
        <row r="800">
          <cell r="B800" t="str">
            <v>GM-00812</v>
          </cell>
          <cell r="C800" t="str">
            <v>MALADI</v>
          </cell>
          <cell r="E800">
            <v>43754</v>
          </cell>
          <cell r="F800" t="str">
            <v>L</v>
          </cell>
          <cell r="G800" t="str">
            <v>ROBA SEIRI</v>
          </cell>
          <cell r="H800">
            <v>25883</v>
          </cell>
          <cell r="I800" t="str">
            <v>50 TAHUN</v>
          </cell>
          <cell r="J800" t="str">
            <v>KRISTEN</v>
          </cell>
          <cell r="K800" t="str">
            <v>NON KONTRAKTOR</v>
          </cell>
          <cell r="L800">
            <v>4</v>
          </cell>
          <cell r="P800" t="str">
            <v>AKTIF</v>
          </cell>
          <cell r="R800" t="str">
            <v>PERAWATAN</v>
          </cell>
          <cell r="S800" t="str">
            <v>BORONGAN</v>
          </cell>
          <cell r="T800" t="str">
            <v>TUNAI</v>
          </cell>
          <cell r="U800" t="str">
            <v>6109061111700003</v>
          </cell>
          <cell r="V800" t="str">
            <v>LOKAL</v>
          </cell>
        </row>
        <row r="801">
          <cell r="B801" t="str">
            <v>GM-00813</v>
          </cell>
          <cell r="C801" t="str">
            <v>MARIANUS MIRON</v>
          </cell>
          <cell r="E801">
            <v>43754</v>
          </cell>
          <cell r="F801" t="str">
            <v>L</v>
          </cell>
          <cell r="G801" t="str">
            <v>SUNGAI MAWANG</v>
          </cell>
          <cell r="H801">
            <v>36715</v>
          </cell>
          <cell r="I801" t="str">
            <v>20 TAHUN</v>
          </cell>
          <cell r="J801" t="str">
            <v>KATHOLIK</v>
          </cell>
          <cell r="K801" t="str">
            <v>NON KONTRAKTOR</v>
          </cell>
          <cell r="L801">
            <v>4</v>
          </cell>
          <cell r="P801" t="str">
            <v>AKTIF</v>
          </cell>
          <cell r="R801" t="str">
            <v>PERAWATAN</v>
          </cell>
          <cell r="S801" t="str">
            <v>BORONGAN</v>
          </cell>
          <cell r="T801" t="str">
            <v>TUNAI</v>
          </cell>
          <cell r="U801" t="str">
            <v>6103020807000001</v>
          </cell>
          <cell r="V801" t="str">
            <v>LOKAL</v>
          </cell>
        </row>
        <row r="802">
          <cell r="B802" t="str">
            <v>GM-00814</v>
          </cell>
          <cell r="C802" t="str">
            <v>DARIUS SEKIUS</v>
          </cell>
          <cell r="E802">
            <v>43754</v>
          </cell>
          <cell r="F802" t="str">
            <v>L</v>
          </cell>
          <cell r="G802" t="str">
            <v>MERAKAI</v>
          </cell>
          <cell r="H802">
            <v>25796</v>
          </cell>
          <cell r="I802" t="str">
            <v>50 TAHUN</v>
          </cell>
          <cell r="J802" t="str">
            <v>KATHOLIK</v>
          </cell>
          <cell r="K802" t="str">
            <v>NON KONTRAKTOR</v>
          </cell>
          <cell r="L802">
            <v>4</v>
          </cell>
          <cell r="P802" t="str">
            <v>AKTIF</v>
          </cell>
          <cell r="R802" t="str">
            <v>PERAWATAN</v>
          </cell>
          <cell r="S802" t="str">
            <v>BORONGAN</v>
          </cell>
          <cell r="T802" t="str">
            <v>TUNAI</v>
          </cell>
          <cell r="U802" t="str">
            <v>6109061608700002</v>
          </cell>
          <cell r="V802" t="str">
            <v>LOKAL</v>
          </cell>
        </row>
        <row r="803">
          <cell r="B803" t="str">
            <v>GM-00815</v>
          </cell>
          <cell r="C803" t="str">
            <v xml:space="preserve">MATIUS </v>
          </cell>
          <cell r="E803">
            <v>43754</v>
          </cell>
          <cell r="F803" t="str">
            <v>L</v>
          </cell>
          <cell r="G803" t="str">
            <v>BANTU AMPAR</v>
          </cell>
          <cell r="H803">
            <v>34840</v>
          </cell>
          <cell r="I803" t="str">
            <v>25 TAHUN</v>
          </cell>
          <cell r="J803" t="str">
            <v>KRISTEN</v>
          </cell>
          <cell r="K803" t="str">
            <v>NON KONTRAKTOR</v>
          </cell>
          <cell r="L803">
            <v>4</v>
          </cell>
          <cell r="P803" t="str">
            <v>AKTIF</v>
          </cell>
          <cell r="R803" t="str">
            <v>PERAWATAN</v>
          </cell>
          <cell r="S803" t="str">
            <v>BORONGAN</v>
          </cell>
          <cell r="T803" t="str">
            <v>TUNAI</v>
          </cell>
          <cell r="U803" t="str">
            <v>6109062105950002</v>
          </cell>
          <cell r="V803" t="str">
            <v>LOKAL</v>
          </cell>
        </row>
        <row r="804">
          <cell r="B804" t="str">
            <v>GM-00816</v>
          </cell>
          <cell r="C804" t="str">
            <v>KRISTINA NATALIA</v>
          </cell>
          <cell r="E804">
            <v>43762</v>
          </cell>
          <cell r="F804" t="str">
            <v>P</v>
          </cell>
          <cell r="G804" t="str">
            <v>BEMBAN</v>
          </cell>
          <cell r="H804">
            <v>31772</v>
          </cell>
          <cell r="I804" t="str">
            <v>34 TAHUN</v>
          </cell>
          <cell r="J804" t="str">
            <v>KRISTEN</v>
          </cell>
          <cell r="K804" t="str">
            <v>NON KONTRAKTOR</v>
          </cell>
          <cell r="L804">
            <v>1</v>
          </cell>
          <cell r="P804" t="str">
            <v>AKTIF</v>
          </cell>
          <cell r="R804" t="str">
            <v>PERAWATAN</v>
          </cell>
          <cell r="S804" t="str">
            <v>BORONGAN</v>
          </cell>
          <cell r="T804" t="str">
            <v>TUNAI</v>
          </cell>
          <cell r="U804" t="str">
            <v>6109066612860001</v>
          </cell>
          <cell r="V804" t="str">
            <v>LOKAL</v>
          </cell>
        </row>
        <row r="805">
          <cell r="B805" t="str">
            <v>GM-00817</v>
          </cell>
          <cell r="C805" t="str">
            <v>PINSENSIUS TARUM</v>
          </cell>
          <cell r="E805">
            <v>43762</v>
          </cell>
          <cell r="F805" t="str">
            <v>L</v>
          </cell>
          <cell r="G805" t="str">
            <v>SEMELABAN</v>
          </cell>
          <cell r="H805">
            <v>26798</v>
          </cell>
          <cell r="I805" t="str">
            <v>47 TAHUN</v>
          </cell>
          <cell r="J805" t="str">
            <v>KRISTEN</v>
          </cell>
          <cell r="K805" t="str">
            <v>NON KONTRAKTOR</v>
          </cell>
          <cell r="L805">
            <v>1</v>
          </cell>
          <cell r="M805" t="str">
            <v>PINSENSIUS TARUM</v>
          </cell>
          <cell r="N805">
            <v>897169501</v>
          </cell>
          <cell r="O805" t="str">
            <v>BNI</v>
          </cell>
          <cell r="P805" t="str">
            <v>AKTIF</v>
          </cell>
          <cell r="R805" t="str">
            <v>PANEN</v>
          </cell>
          <cell r="S805" t="str">
            <v>BORONGAN</v>
          </cell>
          <cell r="T805" t="str">
            <v>TRANSFER</v>
          </cell>
          <cell r="U805" t="str">
            <v>6109061405730001</v>
          </cell>
          <cell r="V805" t="str">
            <v>LOKAL</v>
          </cell>
        </row>
        <row r="806">
          <cell r="B806" t="str">
            <v>GM-00818</v>
          </cell>
          <cell r="C806" t="str">
            <v>SUNTORO</v>
          </cell>
          <cell r="E806">
            <v>43762</v>
          </cell>
          <cell r="F806" t="str">
            <v>L</v>
          </cell>
          <cell r="G806" t="str">
            <v>NANGA LEKAWAI</v>
          </cell>
          <cell r="H806">
            <v>37094</v>
          </cell>
          <cell r="I806" t="str">
            <v>19 TAHUN</v>
          </cell>
          <cell r="J806" t="str">
            <v>ISLAM</v>
          </cell>
          <cell r="K806" t="str">
            <v>NON KONTRAKTOR</v>
          </cell>
          <cell r="L806">
            <v>1</v>
          </cell>
          <cell r="P806" t="str">
            <v>AKTIF</v>
          </cell>
          <cell r="R806" t="str">
            <v>PERAWATAN</v>
          </cell>
          <cell r="S806" t="str">
            <v>BORONGAN</v>
          </cell>
          <cell r="T806" t="str">
            <v>TUNAI</v>
          </cell>
          <cell r="U806" t="str">
            <v>6105102207010002</v>
          </cell>
          <cell r="V806" t="str">
            <v>LOKAL</v>
          </cell>
        </row>
        <row r="807">
          <cell r="B807" t="str">
            <v>GM-00819</v>
          </cell>
          <cell r="C807" t="str">
            <v>ELISA</v>
          </cell>
          <cell r="E807">
            <v>43768</v>
          </cell>
          <cell r="F807" t="str">
            <v>L</v>
          </cell>
          <cell r="G807" t="str">
            <v>NANGA SADUS</v>
          </cell>
          <cell r="H807">
            <v>24288</v>
          </cell>
          <cell r="I807" t="str">
            <v>54 TAHUN</v>
          </cell>
          <cell r="J807" t="str">
            <v>KRISTEN</v>
          </cell>
          <cell r="K807" t="str">
            <v>NON KONTRAKTOR</v>
          </cell>
          <cell r="L807">
            <v>1</v>
          </cell>
          <cell r="M807" t="str">
            <v>ELISA</v>
          </cell>
          <cell r="N807">
            <v>895985805</v>
          </cell>
          <cell r="O807" t="str">
            <v>BNI</v>
          </cell>
          <cell r="P807" t="str">
            <v>AKTIF</v>
          </cell>
          <cell r="R807" t="str">
            <v>PANEN</v>
          </cell>
          <cell r="S807" t="str">
            <v>BORONGAN</v>
          </cell>
          <cell r="T807" t="str">
            <v>TRANSFER</v>
          </cell>
          <cell r="U807" t="str">
            <v>6109063008860002</v>
          </cell>
          <cell r="V807" t="str">
            <v>LOKAL</v>
          </cell>
        </row>
        <row r="808">
          <cell r="B808" t="str">
            <v>GM-00820</v>
          </cell>
          <cell r="C808" t="str">
            <v>KURSIYAH</v>
          </cell>
          <cell r="E808">
            <v>43769</v>
          </cell>
          <cell r="F808" t="str">
            <v>P</v>
          </cell>
          <cell r="G808" t="str">
            <v>TEMANGGUNG</v>
          </cell>
          <cell r="H808">
            <v>27648</v>
          </cell>
          <cell r="I808" t="str">
            <v>45 TAHUN</v>
          </cell>
          <cell r="J808" t="str">
            <v>ISLAM</v>
          </cell>
          <cell r="K808" t="str">
            <v>NON AKTIF</v>
          </cell>
          <cell r="L808">
            <v>2</v>
          </cell>
          <cell r="M808" t="str">
            <v>KURSIYAH</v>
          </cell>
          <cell r="N808">
            <v>890031942</v>
          </cell>
          <cell r="O808" t="str">
            <v>BNI</v>
          </cell>
          <cell r="P808" t="str">
            <v>NON AKTIF</v>
          </cell>
          <cell r="Q808">
            <v>43840</v>
          </cell>
          <cell r="R808" t="str">
            <v>PANEN</v>
          </cell>
          <cell r="S808" t="str">
            <v>BORONGAN</v>
          </cell>
          <cell r="T808" t="str">
            <v>TRANSFER</v>
          </cell>
          <cell r="U808" t="str">
            <v>3323065109750003</v>
          </cell>
          <cell r="V808" t="str">
            <v>AKAD</v>
          </cell>
        </row>
        <row r="809">
          <cell r="B809" t="str">
            <v>GM-00821</v>
          </cell>
          <cell r="C809" t="str">
            <v>SUPIYANTO</v>
          </cell>
          <cell r="E809">
            <v>43769</v>
          </cell>
          <cell r="F809" t="str">
            <v>L</v>
          </cell>
          <cell r="G809" t="str">
            <v>TEMANGGUNG</v>
          </cell>
          <cell r="H809">
            <v>25933</v>
          </cell>
          <cell r="I809" t="str">
            <v>50 TAHUN</v>
          </cell>
          <cell r="J809" t="str">
            <v>ISLAM</v>
          </cell>
          <cell r="K809" t="str">
            <v>NON AKTIF</v>
          </cell>
          <cell r="L809">
            <v>2</v>
          </cell>
          <cell r="M809" t="str">
            <v>SUPIYANTO</v>
          </cell>
          <cell r="N809">
            <v>890031964</v>
          </cell>
          <cell r="O809" t="str">
            <v>BNI</v>
          </cell>
          <cell r="P809" t="str">
            <v>NON AKTIF</v>
          </cell>
          <cell r="Q809">
            <v>43840</v>
          </cell>
          <cell r="R809" t="str">
            <v>PANEN</v>
          </cell>
          <cell r="S809" t="str">
            <v>BORONGAN</v>
          </cell>
          <cell r="T809" t="str">
            <v>TRANSFER</v>
          </cell>
          <cell r="U809" t="str">
            <v>3323063112700048</v>
          </cell>
          <cell r="V809" t="str">
            <v>AKAD</v>
          </cell>
        </row>
        <row r="810">
          <cell r="B810" t="str">
            <v>GM-00822</v>
          </cell>
          <cell r="C810" t="str">
            <v>SARMIYATI</v>
          </cell>
          <cell r="E810">
            <v>43769</v>
          </cell>
          <cell r="F810" t="str">
            <v>P</v>
          </cell>
          <cell r="G810" t="str">
            <v>TEMANGGUNG</v>
          </cell>
          <cell r="H810">
            <v>26645</v>
          </cell>
          <cell r="I810" t="str">
            <v>48 TAHUN</v>
          </cell>
          <cell r="J810" t="str">
            <v>ISLAM</v>
          </cell>
          <cell r="K810" t="str">
            <v>NON AKTIF</v>
          </cell>
          <cell r="L810">
            <v>2</v>
          </cell>
          <cell r="P810" t="str">
            <v>NON AKTIF</v>
          </cell>
          <cell r="Q810">
            <v>43840</v>
          </cell>
          <cell r="R810" t="str">
            <v>PANEN</v>
          </cell>
          <cell r="S810" t="str">
            <v>BORONGAN</v>
          </cell>
          <cell r="T810" t="str">
            <v>TUNAI</v>
          </cell>
          <cell r="V810" t="str">
            <v>AKAD</v>
          </cell>
        </row>
        <row r="811">
          <cell r="B811" t="str">
            <v>GM-00823</v>
          </cell>
          <cell r="C811" t="str">
            <v>MULYADI</v>
          </cell>
          <cell r="E811">
            <v>43769</v>
          </cell>
          <cell r="F811" t="str">
            <v>L</v>
          </cell>
          <cell r="G811" t="str">
            <v>TEMANGGUNG</v>
          </cell>
          <cell r="H811">
            <v>25087</v>
          </cell>
          <cell r="I811" t="str">
            <v>52 TAHUN</v>
          </cell>
          <cell r="J811" t="str">
            <v>ISLAM</v>
          </cell>
          <cell r="K811" t="str">
            <v>NON AKTIF</v>
          </cell>
          <cell r="L811">
            <v>2</v>
          </cell>
          <cell r="M811" t="str">
            <v>MULYADI</v>
          </cell>
          <cell r="N811">
            <v>890031953</v>
          </cell>
          <cell r="O811" t="str">
            <v>BNI</v>
          </cell>
          <cell r="P811" t="str">
            <v>NON AKTIF</v>
          </cell>
          <cell r="Q811">
            <v>43840</v>
          </cell>
          <cell r="R811" t="str">
            <v>PANEN</v>
          </cell>
          <cell r="S811" t="str">
            <v>BORONGAN</v>
          </cell>
          <cell r="T811" t="str">
            <v>TRANSFER</v>
          </cell>
          <cell r="U811" t="str">
            <v>1311040609680001</v>
          </cell>
          <cell r="V811" t="str">
            <v>AKAD</v>
          </cell>
        </row>
        <row r="812">
          <cell r="B812" t="str">
            <v>GM-00824</v>
          </cell>
          <cell r="C812" t="str">
            <v>SAFILIN</v>
          </cell>
          <cell r="E812">
            <v>43769</v>
          </cell>
          <cell r="F812" t="str">
            <v>L</v>
          </cell>
          <cell r="G812" t="str">
            <v>TEMANGGUNG</v>
          </cell>
          <cell r="H812">
            <v>30813</v>
          </cell>
          <cell r="I812" t="str">
            <v>36 TAHUN</v>
          </cell>
          <cell r="J812" t="str">
            <v>ISLAM</v>
          </cell>
          <cell r="K812" t="str">
            <v>NON AKTIF</v>
          </cell>
          <cell r="L812">
            <v>2</v>
          </cell>
          <cell r="M812" t="str">
            <v>SAFILIN</v>
          </cell>
          <cell r="N812">
            <v>890031975</v>
          </cell>
          <cell r="O812" t="str">
            <v>BNI</v>
          </cell>
          <cell r="P812" t="str">
            <v>NON AKTIF</v>
          </cell>
          <cell r="Q812">
            <v>43840</v>
          </cell>
          <cell r="R812" t="str">
            <v>PANEN</v>
          </cell>
          <cell r="S812" t="str">
            <v>BORONGAN</v>
          </cell>
          <cell r="T812" t="str">
            <v>TRANSFER</v>
          </cell>
          <cell r="U812" t="str">
            <v>3323061105840002</v>
          </cell>
          <cell r="V812" t="str">
            <v>AKAD</v>
          </cell>
        </row>
        <row r="813">
          <cell r="B813" t="str">
            <v>GM-00825</v>
          </cell>
          <cell r="C813" t="str">
            <v>TITIN ABRINI</v>
          </cell>
          <cell r="E813">
            <v>43769</v>
          </cell>
          <cell r="F813" t="str">
            <v>P</v>
          </cell>
          <cell r="G813" t="str">
            <v>RANSA</v>
          </cell>
          <cell r="H813">
            <v>35849</v>
          </cell>
          <cell r="I813" t="str">
            <v>22 TAHUN</v>
          </cell>
          <cell r="J813" t="str">
            <v>KRISTEN</v>
          </cell>
          <cell r="K813" t="str">
            <v>NON KONTRAKTOR</v>
          </cell>
          <cell r="L813">
            <v>2</v>
          </cell>
          <cell r="P813" t="str">
            <v>AKTIF</v>
          </cell>
          <cell r="R813" t="str">
            <v>PERAWATAN</v>
          </cell>
          <cell r="S813" t="str">
            <v>BORONGAN</v>
          </cell>
          <cell r="T813" t="str">
            <v>TUNAI</v>
          </cell>
          <cell r="U813" t="str">
            <v>6109066302980003</v>
          </cell>
          <cell r="V813" t="str">
            <v>LOKAL</v>
          </cell>
        </row>
        <row r="814">
          <cell r="B814" t="str">
            <v>GM-00826</v>
          </cell>
          <cell r="C814" t="str">
            <v>TIYU GABRIEL</v>
          </cell>
          <cell r="E814">
            <v>43769</v>
          </cell>
          <cell r="F814" t="str">
            <v>P</v>
          </cell>
          <cell r="G814" t="str">
            <v>RANSA</v>
          </cell>
          <cell r="H814">
            <v>37048</v>
          </cell>
          <cell r="I814" t="str">
            <v>19 TAHUN</v>
          </cell>
          <cell r="J814" t="str">
            <v>KRISTEN</v>
          </cell>
          <cell r="K814" t="str">
            <v>NON KONTRAKTOR</v>
          </cell>
          <cell r="L814">
            <v>2</v>
          </cell>
          <cell r="P814" t="str">
            <v>AKTIF</v>
          </cell>
          <cell r="R814" t="str">
            <v>PERAWATAN</v>
          </cell>
          <cell r="S814" t="str">
            <v>BORONGAN</v>
          </cell>
          <cell r="T814" t="str">
            <v>TUNAI</v>
          </cell>
          <cell r="U814" t="str">
            <v>6109060606010002</v>
          </cell>
          <cell r="V814" t="str">
            <v>LOKAL</v>
          </cell>
        </row>
        <row r="815">
          <cell r="B815" t="str">
            <v>GM-00827</v>
          </cell>
          <cell r="C815" t="str">
            <v>ELSA MARSELA</v>
          </cell>
          <cell r="E815">
            <v>43769</v>
          </cell>
          <cell r="F815" t="str">
            <v>P</v>
          </cell>
          <cell r="G815" t="str">
            <v>RANSA</v>
          </cell>
          <cell r="H815">
            <v>38422</v>
          </cell>
          <cell r="I815" t="str">
            <v>15 TAHUN</v>
          </cell>
          <cell r="J815" t="str">
            <v>KRISTEN</v>
          </cell>
          <cell r="K815" t="str">
            <v>NON KONTRAKTOR</v>
          </cell>
          <cell r="L815">
            <v>2</v>
          </cell>
          <cell r="P815" t="str">
            <v>AKTIF</v>
          </cell>
          <cell r="R815" t="str">
            <v>PERAWATAN</v>
          </cell>
          <cell r="S815" t="str">
            <v>BORONGAN</v>
          </cell>
          <cell r="T815" t="str">
            <v>TUNAI</v>
          </cell>
          <cell r="U815" t="str">
            <v>6109066103050004</v>
          </cell>
          <cell r="V815" t="str">
            <v>LOKAL</v>
          </cell>
        </row>
        <row r="816">
          <cell r="B816" t="str">
            <v>GM-00828</v>
          </cell>
          <cell r="C816" t="str">
            <v>MANGUN</v>
          </cell>
          <cell r="E816">
            <v>43769</v>
          </cell>
          <cell r="F816" t="str">
            <v>L</v>
          </cell>
          <cell r="G816" t="str">
            <v>TRENGGALEK</v>
          </cell>
          <cell r="H816">
            <v>25441</v>
          </cell>
          <cell r="I816" t="str">
            <v>51 TAHUN</v>
          </cell>
          <cell r="J816" t="str">
            <v>ISLAM</v>
          </cell>
          <cell r="K816" t="str">
            <v>NURSAIL</v>
          </cell>
          <cell r="L816">
            <v>3</v>
          </cell>
          <cell r="P816" t="str">
            <v>AKTIF</v>
          </cell>
          <cell r="R816" t="str">
            <v>PERAWATAN</v>
          </cell>
          <cell r="S816" t="str">
            <v>BORONGAN</v>
          </cell>
          <cell r="T816" t="str">
            <v>TUNAI</v>
          </cell>
          <cell r="U816" t="str">
            <v>6109072608690000</v>
          </cell>
          <cell r="V816" t="str">
            <v>LOKAL</v>
          </cell>
        </row>
        <row r="817">
          <cell r="B817" t="str">
            <v>GM-00829</v>
          </cell>
          <cell r="C817" t="str">
            <v>JUMIRAN</v>
          </cell>
          <cell r="E817">
            <v>43769</v>
          </cell>
          <cell r="F817" t="str">
            <v>L</v>
          </cell>
          <cell r="I817" t="str">
            <v>121 TAHUN</v>
          </cell>
          <cell r="J817" t="str">
            <v>ISLAM</v>
          </cell>
          <cell r="K817" t="str">
            <v>NURSAIL</v>
          </cell>
          <cell r="L817">
            <v>1</v>
          </cell>
          <cell r="P817" t="str">
            <v>AKTIF</v>
          </cell>
          <cell r="R817" t="str">
            <v>PERAWATAN</v>
          </cell>
          <cell r="S817" t="str">
            <v>BORONGAN</v>
          </cell>
          <cell r="T817" t="str">
            <v>TUNAI</v>
          </cell>
          <cell r="U817" t="str">
            <v>6109066103050004</v>
          </cell>
          <cell r="V817" t="str">
            <v>LOKAL</v>
          </cell>
        </row>
        <row r="818">
          <cell r="B818" t="str">
            <v>GM-00830</v>
          </cell>
          <cell r="C818" t="str">
            <v>MASRI</v>
          </cell>
          <cell r="E818">
            <v>43769</v>
          </cell>
          <cell r="F818" t="str">
            <v>L</v>
          </cell>
          <cell r="G818" t="str">
            <v>SUANGKA</v>
          </cell>
          <cell r="H818">
            <v>31229</v>
          </cell>
          <cell r="I818" t="str">
            <v>35 TAHUN</v>
          </cell>
          <cell r="J818" t="str">
            <v>ISLAM</v>
          </cell>
          <cell r="K818" t="str">
            <v>NURSAIL</v>
          </cell>
          <cell r="L818">
            <v>3</v>
          </cell>
          <cell r="P818" t="str">
            <v>NON AKTIF</v>
          </cell>
          <cell r="R818" t="str">
            <v>PANEN</v>
          </cell>
          <cell r="S818" t="str">
            <v>BORONGAN</v>
          </cell>
          <cell r="T818" t="str">
            <v>TUNAI</v>
          </cell>
          <cell r="V818" t="str">
            <v>AKAD</v>
          </cell>
        </row>
        <row r="819">
          <cell r="B819" t="str">
            <v>GM-00831</v>
          </cell>
          <cell r="C819" t="str">
            <v>RIDO SAPUTRA</v>
          </cell>
          <cell r="E819">
            <v>43759</v>
          </cell>
          <cell r="F819" t="str">
            <v>L</v>
          </cell>
          <cell r="G819" t="str">
            <v>SP IV SETUNTUNG</v>
          </cell>
          <cell r="H819">
            <v>34881</v>
          </cell>
          <cell r="I819" t="str">
            <v>25 TAHUN</v>
          </cell>
          <cell r="J819" t="str">
            <v>ISLAM</v>
          </cell>
          <cell r="K819" t="str">
            <v>SELIKI</v>
          </cell>
          <cell r="L819">
            <v>4</v>
          </cell>
          <cell r="P819" t="str">
            <v>AKTIF</v>
          </cell>
          <cell r="R819" t="str">
            <v>PERAWATAN</v>
          </cell>
          <cell r="S819" t="str">
            <v>BORONGAN</v>
          </cell>
          <cell r="T819" t="str">
            <v>TUNAI</v>
          </cell>
          <cell r="U819" t="str">
            <v>6109070107950030</v>
          </cell>
          <cell r="V819" t="str">
            <v>LOKAL</v>
          </cell>
        </row>
        <row r="820">
          <cell r="B820" t="str">
            <v>GM-00832</v>
          </cell>
          <cell r="C820" t="str">
            <v>SAHIRAN</v>
          </cell>
          <cell r="E820">
            <v>43759</v>
          </cell>
          <cell r="F820" t="str">
            <v>L</v>
          </cell>
          <cell r="G820" t="str">
            <v>SAMBAS</v>
          </cell>
          <cell r="H820">
            <v>23924</v>
          </cell>
          <cell r="I820" t="str">
            <v>55 TAHUN</v>
          </cell>
          <cell r="J820" t="str">
            <v>ISLAM</v>
          </cell>
          <cell r="K820" t="str">
            <v>SELIKI</v>
          </cell>
          <cell r="L820">
            <v>4</v>
          </cell>
          <cell r="P820" t="str">
            <v>AKTIF</v>
          </cell>
          <cell r="R820" t="str">
            <v>PERAWATAN</v>
          </cell>
          <cell r="S820" t="str">
            <v>BORONGAN</v>
          </cell>
          <cell r="T820" t="str">
            <v>TUNAI</v>
          </cell>
          <cell r="U820" t="str">
            <v>6109071007650001</v>
          </cell>
          <cell r="V820" t="str">
            <v>LOKAL</v>
          </cell>
        </row>
        <row r="821">
          <cell r="B821" t="str">
            <v>GM-00833</v>
          </cell>
          <cell r="C821" t="str">
            <v>TAUFIK URAHMAN</v>
          </cell>
          <cell r="E821">
            <v>43759</v>
          </cell>
          <cell r="F821" t="str">
            <v>L</v>
          </cell>
          <cell r="G821" t="str">
            <v>BOKAI</v>
          </cell>
          <cell r="H821">
            <v>31683</v>
          </cell>
          <cell r="I821" t="str">
            <v>34 TAHUN</v>
          </cell>
          <cell r="J821" t="str">
            <v>ISLAM</v>
          </cell>
          <cell r="K821" t="str">
            <v>SELIKI</v>
          </cell>
          <cell r="L821">
            <v>4</v>
          </cell>
          <cell r="P821" t="str">
            <v>AKTIF</v>
          </cell>
          <cell r="R821" t="str">
            <v>PERAWATAN</v>
          </cell>
          <cell r="S821" t="str">
            <v>BORONGAN</v>
          </cell>
          <cell r="T821" t="str">
            <v>TUNAI</v>
          </cell>
          <cell r="U821" t="str">
            <v>6109072809860001</v>
          </cell>
          <cell r="V821" t="str">
            <v>LOKAL</v>
          </cell>
        </row>
        <row r="822">
          <cell r="B822" t="str">
            <v>GM-00834</v>
          </cell>
          <cell r="C822" t="str">
            <v>NEDI IRAWAN</v>
          </cell>
          <cell r="E822">
            <v>43759</v>
          </cell>
          <cell r="F822" t="str">
            <v>L</v>
          </cell>
          <cell r="G822" t="str">
            <v>BELITANG</v>
          </cell>
          <cell r="H822">
            <v>26887</v>
          </cell>
          <cell r="I822" t="str">
            <v>47 TAHUN</v>
          </cell>
          <cell r="J822" t="str">
            <v>ISLAM</v>
          </cell>
          <cell r="K822" t="str">
            <v>SELIKI</v>
          </cell>
          <cell r="L822">
            <v>4</v>
          </cell>
          <cell r="P822" t="str">
            <v>AKTIF</v>
          </cell>
          <cell r="R822" t="str">
            <v>PERAWATAN</v>
          </cell>
          <cell r="S822" t="str">
            <v>BORONGAN</v>
          </cell>
          <cell r="T822" t="str">
            <v>TUNAI</v>
          </cell>
          <cell r="U822" t="str">
            <v>6109071108730001</v>
          </cell>
          <cell r="V822" t="str">
            <v>LOKAL</v>
          </cell>
        </row>
        <row r="823">
          <cell r="B823" t="str">
            <v>GM-00835</v>
          </cell>
          <cell r="C823" t="str">
            <v>SALEH</v>
          </cell>
          <cell r="E823">
            <v>43759</v>
          </cell>
          <cell r="F823" t="str">
            <v>L</v>
          </cell>
          <cell r="G823" t="str">
            <v xml:space="preserve">LOMBOK </v>
          </cell>
          <cell r="H823">
            <v>27471</v>
          </cell>
          <cell r="I823" t="str">
            <v>45 TAHUN</v>
          </cell>
          <cell r="J823" t="str">
            <v>ISLAM</v>
          </cell>
          <cell r="K823" t="str">
            <v>NURSAIL</v>
          </cell>
          <cell r="L823">
            <v>3</v>
          </cell>
          <cell r="M823" t="str">
            <v>SALEH</v>
          </cell>
          <cell r="O823" t="str">
            <v>BNI</v>
          </cell>
          <cell r="P823" t="str">
            <v>AKTIF</v>
          </cell>
          <cell r="R823" t="str">
            <v>PANEN</v>
          </cell>
          <cell r="S823" t="str">
            <v>BORONGAN</v>
          </cell>
          <cell r="T823" t="str">
            <v>TUNAI</v>
          </cell>
          <cell r="U823" t="str">
            <v>5202121803750001</v>
          </cell>
          <cell r="V823" t="str">
            <v>LOKAL</v>
          </cell>
        </row>
        <row r="824">
          <cell r="B824" t="str">
            <v>GM-00836</v>
          </cell>
          <cell r="C824" t="str">
            <v>AL FARIZI</v>
          </cell>
          <cell r="E824">
            <v>43759</v>
          </cell>
          <cell r="F824" t="str">
            <v>L</v>
          </cell>
          <cell r="G824" t="str">
            <v>REBAN BURUNG</v>
          </cell>
          <cell r="H824">
            <v>37714</v>
          </cell>
          <cell r="I824" t="str">
            <v>17 TAHUN</v>
          </cell>
          <cell r="J824" t="str">
            <v>ISLAM</v>
          </cell>
          <cell r="K824" t="str">
            <v>NURSAIL</v>
          </cell>
          <cell r="L824">
            <v>4</v>
          </cell>
          <cell r="P824" t="str">
            <v>AKTIF</v>
          </cell>
          <cell r="R824" t="str">
            <v>PERAWATAN</v>
          </cell>
          <cell r="S824" t="str">
            <v>BORONGAN</v>
          </cell>
          <cell r="T824" t="str">
            <v>TUNAI</v>
          </cell>
          <cell r="U824" t="str">
            <v>5202120104030003</v>
          </cell>
          <cell r="V824" t="str">
            <v>LOKAL</v>
          </cell>
        </row>
        <row r="825">
          <cell r="B825" t="str">
            <v>GM-00837</v>
          </cell>
          <cell r="C825" t="str">
            <v>NATA</v>
          </cell>
          <cell r="E825">
            <v>43759</v>
          </cell>
          <cell r="F825" t="str">
            <v>L</v>
          </cell>
          <cell r="I825" t="str">
            <v>121 TAHUN</v>
          </cell>
          <cell r="J825" t="str">
            <v>KRISTEN</v>
          </cell>
          <cell r="K825" t="str">
            <v>SELIKI</v>
          </cell>
          <cell r="L825">
            <v>4</v>
          </cell>
          <cell r="P825" t="str">
            <v>AKTIF</v>
          </cell>
          <cell r="R825" t="str">
            <v>PERAWATAN</v>
          </cell>
          <cell r="S825" t="str">
            <v>BORONGAN</v>
          </cell>
          <cell r="T825" t="str">
            <v>TUNAI</v>
          </cell>
          <cell r="V825" t="str">
            <v>LOKAL</v>
          </cell>
        </row>
        <row r="826">
          <cell r="B826" t="str">
            <v>GM-00838</v>
          </cell>
          <cell r="C826" t="str">
            <v>HELMI NATALIA</v>
          </cell>
          <cell r="E826">
            <v>43766</v>
          </cell>
          <cell r="F826" t="str">
            <v>P</v>
          </cell>
          <cell r="G826" t="str">
            <v>SEBETUNG</v>
          </cell>
          <cell r="H826">
            <v>34033</v>
          </cell>
          <cell r="I826" t="str">
            <v>27 TAHUN</v>
          </cell>
          <cell r="J826" t="str">
            <v>KRISTEN</v>
          </cell>
          <cell r="K826" t="str">
            <v>NON KONTRAKTOR</v>
          </cell>
          <cell r="L826">
            <v>5</v>
          </cell>
          <cell r="P826" t="str">
            <v>AKTIF</v>
          </cell>
          <cell r="R826" t="str">
            <v>PERAWATAN</v>
          </cell>
          <cell r="S826" t="str">
            <v>BORONGAN</v>
          </cell>
          <cell r="T826" t="str">
            <v>TUNAI</v>
          </cell>
          <cell r="U826" t="str">
            <v>6109066503930005</v>
          </cell>
          <cell r="V826" t="str">
            <v>LOKAL</v>
          </cell>
        </row>
        <row r="827">
          <cell r="B827" t="str">
            <v>GM-00839</v>
          </cell>
          <cell r="C827" t="str">
            <v>MUHAMMAD RIZKY MAULANA</v>
          </cell>
          <cell r="E827">
            <v>43768</v>
          </cell>
          <cell r="F827" t="str">
            <v>L</v>
          </cell>
          <cell r="G827" t="str">
            <v>OMBER REROT</v>
          </cell>
          <cell r="H827">
            <v>35242</v>
          </cell>
          <cell r="I827" t="str">
            <v>24 TAHUN</v>
          </cell>
          <cell r="J827" t="str">
            <v>ISLAM</v>
          </cell>
          <cell r="K827" t="str">
            <v>NON AKTIF</v>
          </cell>
          <cell r="L827">
            <v>5</v>
          </cell>
          <cell r="P827" t="str">
            <v>NON AKTIF</v>
          </cell>
          <cell r="R827" t="str">
            <v>PERAWATAN</v>
          </cell>
          <cell r="S827" t="str">
            <v>BORONGAN</v>
          </cell>
          <cell r="T827" t="str">
            <v>TUNAI</v>
          </cell>
          <cell r="U827" t="str">
            <v>5201022606960002</v>
          </cell>
          <cell r="V827" t="str">
            <v>AKAD</v>
          </cell>
        </row>
        <row r="828">
          <cell r="B828" t="str">
            <v>GM-00840</v>
          </cell>
          <cell r="C828" t="str">
            <v>NURHAM</v>
          </cell>
          <cell r="E828">
            <v>43768</v>
          </cell>
          <cell r="F828" t="str">
            <v>L</v>
          </cell>
          <cell r="G828" t="str">
            <v>LEBAH SUREN</v>
          </cell>
          <cell r="H828">
            <v>32142</v>
          </cell>
          <cell r="I828" t="str">
            <v>33 TAHUN</v>
          </cell>
          <cell r="J828" t="str">
            <v>ISLAM</v>
          </cell>
          <cell r="K828" t="str">
            <v>NON AKTIF</v>
          </cell>
          <cell r="L828">
            <v>5</v>
          </cell>
          <cell r="P828" t="str">
            <v>NON AKTIF</v>
          </cell>
          <cell r="R828" t="str">
            <v>PERAWATAN</v>
          </cell>
          <cell r="S828" t="str">
            <v>BORONGAN</v>
          </cell>
          <cell r="T828" t="str">
            <v>TUNAI</v>
          </cell>
          <cell r="U828" t="str">
            <v>5201073112870018</v>
          </cell>
          <cell r="V828" t="str">
            <v>AKAD</v>
          </cell>
        </row>
        <row r="829">
          <cell r="B829" t="str">
            <v>GM-00841</v>
          </cell>
          <cell r="C829" t="str">
            <v>ANI SUSANA</v>
          </cell>
          <cell r="E829">
            <v>43769</v>
          </cell>
          <cell r="F829" t="str">
            <v>P</v>
          </cell>
          <cell r="G829" t="str">
            <v>RANSA</v>
          </cell>
          <cell r="H829">
            <v>36456</v>
          </cell>
          <cell r="I829" t="str">
            <v>21 TAHUN</v>
          </cell>
          <cell r="J829" t="str">
            <v>KRISTEN</v>
          </cell>
          <cell r="K829" t="str">
            <v>NON KONTRAKTOR</v>
          </cell>
          <cell r="L829">
            <v>2</v>
          </cell>
          <cell r="P829" t="str">
            <v>AKTIF</v>
          </cell>
          <cell r="R829" t="str">
            <v>PERAWATAN</v>
          </cell>
          <cell r="S829" t="str">
            <v>BORONGAN</v>
          </cell>
          <cell r="T829" t="str">
            <v>TUNAI</v>
          </cell>
          <cell r="U829" t="str">
            <v>6109066310990001</v>
          </cell>
          <cell r="V829" t="str">
            <v>LOKAL</v>
          </cell>
        </row>
        <row r="830">
          <cell r="B830" t="str">
            <v>GM-00842</v>
          </cell>
          <cell r="C830" t="str">
            <v>AMI</v>
          </cell>
          <cell r="E830">
            <v>43779</v>
          </cell>
          <cell r="F830" t="str">
            <v>P</v>
          </cell>
          <cell r="G830" t="str">
            <v>SEBELANTAU</v>
          </cell>
          <cell r="H830">
            <v>33163</v>
          </cell>
          <cell r="I830" t="str">
            <v>30 TAHUN</v>
          </cell>
          <cell r="J830" t="str">
            <v>KRISTEN</v>
          </cell>
          <cell r="K830" t="str">
            <v>NON KONTRAKTOR</v>
          </cell>
          <cell r="L830">
            <v>1</v>
          </cell>
          <cell r="P830" t="str">
            <v>AKTIF</v>
          </cell>
          <cell r="R830" t="str">
            <v>PERAWATAN</v>
          </cell>
          <cell r="S830" t="str">
            <v>BORONGAN</v>
          </cell>
          <cell r="T830" t="str">
            <v>TUNAI</v>
          </cell>
          <cell r="U830" t="str">
            <v>6109065710870008</v>
          </cell>
          <cell r="V830" t="str">
            <v>LOKAL</v>
          </cell>
        </row>
        <row r="831">
          <cell r="B831" t="str">
            <v>GM-00843</v>
          </cell>
          <cell r="C831" t="str">
            <v>DIKAK</v>
          </cell>
          <cell r="D831" t="str">
            <v>Ds. SEPURU</v>
          </cell>
          <cell r="E831">
            <v>43779</v>
          </cell>
          <cell r="F831" t="str">
            <v>L</v>
          </cell>
          <cell r="G831" t="str">
            <v>DUSUN SEPURU</v>
          </cell>
          <cell r="H831">
            <v>26905</v>
          </cell>
          <cell r="I831" t="str">
            <v>47 TAHUN</v>
          </cell>
          <cell r="J831" t="str">
            <v>KRISTEN</v>
          </cell>
          <cell r="K831" t="str">
            <v>NON KONTRAKTOR</v>
          </cell>
          <cell r="L831">
            <v>1</v>
          </cell>
          <cell r="M831" t="str">
            <v>DIKAK</v>
          </cell>
          <cell r="N831">
            <v>897169512</v>
          </cell>
          <cell r="O831" t="str">
            <v>BNI</v>
          </cell>
          <cell r="P831" t="str">
            <v>AKTIF</v>
          </cell>
          <cell r="R831" t="str">
            <v>PANEN</v>
          </cell>
          <cell r="S831" t="str">
            <v>BORONGAN</v>
          </cell>
          <cell r="T831" t="str">
            <v>TRANSFER</v>
          </cell>
          <cell r="U831" t="str">
            <v>6109062908730004</v>
          </cell>
          <cell r="V831" t="str">
            <v>LOKAL</v>
          </cell>
        </row>
        <row r="832">
          <cell r="B832" t="str">
            <v>GM-00844</v>
          </cell>
          <cell r="C832" t="str">
            <v>SUYANI</v>
          </cell>
          <cell r="E832">
            <v>43780</v>
          </cell>
          <cell r="F832" t="str">
            <v>L</v>
          </cell>
          <cell r="G832" t="str">
            <v>GUNUNG MELIAU</v>
          </cell>
          <cell r="H832">
            <v>31222</v>
          </cell>
          <cell r="I832" t="str">
            <v>35 TAHUN</v>
          </cell>
          <cell r="J832" t="str">
            <v>ISLAM</v>
          </cell>
          <cell r="K832" t="str">
            <v>NON AKTIF</v>
          </cell>
          <cell r="L832">
            <v>2</v>
          </cell>
          <cell r="M832" t="str">
            <v>SUYANI</v>
          </cell>
          <cell r="N832">
            <v>902171948</v>
          </cell>
          <cell r="O832" t="str">
            <v>BNI</v>
          </cell>
          <cell r="P832" t="str">
            <v>NON AKTIF</v>
          </cell>
          <cell r="R832" t="str">
            <v>PERAWATAN</v>
          </cell>
          <cell r="S832" t="str">
            <v>BORONGAN</v>
          </cell>
          <cell r="T832" t="str">
            <v>TRANSFER</v>
          </cell>
          <cell r="U832" t="str">
            <v>3403162406850001</v>
          </cell>
          <cell r="V832" t="str">
            <v>AKAD</v>
          </cell>
        </row>
        <row r="833">
          <cell r="B833" t="str">
            <v>GM-00845</v>
          </cell>
          <cell r="C833" t="str">
            <v>RINASEH</v>
          </cell>
          <cell r="E833">
            <v>43787</v>
          </cell>
          <cell r="F833" t="str">
            <v>L</v>
          </cell>
          <cell r="G833" t="str">
            <v>KELEP</v>
          </cell>
          <cell r="H833">
            <v>25557</v>
          </cell>
          <cell r="I833" t="str">
            <v>51 TAHUN</v>
          </cell>
          <cell r="J833" t="str">
            <v>ISLAM</v>
          </cell>
          <cell r="K833" t="str">
            <v>NURSAIL</v>
          </cell>
          <cell r="L833">
            <v>1</v>
          </cell>
          <cell r="P833" t="str">
            <v>AKTIF</v>
          </cell>
          <cell r="R833" t="str">
            <v>PERAWATAN</v>
          </cell>
          <cell r="S833" t="str">
            <v>BORONGAN</v>
          </cell>
          <cell r="T833" t="str">
            <v>TUNAI</v>
          </cell>
          <cell r="V833" t="str">
            <v>AKAD</v>
          </cell>
        </row>
        <row r="834">
          <cell r="B834" t="str">
            <v>GM-00846</v>
          </cell>
          <cell r="C834" t="str">
            <v>JUMAIN</v>
          </cell>
          <cell r="E834">
            <v>43787</v>
          </cell>
          <cell r="F834" t="str">
            <v>L</v>
          </cell>
          <cell r="G834" t="str">
            <v>KELEP</v>
          </cell>
          <cell r="H834">
            <v>28124</v>
          </cell>
          <cell r="I834" t="str">
            <v>44 TAHUN</v>
          </cell>
          <cell r="J834" t="str">
            <v>ISLAM</v>
          </cell>
          <cell r="K834" t="str">
            <v>NURSAIL</v>
          </cell>
          <cell r="L834">
            <v>1</v>
          </cell>
          <cell r="P834" t="str">
            <v>AKTIF</v>
          </cell>
          <cell r="R834" t="str">
            <v>PERAWATAN</v>
          </cell>
          <cell r="S834" t="str">
            <v>BORONGAN</v>
          </cell>
          <cell r="T834" t="str">
            <v>TUNAI</v>
          </cell>
          <cell r="V834" t="str">
            <v>AKAD</v>
          </cell>
        </row>
        <row r="835">
          <cell r="B835" t="str">
            <v>GM-00847</v>
          </cell>
          <cell r="C835" t="str">
            <v>KRISTIANUS INDRI</v>
          </cell>
          <cell r="E835">
            <v>43782</v>
          </cell>
          <cell r="F835" t="str">
            <v>L</v>
          </cell>
          <cell r="G835" t="str">
            <v>SUNGAI BIAWAK</v>
          </cell>
          <cell r="H835">
            <v>29902</v>
          </cell>
          <cell r="I835" t="str">
            <v>39 TAHUN</v>
          </cell>
          <cell r="J835" t="str">
            <v>KATHOLIK</v>
          </cell>
          <cell r="K835" t="str">
            <v>NON KONTRAKTOR</v>
          </cell>
          <cell r="L835">
            <v>3</v>
          </cell>
          <cell r="P835" t="str">
            <v>NON AKTIF</v>
          </cell>
          <cell r="R835" t="str">
            <v>PERAWATAN</v>
          </cell>
          <cell r="S835" t="str">
            <v>BORONGAN</v>
          </cell>
          <cell r="T835" t="str">
            <v>TUNAI</v>
          </cell>
          <cell r="V835" t="str">
            <v>AKAD</v>
          </cell>
        </row>
        <row r="836">
          <cell r="B836" t="str">
            <v>GM-00848</v>
          </cell>
          <cell r="C836" t="str">
            <v>SARWONO</v>
          </cell>
          <cell r="E836">
            <v>43782</v>
          </cell>
          <cell r="F836" t="str">
            <v>L</v>
          </cell>
          <cell r="G836" t="str">
            <v>TEGAL REJO</v>
          </cell>
          <cell r="H836">
            <v>32561</v>
          </cell>
          <cell r="I836" t="str">
            <v>31 TAHUN</v>
          </cell>
          <cell r="J836" t="str">
            <v>ISLAM</v>
          </cell>
          <cell r="K836" t="str">
            <v>NON KONTRAKTOR</v>
          </cell>
          <cell r="L836">
            <v>3</v>
          </cell>
          <cell r="P836" t="str">
            <v>NON AKTIF</v>
          </cell>
          <cell r="R836" t="str">
            <v>PERAWATAN</v>
          </cell>
          <cell r="S836" t="str">
            <v>BORONGAN</v>
          </cell>
          <cell r="T836" t="str">
            <v>TUNAI</v>
          </cell>
          <cell r="V836" t="str">
            <v>AKAD</v>
          </cell>
        </row>
        <row r="837">
          <cell r="B837" t="str">
            <v>GM-00849</v>
          </cell>
          <cell r="C837" t="str">
            <v>MUH. AJAR</v>
          </cell>
          <cell r="E837">
            <v>43780</v>
          </cell>
          <cell r="F837" t="str">
            <v>L</v>
          </cell>
          <cell r="G837" t="str">
            <v>LK. KUDUNG</v>
          </cell>
          <cell r="H837">
            <v>36525</v>
          </cell>
          <cell r="I837" t="str">
            <v>21 TAHUN</v>
          </cell>
          <cell r="J837" t="str">
            <v>ISLAM</v>
          </cell>
          <cell r="K837" t="str">
            <v>NON AKTIF</v>
          </cell>
          <cell r="L837">
            <v>2</v>
          </cell>
          <cell r="P837" t="str">
            <v>NON AKTIF</v>
          </cell>
          <cell r="R837" t="str">
            <v>PERAWATAN</v>
          </cell>
          <cell r="S837" t="str">
            <v>BORONGAN</v>
          </cell>
          <cell r="T837" t="str">
            <v>TUNAI</v>
          </cell>
          <cell r="V837" t="str">
            <v>AKAD</v>
          </cell>
        </row>
        <row r="838">
          <cell r="B838" t="str">
            <v>GM-00850</v>
          </cell>
          <cell r="C838" t="str">
            <v>JUMAH</v>
          </cell>
          <cell r="E838">
            <v>43780</v>
          </cell>
          <cell r="F838" t="str">
            <v>L</v>
          </cell>
          <cell r="G838" t="str">
            <v>PENGEMPOK</v>
          </cell>
          <cell r="H838">
            <v>32325</v>
          </cell>
          <cell r="I838" t="str">
            <v>32 TAHUN</v>
          </cell>
          <cell r="J838" t="str">
            <v>ISLAM</v>
          </cell>
          <cell r="K838" t="str">
            <v>NON AKTIF</v>
          </cell>
          <cell r="L838">
            <v>2</v>
          </cell>
          <cell r="P838" t="str">
            <v>NON AKTIF</v>
          </cell>
          <cell r="R838" t="str">
            <v>PERAWATAN</v>
          </cell>
          <cell r="S838" t="str">
            <v>BORONGAN</v>
          </cell>
          <cell r="T838" t="str">
            <v>TUNAI</v>
          </cell>
          <cell r="V838" t="str">
            <v>AKAD</v>
          </cell>
        </row>
        <row r="839">
          <cell r="B839" t="str">
            <v>GM-00851</v>
          </cell>
          <cell r="C839" t="str">
            <v>YOGI</v>
          </cell>
          <cell r="E839">
            <v>43777</v>
          </cell>
          <cell r="F839" t="str">
            <v>L</v>
          </cell>
          <cell r="I839" t="str">
            <v>121 TAHUN</v>
          </cell>
          <cell r="J839" t="str">
            <v>KRISTEN</v>
          </cell>
          <cell r="K839" t="str">
            <v>NON KONTRAKTOR</v>
          </cell>
          <cell r="L839">
            <v>5</v>
          </cell>
          <cell r="P839" t="str">
            <v>AKTIF</v>
          </cell>
          <cell r="R839" t="str">
            <v>PERAWATAN</v>
          </cell>
          <cell r="S839" t="str">
            <v>BORONGAN</v>
          </cell>
          <cell r="T839" t="str">
            <v>TUNAI</v>
          </cell>
          <cell r="V839" t="str">
            <v>LOKAL</v>
          </cell>
        </row>
        <row r="840">
          <cell r="B840" t="str">
            <v>GM-00852</v>
          </cell>
          <cell r="C840" t="str">
            <v>YOHANES SARDINO</v>
          </cell>
          <cell r="E840">
            <v>43782</v>
          </cell>
          <cell r="F840" t="str">
            <v>L</v>
          </cell>
          <cell r="G840" t="str">
            <v>SUNGAI MAWANG</v>
          </cell>
          <cell r="H840">
            <v>34403</v>
          </cell>
          <cell r="I840" t="str">
            <v>26 TAHUN</v>
          </cell>
          <cell r="J840" t="str">
            <v>KATHOLIK</v>
          </cell>
          <cell r="K840" t="str">
            <v>SELIKI</v>
          </cell>
          <cell r="L840">
            <v>4</v>
          </cell>
          <cell r="P840" t="str">
            <v>AKTIF</v>
          </cell>
          <cell r="R840" t="str">
            <v>PERAWATAN</v>
          </cell>
          <cell r="S840" t="str">
            <v>BORONGAN</v>
          </cell>
          <cell r="T840" t="str">
            <v>TUNAI</v>
          </cell>
          <cell r="U840" t="str">
            <v>6103021003940003</v>
          </cell>
          <cell r="V840" t="str">
            <v>LOKAL</v>
          </cell>
        </row>
        <row r="841">
          <cell r="B841" t="str">
            <v>GM-00853</v>
          </cell>
          <cell r="C841" t="str">
            <v>MIKAEL</v>
          </cell>
          <cell r="E841">
            <v>43782</v>
          </cell>
          <cell r="F841" t="str">
            <v>L</v>
          </cell>
          <cell r="G841" t="str">
            <v>DANDI</v>
          </cell>
          <cell r="H841">
            <v>35374</v>
          </cell>
          <cell r="I841" t="str">
            <v>24 TAHUN</v>
          </cell>
          <cell r="J841" t="str">
            <v>KRISTEN</v>
          </cell>
          <cell r="K841" t="str">
            <v>NON KONTRAKTOR</v>
          </cell>
          <cell r="L841">
            <v>4</v>
          </cell>
          <cell r="M841" t="str">
            <v>MIKAEL</v>
          </cell>
          <cell r="N841">
            <v>1132022530</v>
          </cell>
          <cell r="O841" t="str">
            <v>BNI</v>
          </cell>
          <cell r="P841" t="str">
            <v>AKTIF</v>
          </cell>
          <cell r="R841" t="str">
            <v>PANEN</v>
          </cell>
          <cell r="S841" t="str">
            <v>BORONGAN</v>
          </cell>
          <cell r="T841" t="str">
            <v>TRANSFER</v>
          </cell>
          <cell r="U841" t="str">
            <v>6109060511980003</v>
          </cell>
          <cell r="V841" t="str">
            <v>LOKAL</v>
          </cell>
        </row>
        <row r="842">
          <cell r="B842" t="str">
            <v>GM-00854</v>
          </cell>
          <cell r="C842" t="str">
            <v>SALOMON</v>
          </cell>
          <cell r="E842">
            <v>43782</v>
          </cell>
          <cell r="F842" t="str">
            <v>L</v>
          </cell>
          <cell r="G842" t="str">
            <v>SUNGAI SAWAK</v>
          </cell>
          <cell r="H842">
            <v>33055</v>
          </cell>
          <cell r="I842" t="str">
            <v>30 TAHUN</v>
          </cell>
          <cell r="J842" t="str">
            <v>KRISTEN</v>
          </cell>
          <cell r="K842" t="str">
            <v>NON KONTRAKTOR</v>
          </cell>
          <cell r="L842">
            <v>4</v>
          </cell>
          <cell r="P842" t="str">
            <v>AKTIF</v>
          </cell>
          <cell r="R842" t="str">
            <v>PANEN</v>
          </cell>
          <cell r="S842" t="str">
            <v>BORONGAN</v>
          </cell>
          <cell r="T842" t="str">
            <v>TUNAI</v>
          </cell>
          <cell r="U842" t="str">
            <v>6109050107900071</v>
          </cell>
          <cell r="V842" t="str">
            <v>LOKAL</v>
          </cell>
        </row>
        <row r="843">
          <cell r="B843" t="str">
            <v>GM-00855</v>
          </cell>
          <cell r="C843" t="str">
            <v>BIMA WAHYU RISKIANATA</v>
          </cell>
          <cell r="E843">
            <v>43790</v>
          </cell>
          <cell r="F843" t="str">
            <v>L</v>
          </cell>
          <cell r="G843" t="str">
            <v>NANGA ANSAR</v>
          </cell>
          <cell r="H843">
            <v>37486</v>
          </cell>
          <cell r="I843" t="str">
            <v>18 TAHUN</v>
          </cell>
          <cell r="J843" t="str">
            <v>ISLAM</v>
          </cell>
          <cell r="K843" t="str">
            <v>NON KONTRAKTOR</v>
          </cell>
          <cell r="L843">
            <v>2</v>
          </cell>
          <cell r="P843" t="str">
            <v>AKTIF</v>
          </cell>
          <cell r="R843" t="str">
            <v>PERAWATAN</v>
          </cell>
          <cell r="S843" t="str">
            <v>BORONGAN</v>
          </cell>
          <cell r="T843" t="str">
            <v>TUNAI</v>
          </cell>
          <cell r="U843" t="str">
            <v>6109070703020007</v>
          </cell>
          <cell r="V843" t="str">
            <v>LOKAL</v>
          </cell>
        </row>
        <row r="844">
          <cell r="B844" t="str">
            <v>GM-00856</v>
          </cell>
          <cell r="C844" t="str">
            <v>ABDULAH</v>
          </cell>
          <cell r="E844">
            <v>43797</v>
          </cell>
          <cell r="F844" t="str">
            <v>L</v>
          </cell>
          <cell r="G844" t="str">
            <v>DAWI</v>
          </cell>
          <cell r="H844">
            <v>24266</v>
          </cell>
          <cell r="I844" t="str">
            <v>54 TAHUN</v>
          </cell>
          <cell r="J844" t="str">
            <v>KATHOLIK</v>
          </cell>
          <cell r="K844" t="str">
            <v>NON KONTRAKTOR</v>
          </cell>
          <cell r="L844">
            <v>3</v>
          </cell>
          <cell r="P844" t="str">
            <v>AKTIF</v>
          </cell>
          <cell r="R844" t="str">
            <v>PERAWATAN</v>
          </cell>
          <cell r="S844" t="str">
            <v>BORONGAN</v>
          </cell>
          <cell r="T844" t="str">
            <v>TUNAI</v>
          </cell>
          <cell r="U844" t="str">
            <v>6109060806660002</v>
          </cell>
          <cell r="V844" t="str">
            <v>LOKAL</v>
          </cell>
        </row>
        <row r="845">
          <cell r="B845" t="str">
            <v>GM-00857</v>
          </cell>
          <cell r="C845" t="str">
            <v>AGUS</v>
          </cell>
          <cell r="E845">
            <v>43790</v>
          </cell>
          <cell r="F845" t="str">
            <v>L</v>
          </cell>
          <cell r="G845" t="str">
            <v>BATU RIMPANG</v>
          </cell>
          <cell r="H845">
            <v>32142</v>
          </cell>
          <cell r="I845" t="str">
            <v>33 TAHUN</v>
          </cell>
          <cell r="J845" t="str">
            <v>ISLAM</v>
          </cell>
          <cell r="K845" t="str">
            <v>NON KONTRAKTOR</v>
          </cell>
          <cell r="L845">
            <v>4</v>
          </cell>
          <cell r="P845" t="str">
            <v>AKTIF</v>
          </cell>
          <cell r="R845" t="str">
            <v>PERAWATAN</v>
          </cell>
          <cell r="S845" t="str">
            <v>BORONGAN</v>
          </cell>
          <cell r="T845" t="str">
            <v>TUNAI</v>
          </cell>
          <cell r="U845" t="str">
            <v>5201133112870004</v>
          </cell>
          <cell r="V845" t="str">
            <v>LOKAL</v>
          </cell>
        </row>
        <row r="846">
          <cell r="B846" t="str">
            <v>GM-00858</v>
          </cell>
          <cell r="C846" t="str">
            <v>SUPARNO</v>
          </cell>
          <cell r="E846">
            <v>43790</v>
          </cell>
          <cell r="F846" t="str">
            <v>L</v>
          </cell>
          <cell r="G846" t="str">
            <v>SAMARINDA</v>
          </cell>
          <cell r="H846">
            <v>23117</v>
          </cell>
          <cell r="I846" t="str">
            <v>57 TAHUN</v>
          </cell>
          <cell r="J846" t="str">
            <v>ISLAM</v>
          </cell>
          <cell r="K846" t="str">
            <v>NURSAIL</v>
          </cell>
          <cell r="L846">
            <v>5</v>
          </cell>
          <cell r="P846" t="str">
            <v>AKTIF</v>
          </cell>
          <cell r="R846" t="str">
            <v>PERAWATAN</v>
          </cell>
          <cell r="S846" t="str">
            <v>BORONGAN</v>
          </cell>
          <cell r="T846" t="str">
            <v>TUNAI</v>
          </cell>
          <cell r="U846" t="str">
            <v>6109071604630002</v>
          </cell>
          <cell r="V846" t="str">
            <v>LOKAL</v>
          </cell>
        </row>
        <row r="847">
          <cell r="B847" t="str">
            <v>GM-00859</v>
          </cell>
          <cell r="C847" t="str">
            <v>DIKUS</v>
          </cell>
          <cell r="E847">
            <v>43790</v>
          </cell>
          <cell r="F847" t="str">
            <v>L</v>
          </cell>
          <cell r="G847" t="str">
            <v>SUNGAI MABOH</v>
          </cell>
          <cell r="H847">
            <v>26371</v>
          </cell>
          <cell r="I847" t="str">
            <v>48 TAHUN</v>
          </cell>
          <cell r="J847" t="str">
            <v>KATHOLIK</v>
          </cell>
          <cell r="K847" t="str">
            <v>SELIKI</v>
          </cell>
          <cell r="L847">
            <v>4</v>
          </cell>
          <cell r="P847" t="str">
            <v>AKTIF</v>
          </cell>
          <cell r="R847" t="str">
            <v>PERAWATAN</v>
          </cell>
          <cell r="S847" t="str">
            <v>BORONGAN</v>
          </cell>
          <cell r="T847" t="str">
            <v>TUNAI</v>
          </cell>
          <cell r="U847" t="str">
            <v>610907303750001</v>
          </cell>
          <cell r="V847" t="str">
            <v>LOKAL</v>
          </cell>
        </row>
        <row r="848">
          <cell r="B848" t="str">
            <v>GM-00860</v>
          </cell>
          <cell r="C848" t="str">
            <v>SUSI ARNIKA</v>
          </cell>
          <cell r="E848">
            <v>43790</v>
          </cell>
          <cell r="F848" t="str">
            <v>P</v>
          </cell>
          <cell r="G848" t="str">
            <v>DANDI</v>
          </cell>
          <cell r="H848">
            <v>35135</v>
          </cell>
          <cell r="I848" t="str">
            <v>24 TAHUN</v>
          </cell>
          <cell r="J848" t="str">
            <v>KRISTEN</v>
          </cell>
          <cell r="K848" t="str">
            <v>NON KONTRAKTOR</v>
          </cell>
          <cell r="L848">
            <v>4</v>
          </cell>
          <cell r="P848" t="str">
            <v>AKTIF</v>
          </cell>
          <cell r="R848" t="str">
            <v>PERAWATAN</v>
          </cell>
          <cell r="S848" t="str">
            <v>BORONGAN</v>
          </cell>
          <cell r="T848" t="str">
            <v>TUNAI</v>
          </cell>
          <cell r="U848" t="str">
            <v>6109065103960003</v>
          </cell>
          <cell r="V848" t="str">
            <v>LOKAL</v>
          </cell>
        </row>
        <row r="849">
          <cell r="B849" t="str">
            <v>GM-00861</v>
          </cell>
          <cell r="C849" t="str">
            <v>ALEKSIANA</v>
          </cell>
          <cell r="E849">
            <v>43790</v>
          </cell>
          <cell r="F849" t="str">
            <v>P</v>
          </cell>
          <cell r="G849" t="str">
            <v>NANGA SADUS</v>
          </cell>
          <cell r="H849">
            <v>27590</v>
          </cell>
          <cell r="I849" t="str">
            <v>45 TAHUN</v>
          </cell>
          <cell r="J849" t="str">
            <v>KRISTEN</v>
          </cell>
          <cell r="K849" t="str">
            <v>NON KONTRAKTOR</v>
          </cell>
          <cell r="L849">
            <v>4</v>
          </cell>
          <cell r="M849" t="str">
            <v>ALEKSIANA</v>
          </cell>
          <cell r="N849">
            <v>911010550</v>
          </cell>
          <cell r="O849" t="str">
            <v>BNI</v>
          </cell>
          <cell r="P849" t="str">
            <v>AKTIF</v>
          </cell>
          <cell r="R849" t="str">
            <v>PERAWATAN</v>
          </cell>
          <cell r="S849" t="str">
            <v>BORONGAN</v>
          </cell>
          <cell r="T849" t="str">
            <v>TRANSFER</v>
          </cell>
          <cell r="U849" t="str">
            <v>6109065507750004</v>
          </cell>
          <cell r="V849" t="str">
            <v>LOKAL</v>
          </cell>
        </row>
        <row r="850">
          <cell r="B850" t="str">
            <v>GM-00862</v>
          </cell>
          <cell r="C850" t="str">
            <v>RISTIKA</v>
          </cell>
          <cell r="E850">
            <v>43790</v>
          </cell>
          <cell r="F850" t="str">
            <v>P</v>
          </cell>
          <cell r="G850" t="str">
            <v>NANGA SADUS</v>
          </cell>
          <cell r="H850">
            <v>32266</v>
          </cell>
          <cell r="I850" t="str">
            <v>32 TAHUN</v>
          </cell>
          <cell r="J850" t="str">
            <v>KRISTEN</v>
          </cell>
          <cell r="K850" t="str">
            <v>NON KONTRAKTOR</v>
          </cell>
          <cell r="L850">
            <v>4</v>
          </cell>
          <cell r="M850" t="str">
            <v>RISTIKA</v>
          </cell>
          <cell r="N850">
            <v>984424384</v>
          </cell>
          <cell r="O850" t="str">
            <v>BNI</v>
          </cell>
          <cell r="P850" t="str">
            <v>AKTIF</v>
          </cell>
          <cell r="R850" t="str">
            <v>PERAWATAN</v>
          </cell>
          <cell r="S850" t="str">
            <v>BORONGAN</v>
          </cell>
          <cell r="T850" t="str">
            <v>TRANSFER</v>
          </cell>
          <cell r="U850" t="str">
            <v>6109064305880003</v>
          </cell>
          <cell r="V850" t="str">
            <v>LOKAL</v>
          </cell>
        </row>
        <row r="851">
          <cell r="B851" t="str">
            <v>GM-00863</v>
          </cell>
          <cell r="C851" t="str">
            <v>ADIS WENDRI</v>
          </cell>
          <cell r="E851">
            <v>43800</v>
          </cell>
          <cell r="F851" t="str">
            <v>L</v>
          </cell>
          <cell r="G851" t="str">
            <v>TERDUK DAMPAK</v>
          </cell>
          <cell r="H851">
            <v>23191</v>
          </cell>
          <cell r="I851" t="str">
            <v>57 TAHUN</v>
          </cell>
          <cell r="J851" t="str">
            <v>KRISTEN</v>
          </cell>
          <cell r="K851" t="str">
            <v>NON KONTRAKTOR</v>
          </cell>
          <cell r="L851">
            <v>5</v>
          </cell>
          <cell r="M851" t="str">
            <v>ADIS WENDRI</v>
          </cell>
          <cell r="N851">
            <v>954802283</v>
          </cell>
          <cell r="O851" t="str">
            <v>BNI</v>
          </cell>
          <cell r="P851" t="str">
            <v>AKTIF</v>
          </cell>
          <cell r="R851" t="str">
            <v>PERAWATAN</v>
          </cell>
          <cell r="S851" t="str">
            <v>BORONGAN</v>
          </cell>
          <cell r="T851" t="str">
            <v>TRANSFER</v>
          </cell>
          <cell r="U851" t="str">
            <v>6109062906630001</v>
          </cell>
          <cell r="V851" t="str">
            <v>LOKAL</v>
          </cell>
        </row>
        <row r="852">
          <cell r="B852" t="str">
            <v>GM-00864</v>
          </cell>
          <cell r="C852" t="str">
            <v>WAREN CHRISTOPER</v>
          </cell>
          <cell r="E852">
            <v>43800</v>
          </cell>
          <cell r="F852" t="str">
            <v>L</v>
          </cell>
          <cell r="G852" t="str">
            <v>SEPAUH</v>
          </cell>
          <cell r="H852">
            <v>35325</v>
          </cell>
          <cell r="I852" t="str">
            <v>24 TAHUN</v>
          </cell>
          <cell r="J852" t="str">
            <v>KRISTEN</v>
          </cell>
          <cell r="K852" t="str">
            <v>NON KONTRAKTOR</v>
          </cell>
          <cell r="L852">
            <v>5</v>
          </cell>
          <cell r="M852" t="str">
            <v>WAREN CHRISTOPER</v>
          </cell>
          <cell r="N852">
            <v>954802294</v>
          </cell>
          <cell r="O852" t="str">
            <v>BNI</v>
          </cell>
          <cell r="P852" t="str">
            <v>AKTIF</v>
          </cell>
          <cell r="R852" t="str">
            <v>PERAWATAN</v>
          </cell>
          <cell r="S852" t="str">
            <v>BORONGAN</v>
          </cell>
          <cell r="T852" t="str">
            <v>TRANSFER</v>
          </cell>
          <cell r="U852" t="str">
            <v>6109061709960001</v>
          </cell>
          <cell r="V852" t="str">
            <v>LOKAL</v>
          </cell>
        </row>
        <row r="853">
          <cell r="B853" t="str">
            <v>GM-00865</v>
          </cell>
          <cell r="C853" t="str">
            <v>IRA</v>
          </cell>
          <cell r="E853">
            <v>43820</v>
          </cell>
          <cell r="F853" t="str">
            <v>P</v>
          </cell>
          <cell r="G853" t="str">
            <v>AMOH</v>
          </cell>
          <cell r="H853">
            <v>29362</v>
          </cell>
          <cell r="I853" t="str">
            <v>40 TAHUN</v>
          </cell>
          <cell r="J853" t="str">
            <v>KRISTEN</v>
          </cell>
          <cell r="K853" t="str">
            <v>NON KONTRAKTOR</v>
          </cell>
          <cell r="L853">
            <v>4</v>
          </cell>
          <cell r="P853" t="str">
            <v>AKTIF</v>
          </cell>
          <cell r="R853" t="str">
            <v>PERAWATAN</v>
          </cell>
          <cell r="S853" t="str">
            <v>BORONGAN</v>
          </cell>
          <cell r="T853" t="str">
            <v>TUNAI</v>
          </cell>
          <cell r="U853" t="str">
            <v>6109066105800001</v>
          </cell>
          <cell r="V853" t="str">
            <v>LOKAL</v>
          </cell>
        </row>
        <row r="854">
          <cell r="B854" t="str">
            <v>GM-00866</v>
          </cell>
          <cell r="C854" t="str">
            <v>HENDRIKUS PITO</v>
          </cell>
          <cell r="E854">
            <v>43820</v>
          </cell>
          <cell r="F854" t="str">
            <v>L</v>
          </cell>
          <cell r="G854" t="str">
            <v>SEI MAWANG</v>
          </cell>
          <cell r="H854">
            <v>35119</v>
          </cell>
          <cell r="I854" t="str">
            <v>24 TAHUN</v>
          </cell>
          <cell r="J854" t="str">
            <v>KATHOLIK</v>
          </cell>
          <cell r="K854" t="str">
            <v>SELIKI</v>
          </cell>
          <cell r="L854">
            <v>4</v>
          </cell>
          <cell r="P854" t="str">
            <v>AKTIF</v>
          </cell>
          <cell r="R854" t="str">
            <v>PERAWATAN</v>
          </cell>
          <cell r="S854" t="str">
            <v>BORONGAN</v>
          </cell>
          <cell r="T854" t="str">
            <v>TUNAI</v>
          </cell>
          <cell r="U854" t="str">
            <v>6103022402960001</v>
          </cell>
          <cell r="V854" t="str">
            <v>LOKAL</v>
          </cell>
        </row>
        <row r="855">
          <cell r="B855" t="str">
            <v>GM-00867</v>
          </cell>
          <cell r="C855" t="str">
            <v>DJULKIFLI</v>
          </cell>
          <cell r="E855">
            <v>43820</v>
          </cell>
          <cell r="F855" t="str">
            <v>L</v>
          </cell>
          <cell r="G855" t="str">
            <v>SETUNTUNG</v>
          </cell>
          <cell r="H855">
            <v>36929</v>
          </cell>
          <cell r="I855" t="str">
            <v>19 TAHUN</v>
          </cell>
          <cell r="J855" t="str">
            <v>ISLAM</v>
          </cell>
          <cell r="K855" t="str">
            <v>SELIKI</v>
          </cell>
          <cell r="L855">
            <v>4</v>
          </cell>
          <cell r="P855" t="str">
            <v>AKTIF</v>
          </cell>
          <cell r="R855" t="str">
            <v>PERAWATAN</v>
          </cell>
          <cell r="S855" t="str">
            <v>BORONGAN</v>
          </cell>
          <cell r="T855" t="str">
            <v>TUNAI</v>
          </cell>
          <cell r="U855" t="str">
            <v>6109070702010001</v>
          </cell>
          <cell r="V855" t="str">
            <v>LOKAL</v>
          </cell>
        </row>
        <row r="856">
          <cell r="B856" t="str">
            <v>GM-00868</v>
          </cell>
          <cell r="C856" t="str">
            <v>AMPAH</v>
          </cell>
          <cell r="D856" t="str">
            <v>Ds. SEPURU</v>
          </cell>
          <cell r="E856">
            <v>43816</v>
          </cell>
          <cell r="F856" t="str">
            <v>P</v>
          </cell>
          <cell r="G856" t="str">
            <v>DUSUN SEPURU</v>
          </cell>
          <cell r="H856">
            <v>21705</v>
          </cell>
          <cell r="I856" t="str">
            <v>61 TAHUN</v>
          </cell>
          <cell r="J856" t="str">
            <v>KRISTEN</v>
          </cell>
          <cell r="K856" t="str">
            <v>NON KONTRAKTOR</v>
          </cell>
          <cell r="L856">
            <v>1</v>
          </cell>
          <cell r="M856" t="str">
            <v>AMPAH</v>
          </cell>
          <cell r="N856">
            <v>954802261</v>
          </cell>
          <cell r="O856" t="str">
            <v>BNI</v>
          </cell>
          <cell r="P856" t="str">
            <v>AKTIF</v>
          </cell>
          <cell r="R856" t="str">
            <v>PERAWATAN</v>
          </cell>
          <cell r="S856" t="str">
            <v>BORONGAN</v>
          </cell>
          <cell r="T856" t="str">
            <v>TRANSFER</v>
          </cell>
          <cell r="U856" t="str">
            <v>6109064604590001</v>
          </cell>
          <cell r="V856" t="str">
            <v>LOKAL</v>
          </cell>
        </row>
        <row r="857">
          <cell r="B857" t="str">
            <v>GM-00869</v>
          </cell>
          <cell r="C857" t="str">
            <v>SARAH</v>
          </cell>
          <cell r="D857" t="str">
            <v>Ds. SEPURU</v>
          </cell>
          <cell r="E857">
            <v>43816</v>
          </cell>
          <cell r="F857" t="str">
            <v>P</v>
          </cell>
          <cell r="G857" t="str">
            <v>DUSUN SEPURU</v>
          </cell>
          <cell r="H857">
            <v>25940</v>
          </cell>
          <cell r="I857" t="str">
            <v>50 TAHUN</v>
          </cell>
          <cell r="J857" t="str">
            <v>KRISTEN</v>
          </cell>
          <cell r="K857" t="str">
            <v>NON KONTRAKTOR</v>
          </cell>
          <cell r="L857">
            <v>1</v>
          </cell>
          <cell r="P857" t="str">
            <v>AKTIF</v>
          </cell>
          <cell r="R857" t="str">
            <v>PERAWATAN</v>
          </cell>
          <cell r="S857" t="str">
            <v>BORONGAN</v>
          </cell>
          <cell r="T857" t="str">
            <v>TUNAI</v>
          </cell>
          <cell r="U857" t="str">
            <v>6109064107710049</v>
          </cell>
          <cell r="V857" t="str">
            <v>LOKAL</v>
          </cell>
        </row>
        <row r="858">
          <cell r="B858" t="str">
            <v>GM-00870</v>
          </cell>
          <cell r="C858" t="str">
            <v>HENDRO</v>
          </cell>
          <cell r="D858" t="str">
            <v>BARAK G10 DIV 4</v>
          </cell>
          <cell r="E858">
            <v>43832</v>
          </cell>
          <cell r="F858" t="str">
            <v>L</v>
          </cell>
          <cell r="G858" t="str">
            <v>BAK MERAT</v>
          </cell>
          <cell r="H858">
            <v>35311</v>
          </cell>
          <cell r="I858" t="str">
            <v>24 TAHUN</v>
          </cell>
          <cell r="J858" t="str">
            <v>KRISTEN</v>
          </cell>
          <cell r="K858" t="str">
            <v>NON KONTRAKTOR</v>
          </cell>
          <cell r="L858">
            <v>4</v>
          </cell>
          <cell r="M858" t="str">
            <v>HENDRO</v>
          </cell>
          <cell r="N858">
            <v>954802329</v>
          </cell>
          <cell r="O858" t="str">
            <v>BNI</v>
          </cell>
          <cell r="P858" t="str">
            <v>AKTIF</v>
          </cell>
          <cell r="R858" t="str">
            <v>PANEN</v>
          </cell>
          <cell r="S858" t="str">
            <v>BORONGAN</v>
          </cell>
          <cell r="T858" t="str">
            <v>TRANSFER</v>
          </cell>
          <cell r="U858" t="str">
            <v>6109060309960003</v>
          </cell>
          <cell r="V858" t="str">
            <v>LOKAL</v>
          </cell>
        </row>
        <row r="859">
          <cell r="B859" t="str">
            <v>GM-00871</v>
          </cell>
          <cell r="C859" t="str">
            <v>YONO</v>
          </cell>
          <cell r="D859" t="str">
            <v>BARAK G10 DIV 4</v>
          </cell>
          <cell r="E859">
            <v>43832</v>
          </cell>
          <cell r="F859" t="str">
            <v>L</v>
          </cell>
          <cell r="G859" t="str">
            <v>SEI MAWANG</v>
          </cell>
          <cell r="H859">
            <v>32275</v>
          </cell>
          <cell r="I859" t="str">
            <v>32 TAHUN</v>
          </cell>
          <cell r="J859" t="str">
            <v>ISLAM</v>
          </cell>
          <cell r="K859" t="str">
            <v>SELIKI</v>
          </cell>
          <cell r="L859">
            <v>4</v>
          </cell>
          <cell r="P859" t="str">
            <v>AKTIF</v>
          </cell>
          <cell r="R859" t="str">
            <v>PERAWATAN</v>
          </cell>
          <cell r="S859" t="str">
            <v>BORONGAN</v>
          </cell>
          <cell r="T859" t="str">
            <v>TUNAI</v>
          </cell>
          <cell r="V859" t="str">
            <v>LOKAL</v>
          </cell>
        </row>
        <row r="860">
          <cell r="B860" t="str">
            <v>GM-00872</v>
          </cell>
          <cell r="C860" t="str">
            <v>JIMMITRO FERRY</v>
          </cell>
          <cell r="D860" t="str">
            <v>Ds. TERDUK DAMAPK</v>
          </cell>
          <cell r="E860">
            <v>43831</v>
          </cell>
          <cell r="F860" t="str">
            <v>L</v>
          </cell>
          <cell r="G860" t="str">
            <v>TERDUK DAMPAK</v>
          </cell>
          <cell r="H860">
            <v>35799</v>
          </cell>
          <cell r="I860" t="str">
            <v>23 TAHUN</v>
          </cell>
          <cell r="J860" t="str">
            <v>KRISTEN</v>
          </cell>
          <cell r="K860" t="str">
            <v>NON KONTRAKTOR</v>
          </cell>
          <cell r="L860">
            <v>5</v>
          </cell>
          <cell r="P860" t="str">
            <v>AKTIF</v>
          </cell>
          <cell r="R860" t="str">
            <v>PERAWATAN</v>
          </cell>
          <cell r="S860" t="str">
            <v>BORONGAN</v>
          </cell>
          <cell r="T860" t="str">
            <v>TUNAI</v>
          </cell>
          <cell r="U860" t="str">
            <v>6109060401980004</v>
          </cell>
          <cell r="V860" t="str">
            <v>LOKAL</v>
          </cell>
        </row>
        <row r="861">
          <cell r="B861" t="str">
            <v>GM-00873</v>
          </cell>
          <cell r="C861" t="str">
            <v>AKBAR MAULANA</v>
          </cell>
          <cell r="D861" t="str">
            <v>BARAK G10 DIV 3</v>
          </cell>
          <cell r="E861">
            <v>43838</v>
          </cell>
          <cell r="F861" t="str">
            <v>L</v>
          </cell>
          <cell r="G861" t="str">
            <v>SUKABUMI</v>
          </cell>
          <cell r="H861">
            <v>37257</v>
          </cell>
          <cell r="I861" t="str">
            <v>19 TAHUN</v>
          </cell>
          <cell r="J861" t="str">
            <v>ISLAM</v>
          </cell>
          <cell r="K861" t="str">
            <v>NON KONTRAKTOR</v>
          </cell>
          <cell r="L861">
            <v>2</v>
          </cell>
          <cell r="P861" t="str">
            <v>AKTIF</v>
          </cell>
          <cell r="R861" t="str">
            <v>PERAWATAN</v>
          </cell>
          <cell r="S861" t="str">
            <v>BORONGAN</v>
          </cell>
          <cell r="T861" t="str">
            <v>TUNAI</v>
          </cell>
          <cell r="U861" t="str">
            <v>3202150101020011</v>
          </cell>
          <cell r="V861" t="str">
            <v>LOKAL</v>
          </cell>
        </row>
        <row r="862">
          <cell r="B862" t="str">
            <v>GM-00874</v>
          </cell>
          <cell r="C862" t="str">
            <v>WINARYO</v>
          </cell>
          <cell r="D862" t="str">
            <v>BARAK G10 DIV 4</v>
          </cell>
          <cell r="E862">
            <v>43831</v>
          </cell>
          <cell r="F862" t="str">
            <v>L</v>
          </cell>
          <cell r="G862" t="str">
            <v>SERAGEN</v>
          </cell>
          <cell r="H862">
            <v>28969</v>
          </cell>
          <cell r="I862" t="str">
            <v>41 TAHUN</v>
          </cell>
          <cell r="J862" t="str">
            <v>ISLAM</v>
          </cell>
          <cell r="K862" t="str">
            <v>SELIKI</v>
          </cell>
          <cell r="L862">
            <v>4</v>
          </cell>
          <cell r="P862" t="str">
            <v>NON AKTIF</v>
          </cell>
          <cell r="R862" t="str">
            <v>PERAWATAN</v>
          </cell>
          <cell r="S862" t="str">
            <v>BORONGAN</v>
          </cell>
          <cell r="T862" t="str">
            <v>TUNAI</v>
          </cell>
          <cell r="U862" t="str">
            <v>3314122404790001</v>
          </cell>
          <cell r="V862" t="str">
            <v>AKAD</v>
          </cell>
        </row>
        <row r="863">
          <cell r="B863" t="str">
            <v>GM-00875</v>
          </cell>
          <cell r="C863" t="str">
            <v>MAYA ANDELA</v>
          </cell>
          <cell r="D863" t="str">
            <v>Ds. SEPURU</v>
          </cell>
          <cell r="E863">
            <v>43831</v>
          </cell>
          <cell r="F863" t="str">
            <v>P</v>
          </cell>
          <cell r="G863" t="str">
            <v>MIJAU</v>
          </cell>
          <cell r="H863">
            <v>36166</v>
          </cell>
          <cell r="I863" t="str">
            <v>22 TAHUN</v>
          </cell>
          <cell r="J863" t="str">
            <v>KRISTEN</v>
          </cell>
          <cell r="K863" t="str">
            <v>NON KONTRAKTOR</v>
          </cell>
          <cell r="L863">
            <v>1</v>
          </cell>
          <cell r="P863" t="str">
            <v>AKTIF</v>
          </cell>
          <cell r="R863" t="str">
            <v>PERAWATAN</v>
          </cell>
          <cell r="S863" t="str">
            <v>BORONGAN</v>
          </cell>
          <cell r="T863" t="str">
            <v>TUNAI</v>
          </cell>
          <cell r="U863" t="str">
            <v>6109064601990002</v>
          </cell>
          <cell r="V863" t="str">
            <v>LOKAL</v>
          </cell>
        </row>
        <row r="864">
          <cell r="B864" t="str">
            <v>GM-00876</v>
          </cell>
          <cell r="C864" t="str">
            <v>EKON</v>
          </cell>
          <cell r="D864" t="str">
            <v>BARAK G10 DIV 4</v>
          </cell>
          <cell r="E864">
            <v>43831</v>
          </cell>
          <cell r="F864" t="str">
            <v>L</v>
          </cell>
          <cell r="G864" t="str">
            <v xml:space="preserve">SP VI </v>
          </cell>
          <cell r="H864">
            <v>35400</v>
          </cell>
          <cell r="I864" t="str">
            <v>24 TAHUN</v>
          </cell>
          <cell r="J864" t="str">
            <v>KRISTEN</v>
          </cell>
          <cell r="K864" t="str">
            <v>SELIKI</v>
          </cell>
          <cell r="L864">
            <v>4</v>
          </cell>
          <cell r="P864" t="str">
            <v>AKTIF</v>
          </cell>
          <cell r="R864" t="str">
            <v>PERAWATAN</v>
          </cell>
          <cell r="S864" t="str">
            <v>BORONGAN</v>
          </cell>
          <cell r="T864" t="str">
            <v>TUNAI</v>
          </cell>
          <cell r="U864" t="str">
            <v>6109071211960001</v>
          </cell>
          <cell r="V864" t="str">
            <v>LOKAL</v>
          </cell>
        </row>
        <row r="865">
          <cell r="B865" t="str">
            <v>GM-00877</v>
          </cell>
          <cell r="C865" t="str">
            <v>AHIN</v>
          </cell>
          <cell r="D865" t="str">
            <v>BARAK G10 DIV 5</v>
          </cell>
          <cell r="E865">
            <v>43831</v>
          </cell>
          <cell r="F865" t="str">
            <v>L</v>
          </cell>
          <cell r="G865" t="str">
            <v xml:space="preserve">SP VI </v>
          </cell>
          <cell r="H865">
            <v>34421</v>
          </cell>
          <cell r="I865" t="str">
            <v>26 TAHUN</v>
          </cell>
          <cell r="J865" t="str">
            <v>KRISTEN</v>
          </cell>
          <cell r="K865" t="str">
            <v>NON KONTRAKTOR</v>
          </cell>
          <cell r="L865">
            <v>4</v>
          </cell>
          <cell r="P865" t="str">
            <v>AKTIF</v>
          </cell>
          <cell r="R865" t="str">
            <v>PERAWATAN</v>
          </cell>
          <cell r="S865" t="str">
            <v>BORONGAN</v>
          </cell>
          <cell r="T865" t="str">
            <v>TUNAI</v>
          </cell>
          <cell r="U865" t="str">
            <v>6109072803940002</v>
          </cell>
          <cell r="V865" t="str">
            <v>LOKAL</v>
          </cell>
        </row>
        <row r="866">
          <cell r="B866" t="str">
            <v>GM-00878</v>
          </cell>
          <cell r="C866" t="str">
            <v>JULLIANTHO</v>
          </cell>
          <cell r="D866" t="str">
            <v>BARAK G10 DIV 4</v>
          </cell>
          <cell r="E866">
            <v>43831</v>
          </cell>
          <cell r="F866" t="str">
            <v>L</v>
          </cell>
          <cell r="G866" t="str">
            <v>NANGA ANSAR</v>
          </cell>
          <cell r="H866">
            <v>24771</v>
          </cell>
          <cell r="I866" t="str">
            <v>53 TAHUN</v>
          </cell>
          <cell r="J866" t="str">
            <v>KRISTEN</v>
          </cell>
          <cell r="K866" t="str">
            <v>SELIKI</v>
          </cell>
          <cell r="L866">
            <v>4</v>
          </cell>
          <cell r="M866" t="str">
            <v>ZULLIANTHO</v>
          </cell>
          <cell r="N866">
            <v>904621987</v>
          </cell>
          <cell r="O866" t="str">
            <v>BNI</v>
          </cell>
          <cell r="P866" t="str">
            <v>AKTIF</v>
          </cell>
          <cell r="R866" t="str">
            <v>PERAWATAN</v>
          </cell>
          <cell r="S866" t="str">
            <v>BORONGAN</v>
          </cell>
          <cell r="T866" t="str">
            <v>TRANSFER</v>
          </cell>
          <cell r="U866" t="str">
            <v>6109062610670001</v>
          </cell>
          <cell r="V866" t="str">
            <v>LOKAL</v>
          </cell>
        </row>
        <row r="867">
          <cell r="B867" t="str">
            <v>GM-00879</v>
          </cell>
          <cell r="C867" t="str">
            <v>UNISTIKA</v>
          </cell>
          <cell r="D867" t="str">
            <v>BARAK G10 DIV 4</v>
          </cell>
          <cell r="E867">
            <v>43831</v>
          </cell>
          <cell r="F867" t="str">
            <v>P</v>
          </cell>
          <cell r="G867" t="str">
            <v>NANGA SADUS</v>
          </cell>
          <cell r="H867">
            <v>28713</v>
          </cell>
          <cell r="I867" t="str">
            <v>42 TAHUN</v>
          </cell>
          <cell r="J867" t="str">
            <v>KRISTEN</v>
          </cell>
          <cell r="K867" t="str">
            <v>SELIKI</v>
          </cell>
          <cell r="L867">
            <v>4</v>
          </cell>
          <cell r="M867" t="str">
            <v>UNISTIKA</v>
          </cell>
          <cell r="N867">
            <v>904621965</v>
          </cell>
          <cell r="O867" t="str">
            <v>BNI</v>
          </cell>
          <cell r="P867" t="str">
            <v>AKTIF</v>
          </cell>
          <cell r="R867" t="str">
            <v>PERAWATAN</v>
          </cell>
          <cell r="S867" t="str">
            <v>BORONGAN</v>
          </cell>
          <cell r="T867" t="str">
            <v>TRANSFER</v>
          </cell>
          <cell r="U867" t="str">
            <v>6109065108780003</v>
          </cell>
          <cell r="V867" t="str">
            <v>LOKAL</v>
          </cell>
        </row>
        <row r="868">
          <cell r="B868" t="str">
            <v>GM-00880</v>
          </cell>
          <cell r="C868" t="str">
            <v>HERAWATI</v>
          </cell>
          <cell r="D868" t="str">
            <v>BARAK G10 DIV 4</v>
          </cell>
          <cell r="E868">
            <v>43831</v>
          </cell>
          <cell r="F868" t="str">
            <v>P</v>
          </cell>
          <cell r="G868" t="str">
            <v>SINGKAM</v>
          </cell>
          <cell r="H868">
            <v>31340</v>
          </cell>
          <cell r="I868" t="str">
            <v>35 TAHUN</v>
          </cell>
          <cell r="J868" t="str">
            <v>KRISTEN</v>
          </cell>
          <cell r="K868" t="str">
            <v>SELIKI</v>
          </cell>
          <cell r="L868">
            <v>4</v>
          </cell>
          <cell r="M868" t="str">
            <v>HERAWATI</v>
          </cell>
          <cell r="N868">
            <v>904621954</v>
          </cell>
          <cell r="O868" t="str">
            <v>BNI</v>
          </cell>
          <cell r="P868" t="str">
            <v>AKTIF</v>
          </cell>
          <cell r="R868" t="str">
            <v>PERAWATAN</v>
          </cell>
          <cell r="S868" t="str">
            <v>BORONGAN</v>
          </cell>
          <cell r="T868" t="str">
            <v>TRANSFER</v>
          </cell>
          <cell r="U868" t="str">
            <v>6109066010850002</v>
          </cell>
          <cell r="V868" t="str">
            <v>LOKAL</v>
          </cell>
        </row>
        <row r="869">
          <cell r="B869" t="str">
            <v>GM-00881</v>
          </cell>
          <cell r="C869" t="str">
            <v>DINA M</v>
          </cell>
          <cell r="D869" t="str">
            <v>BARAK G10 DIV 4</v>
          </cell>
          <cell r="E869">
            <v>43831</v>
          </cell>
          <cell r="F869" t="str">
            <v>P</v>
          </cell>
          <cell r="G869" t="str">
            <v>NANGA SADUS</v>
          </cell>
          <cell r="H869">
            <v>27833</v>
          </cell>
          <cell r="I869" t="str">
            <v>44 TAHUN</v>
          </cell>
          <cell r="J869" t="str">
            <v>KRISTEN</v>
          </cell>
          <cell r="K869" t="str">
            <v>SELIKI</v>
          </cell>
          <cell r="L869">
            <v>4</v>
          </cell>
          <cell r="M869" t="str">
            <v>DINA.M</v>
          </cell>
          <cell r="N869">
            <v>904621998</v>
          </cell>
          <cell r="O869" t="str">
            <v>BNI</v>
          </cell>
          <cell r="P869" t="str">
            <v>AKTIF</v>
          </cell>
          <cell r="R869" t="str">
            <v>PERAWATAN</v>
          </cell>
          <cell r="S869" t="str">
            <v>BORONGAN</v>
          </cell>
          <cell r="T869" t="str">
            <v>TRANSFER</v>
          </cell>
          <cell r="U869" t="str">
            <v>6109065403760001</v>
          </cell>
          <cell r="V869" t="str">
            <v>LOKAL</v>
          </cell>
        </row>
        <row r="870">
          <cell r="B870" t="str">
            <v>GM-00882</v>
          </cell>
          <cell r="C870" t="str">
            <v>NILI KIBET</v>
          </cell>
          <cell r="D870" t="str">
            <v>BARAK G10 DIV 4</v>
          </cell>
          <cell r="E870">
            <v>43831</v>
          </cell>
          <cell r="F870" t="str">
            <v>P</v>
          </cell>
          <cell r="G870" t="str">
            <v>NANGA SADUS</v>
          </cell>
          <cell r="H870">
            <v>25914</v>
          </cell>
          <cell r="I870" t="str">
            <v>50 TAHUN</v>
          </cell>
          <cell r="J870" t="str">
            <v>KRISTEN</v>
          </cell>
          <cell r="K870" t="str">
            <v>SELIKI</v>
          </cell>
          <cell r="L870">
            <v>4</v>
          </cell>
          <cell r="M870" t="str">
            <v>NILI KIBET</v>
          </cell>
          <cell r="N870">
            <v>904621976</v>
          </cell>
          <cell r="O870" t="str">
            <v>BNI</v>
          </cell>
          <cell r="P870" t="str">
            <v>AKTIF</v>
          </cell>
          <cell r="R870" t="str">
            <v>PERAWATAN</v>
          </cell>
          <cell r="S870" t="str">
            <v>BORONGAN</v>
          </cell>
          <cell r="T870" t="str">
            <v>TRANSFER</v>
          </cell>
          <cell r="U870" t="str">
            <v>6109065212700005</v>
          </cell>
          <cell r="V870" t="str">
            <v>LOKAL</v>
          </cell>
        </row>
        <row r="871">
          <cell r="B871" t="str">
            <v>GM-00883</v>
          </cell>
          <cell r="C871" t="str">
            <v>SERINAWATI</v>
          </cell>
          <cell r="D871" t="str">
            <v>BARAK G10 DIV 4</v>
          </cell>
          <cell r="E871">
            <v>43831</v>
          </cell>
          <cell r="F871" t="str">
            <v>P</v>
          </cell>
          <cell r="G871" t="str">
            <v>SEI RINGIN</v>
          </cell>
          <cell r="H871">
            <v>27825</v>
          </cell>
          <cell r="I871" t="str">
            <v>44 TAHUN</v>
          </cell>
          <cell r="J871" t="str">
            <v>KRISTEN</v>
          </cell>
          <cell r="K871" t="str">
            <v>SELIKI</v>
          </cell>
          <cell r="L871">
            <v>4</v>
          </cell>
          <cell r="M871" t="str">
            <v>SERINAWATI</v>
          </cell>
          <cell r="N871">
            <v>904622006</v>
          </cell>
          <cell r="O871" t="str">
            <v>BNI</v>
          </cell>
          <cell r="P871" t="str">
            <v>AKTIF</v>
          </cell>
          <cell r="R871" t="str">
            <v>PERAWATAN</v>
          </cell>
          <cell r="S871" t="str">
            <v>BORONGAN</v>
          </cell>
          <cell r="T871" t="str">
            <v>TRANSFER</v>
          </cell>
          <cell r="U871" t="str">
            <v>6109064603760001</v>
          </cell>
          <cell r="V871" t="str">
            <v>LOKAL</v>
          </cell>
        </row>
        <row r="872">
          <cell r="B872" t="str">
            <v>GM-00884</v>
          </cell>
          <cell r="C872" t="str">
            <v>BAHARUDDIN</v>
          </cell>
          <cell r="D872" t="str">
            <v>BARAK G10 DIV 3</v>
          </cell>
          <cell r="E872">
            <v>43847</v>
          </cell>
          <cell r="F872" t="str">
            <v>L</v>
          </cell>
          <cell r="G872" t="str">
            <v>BOGO</v>
          </cell>
          <cell r="H872">
            <v>27546</v>
          </cell>
          <cell r="I872" t="str">
            <v>45 TAHUN</v>
          </cell>
          <cell r="J872" t="str">
            <v>ISLAM</v>
          </cell>
          <cell r="K872" t="str">
            <v>NURSAIL</v>
          </cell>
          <cell r="L872">
            <v>3</v>
          </cell>
          <cell r="P872" t="str">
            <v>NON AKTIF</v>
          </cell>
          <cell r="R872" t="str">
            <v>PERAWATAN</v>
          </cell>
          <cell r="S872" t="str">
            <v>BORONGAN</v>
          </cell>
          <cell r="T872" t="str">
            <v>TUNAI</v>
          </cell>
          <cell r="U872" t="str">
            <v>7302040107750115</v>
          </cell>
          <cell r="V872" t="str">
            <v>AKAD</v>
          </cell>
        </row>
        <row r="873">
          <cell r="B873" t="str">
            <v>GM-00885</v>
          </cell>
          <cell r="C873" t="str">
            <v>WANDY</v>
          </cell>
          <cell r="D873" t="str">
            <v>Ds. RANSA</v>
          </cell>
          <cell r="E873">
            <v>43853</v>
          </cell>
          <cell r="F873" t="str">
            <v>L</v>
          </cell>
          <cell r="G873" t="str">
            <v>PAKAN</v>
          </cell>
          <cell r="H873">
            <v>34338</v>
          </cell>
          <cell r="I873" t="str">
            <v>27 TAHUN</v>
          </cell>
          <cell r="J873" t="str">
            <v>KRISTEN</v>
          </cell>
          <cell r="K873" t="str">
            <v>NON KONTRAKTOR</v>
          </cell>
          <cell r="L873">
            <v>2</v>
          </cell>
          <cell r="P873" t="str">
            <v>AKTIF</v>
          </cell>
          <cell r="R873" t="str">
            <v>PERAWATAN</v>
          </cell>
          <cell r="S873" t="str">
            <v>BORONGAN</v>
          </cell>
          <cell r="T873" t="str">
            <v>TUNAI</v>
          </cell>
          <cell r="U873" t="str">
            <v>6109060401940001</v>
          </cell>
          <cell r="V873" t="str">
            <v>LOKAL</v>
          </cell>
        </row>
        <row r="874">
          <cell r="B874" t="str">
            <v>GM-00886</v>
          </cell>
          <cell r="C874" t="str">
            <v>TORI YANTO</v>
          </cell>
          <cell r="D874" t="str">
            <v>Ds. RANSA</v>
          </cell>
          <cell r="E874">
            <v>43857</v>
          </cell>
          <cell r="F874" t="str">
            <v>L</v>
          </cell>
          <cell r="G874" t="str">
            <v>TEMEDAK MERAT</v>
          </cell>
          <cell r="H874">
            <v>35008</v>
          </cell>
          <cell r="I874" t="str">
            <v>25 TAHUN</v>
          </cell>
          <cell r="J874" t="str">
            <v>KRISTEN</v>
          </cell>
          <cell r="K874" t="str">
            <v>NON KONTRAKTOR</v>
          </cell>
          <cell r="L874">
            <v>2</v>
          </cell>
          <cell r="P874" t="str">
            <v>AKTIF</v>
          </cell>
          <cell r="R874" t="str">
            <v>PANEN</v>
          </cell>
          <cell r="S874" t="str">
            <v>BORONGAN</v>
          </cell>
          <cell r="T874" t="str">
            <v>TUNAI</v>
          </cell>
          <cell r="U874" t="str">
            <v>6109060511950001</v>
          </cell>
          <cell r="V874" t="str">
            <v>LOKAL</v>
          </cell>
        </row>
        <row r="875">
          <cell r="B875" t="str">
            <v>GM-00887</v>
          </cell>
          <cell r="C875" t="str">
            <v>SIMA LATA</v>
          </cell>
          <cell r="D875" t="str">
            <v>Ds. RANSA</v>
          </cell>
          <cell r="E875">
            <v>43860</v>
          </cell>
          <cell r="F875" t="str">
            <v>P</v>
          </cell>
          <cell r="G875" t="str">
            <v>SEBETUNG</v>
          </cell>
          <cell r="J875" t="str">
            <v>KRISTEN</v>
          </cell>
          <cell r="K875" t="str">
            <v>NON KONTRAKTOR</v>
          </cell>
          <cell r="L875">
            <v>2</v>
          </cell>
          <cell r="P875" t="str">
            <v>AKTIF</v>
          </cell>
          <cell r="R875" t="str">
            <v>PERAWATAN</v>
          </cell>
          <cell r="S875" t="str">
            <v>BORONGAN</v>
          </cell>
          <cell r="T875" t="str">
            <v>TUNAI</v>
          </cell>
          <cell r="U875" t="str">
            <v>6109064801990003</v>
          </cell>
          <cell r="V875" t="str">
            <v>LOKAL</v>
          </cell>
        </row>
        <row r="876">
          <cell r="B876" t="str">
            <v>GM-00888</v>
          </cell>
          <cell r="C876" t="str">
            <v>LUNDEN</v>
          </cell>
          <cell r="D876" t="str">
            <v>Ds. RANSA</v>
          </cell>
          <cell r="E876">
            <v>43860</v>
          </cell>
          <cell r="F876" t="str">
            <v>P</v>
          </cell>
          <cell r="G876" t="str">
            <v>EMPIT</v>
          </cell>
          <cell r="H876">
            <v>28482</v>
          </cell>
          <cell r="I876" t="str">
            <v>43 TAHUN</v>
          </cell>
          <cell r="J876" t="str">
            <v>KRISTEN</v>
          </cell>
          <cell r="K876" t="str">
            <v>NON KONTRAKTOR</v>
          </cell>
          <cell r="L876">
            <v>2</v>
          </cell>
          <cell r="P876" t="str">
            <v>AKTIF</v>
          </cell>
          <cell r="R876" t="str">
            <v>PERAWATAN</v>
          </cell>
          <cell r="S876" t="str">
            <v>BORONGAN</v>
          </cell>
          <cell r="T876" t="str">
            <v>TUNAI</v>
          </cell>
          <cell r="U876" t="str">
            <v>6109066312770001</v>
          </cell>
          <cell r="V876" t="str">
            <v>LOKAL</v>
          </cell>
        </row>
        <row r="877">
          <cell r="B877" t="str">
            <v>GM-00889</v>
          </cell>
          <cell r="C877" t="str">
            <v>EVI</v>
          </cell>
          <cell r="D877" t="str">
            <v>Ds. RANSA</v>
          </cell>
          <cell r="E877">
            <v>43860</v>
          </cell>
          <cell r="F877" t="str">
            <v>P</v>
          </cell>
          <cell r="G877" t="str">
            <v>KETUNGAU</v>
          </cell>
          <cell r="H877">
            <v>33854</v>
          </cell>
          <cell r="I877" t="str">
            <v>28 TAHUN</v>
          </cell>
          <cell r="J877" t="str">
            <v>KRISTEN</v>
          </cell>
          <cell r="K877" t="str">
            <v>NON KONTRAKTOR</v>
          </cell>
          <cell r="L877">
            <v>2</v>
          </cell>
          <cell r="P877" t="str">
            <v>AKTIF</v>
          </cell>
          <cell r="R877" t="str">
            <v>PERAWATAN</v>
          </cell>
          <cell r="S877" t="str">
            <v>BORONGAN</v>
          </cell>
          <cell r="T877" t="str">
            <v>TUNAI</v>
          </cell>
          <cell r="U877" t="str">
            <v>6109064709920001</v>
          </cell>
          <cell r="V877" t="str">
            <v>LOKAL</v>
          </cell>
        </row>
        <row r="878">
          <cell r="B878" t="str">
            <v>GM-00890</v>
          </cell>
          <cell r="C878" t="str">
            <v>RIJO</v>
          </cell>
          <cell r="D878" t="str">
            <v>TERDUK DAMPAK</v>
          </cell>
          <cell r="E878">
            <v>43850</v>
          </cell>
          <cell r="F878" t="str">
            <v>L</v>
          </cell>
          <cell r="G878" t="str">
            <v>SUJAH</v>
          </cell>
          <cell r="H878">
            <v>34870</v>
          </cell>
          <cell r="I878" t="str">
            <v>25 TAHUN</v>
          </cell>
          <cell r="J878" t="str">
            <v>KRISTEN</v>
          </cell>
          <cell r="K878" t="str">
            <v>NON KONTRAKTOR</v>
          </cell>
          <cell r="L878">
            <v>5</v>
          </cell>
          <cell r="P878" t="str">
            <v>AKTIF</v>
          </cell>
          <cell r="R878" t="str">
            <v>PERAWATAN</v>
          </cell>
          <cell r="S878" t="str">
            <v>BORONGAN</v>
          </cell>
          <cell r="T878" t="str">
            <v>TUNAI</v>
          </cell>
          <cell r="U878" t="str">
            <v>6107052006950001</v>
          </cell>
          <cell r="V878" t="str">
            <v>LOKAL</v>
          </cell>
        </row>
        <row r="879">
          <cell r="B879" t="str">
            <v>GM-00891</v>
          </cell>
          <cell r="C879" t="str">
            <v>YANTI</v>
          </cell>
          <cell r="D879" t="str">
            <v>TERDUK DAMPAK</v>
          </cell>
          <cell r="E879">
            <v>43850</v>
          </cell>
          <cell r="F879" t="str">
            <v>P</v>
          </cell>
          <cell r="G879" t="str">
            <v>TERDUK DAMPAK</v>
          </cell>
          <cell r="H879">
            <v>32732</v>
          </cell>
          <cell r="I879" t="str">
            <v>31 TAHUN</v>
          </cell>
          <cell r="J879" t="str">
            <v>KRISTEN</v>
          </cell>
          <cell r="K879" t="str">
            <v>NON KONTRAKTOR</v>
          </cell>
          <cell r="L879">
            <v>5</v>
          </cell>
          <cell r="M879" t="str">
            <v>YANTI</v>
          </cell>
          <cell r="N879">
            <v>908045985</v>
          </cell>
          <cell r="O879" t="str">
            <v>BNI</v>
          </cell>
          <cell r="P879" t="str">
            <v>AKTIF</v>
          </cell>
          <cell r="R879" t="str">
            <v>PERAWATAN</v>
          </cell>
          <cell r="S879" t="str">
            <v>BORONGAN</v>
          </cell>
          <cell r="T879" t="str">
            <v>TRANSFER</v>
          </cell>
          <cell r="U879" t="str">
            <v>6108135208890001</v>
          </cell>
          <cell r="V879" t="str">
            <v>LOKAL</v>
          </cell>
        </row>
        <row r="880">
          <cell r="B880" t="str">
            <v>GM-00892</v>
          </cell>
          <cell r="C880" t="str">
            <v>NATALIAN LASA</v>
          </cell>
          <cell r="D880" t="str">
            <v>BARAK G10 DIV 3</v>
          </cell>
          <cell r="E880">
            <v>43852</v>
          </cell>
          <cell r="F880" t="str">
            <v>L</v>
          </cell>
          <cell r="G880" t="str">
            <v>WEONG</v>
          </cell>
          <cell r="H880">
            <v>34831</v>
          </cell>
          <cell r="I880" t="str">
            <v>25 TAHUN</v>
          </cell>
          <cell r="J880" t="str">
            <v>KATHOLIK</v>
          </cell>
          <cell r="K880" t="str">
            <v>DENY</v>
          </cell>
          <cell r="L880">
            <v>3</v>
          </cell>
          <cell r="P880" t="str">
            <v>AKTIF</v>
          </cell>
          <cell r="R880" t="str">
            <v>PERAWATAN</v>
          </cell>
          <cell r="S880" t="str">
            <v>BORONGAN</v>
          </cell>
          <cell r="T880" t="str">
            <v>TUNAI</v>
          </cell>
          <cell r="U880" t="str">
            <v>531903120590002</v>
          </cell>
          <cell r="V880" t="str">
            <v>AKAD</v>
          </cell>
        </row>
        <row r="881">
          <cell r="B881" t="str">
            <v>GM-00893</v>
          </cell>
          <cell r="C881" t="str">
            <v>MUKHAMAD SAMSUL ARIF</v>
          </cell>
          <cell r="D881" t="str">
            <v>BARAK G10 DIV 3</v>
          </cell>
          <cell r="E881">
            <v>43852</v>
          </cell>
          <cell r="F881" t="str">
            <v>L</v>
          </cell>
          <cell r="G881" t="str">
            <v>DSN. SUBONTORO</v>
          </cell>
          <cell r="H881">
            <v>36593</v>
          </cell>
          <cell r="I881" t="str">
            <v>20 TAHUN</v>
          </cell>
          <cell r="J881" t="str">
            <v>ISLAM</v>
          </cell>
          <cell r="K881" t="str">
            <v>DENY</v>
          </cell>
          <cell r="L881">
            <v>3</v>
          </cell>
          <cell r="P881" t="str">
            <v>AKTIF</v>
          </cell>
          <cell r="R881" t="str">
            <v>PERAWATAN</v>
          </cell>
          <cell r="S881" t="str">
            <v>BORONGAN</v>
          </cell>
          <cell r="T881" t="str">
            <v>TUNAI</v>
          </cell>
          <cell r="U881" t="str">
            <v>351611080300003</v>
          </cell>
          <cell r="V881" t="str">
            <v>AKAD</v>
          </cell>
        </row>
        <row r="882">
          <cell r="B882" t="str">
            <v>GM-00894</v>
          </cell>
          <cell r="C882" t="str">
            <v>AGUNG ILMAKHFIDI</v>
          </cell>
          <cell r="D882" t="str">
            <v>BARAK G10 DIV 3</v>
          </cell>
          <cell r="E882">
            <v>43852</v>
          </cell>
          <cell r="F882" t="str">
            <v>L</v>
          </cell>
          <cell r="G882" t="str">
            <v>DSN. SUBONTORO</v>
          </cell>
          <cell r="H882">
            <v>33837</v>
          </cell>
          <cell r="I882" t="str">
            <v>28 TAHUN</v>
          </cell>
          <cell r="J882" t="str">
            <v>ISLAM</v>
          </cell>
          <cell r="K882" t="str">
            <v>DENY</v>
          </cell>
          <cell r="L882">
            <v>3</v>
          </cell>
          <cell r="P882" t="str">
            <v>AKTIF</v>
          </cell>
          <cell r="R882" t="str">
            <v>PERAWATAN</v>
          </cell>
          <cell r="S882" t="str">
            <v>BORONGAN</v>
          </cell>
          <cell r="T882" t="str">
            <v>TUNAI</v>
          </cell>
          <cell r="U882" t="str">
            <v>351612108920005</v>
          </cell>
          <cell r="V882" t="str">
            <v>AKAD</v>
          </cell>
        </row>
        <row r="883">
          <cell r="B883" t="str">
            <v>GM-00895</v>
          </cell>
          <cell r="C883" t="str">
            <v>ANDIK</v>
          </cell>
          <cell r="D883" t="str">
            <v>BARAK G10 DIV 3</v>
          </cell>
          <cell r="E883">
            <v>43852</v>
          </cell>
          <cell r="F883" t="str">
            <v>L</v>
          </cell>
          <cell r="G883" t="str">
            <v>MALANG</v>
          </cell>
          <cell r="H883">
            <v>27889</v>
          </cell>
          <cell r="I883" t="str">
            <v>44 TAHUN</v>
          </cell>
          <cell r="J883" t="str">
            <v>ISLAM</v>
          </cell>
          <cell r="K883" t="str">
            <v>DENY</v>
          </cell>
          <cell r="L883">
            <v>3</v>
          </cell>
          <cell r="M883" t="str">
            <v>ANDIK</v>
          </cell>
          <cell r="N883">
            <v>1043293238</v>
          </cell>
          <cell r="O883" t="str">
            <v>BNI</v>
          </cell>
          <cell r="P883" t="str">
            <v>AKTIF</v>
          </cell>
          <cell r="R883" t="str">
            <v>PANEN</v>
          </cell>
          <cell r="S883" t="str">
            <v>BORONGAN</v>
          </cell>
          <cell r="T883" t="str">
            <v>TRANSFER</v>
          </cell>
          <cell r="U883" t="str">
            <v>3507060905760000</v>
          </cell>
          <cell r="V883" t="str">
            <v>AKAD</v>
          </cell>
        </row>
        <row r="884">
          <cell r="B884" t="str">
            <v>GM-00896</v>
          </cell>
          <cell r="C884" t="str">
            <v>ROKIM</v>
          </cell>
          <cell r="D884" t="str">
            <v>BARAK G10 DIV 3</v>
          </cell>
          <cell r="E884">
            <v>43852</v>
          </cell>
          <cell r="F884" t="str">
            <v>L</v>
          </cell>
          <cell r="G884" t="str">
            <v>MALANG</v>
          </cell>
          <cell r="H884">
            <v>33031</v>
          </cell>
          <cell r="I884" t="str">
            <v>30 TAHUN</v>
          </cell>
          <cell r="J884" t="str">
            <v>ISLAM</v>
          </cell>
          <cell r="K884" t="str">
            <v>DENY</v>
          </cell>
          <cell r="L884">
            <v>3</v>
          </cell>
          <cell r="M884" t="str">
            <v>ROKIM</v>
          </cell>
          <cell r="N884">
            <v>1043293249</v>
          </cell>
          <cell r="O884" t="str">
            <v>BNI</v>
          </cell>
          <cell r="P884" t="str">
            <v>AKTIF</v>
          </cell>
          <cell r="R884" t="str">
            <v>PANEN</v>
          </cell>
          <cell r="S884" t="str">
            <v>BORONGAN</v>
          </cell>
          <cell r="T884" t="str">
            <v>TRANSFER</v>
          </cell>
          <cell r="U884" t="str">
            <v>350706070699000</v>
          </cell>
          <cell r="V884" t="str">
            <v>AKAD</v>
          </cell>
        </row>
        <row r="885">
          <cell r="B885" t="str">
            <v>GM-00897</v>
          </cell>
          <cell r="C885" t="str">
            <v>ARIEF NISWORO HADI</v>
          </cell>
          <cell r="D885" t="str">
            <v>BARAK G10 DIV 3</v>
          </cell>
          <cell r="E885">
            <v>43852</v>
          </cell>
          <cell r="F885" t="str">
            <v>L</v>
          </cell>
          <cell r="G885" t="str">
            <v>LAMONGAN</v>
          </cell>
          <cell r="H885">
            <v>33420</v>
          </cell>
          <cell r="I885" t="str">
            <v>29 TAHUN</v>
          </cell>
          <cell r="J885" t="str">
            <v>ISLAM</v>
          </cell>
          <cell r="K885" t="str">
            <v>DENY</v>
          </cell>
          <cell r="L885">
            <v>3</v>
          </cell>
          <cell r="P885" t="str">
            <v>AKTIF</v>
          </cell>
          <cell r="R885" t="str">
            <v>PERAWATAN</v>
          </cell>
          <cell r="S885" t="str">
            <v>BORONGAN</v>
          </cell>
          <cell r="T885" t="str">
            <v>TUNAI</v>
          </cell>
          <cell r="U885" t="str">
            <v>352419010791000</v>
          </cell>
          <cell r="V885" t="str">
            <v>AKAD</v>
          </cell>
        </row>
        <row r="886">
          <cell r="B886" t="str">
            <v>GM-00898</v>
          </cell>
          <cell r="C886" t="str">
            <v>MUKTAR</v>
          </cell>
          <cell r="D886" t="str">
            <v>BARAK G10 DIV 3</v>
          </cell>
          <cell r="E886">
            <v>43852</v>
          </cell>
          <cell r="F886" t="str">
            <v>L</v>
          </cell>
          <cell r="G886" t="str">
            <v>MANGGARAI</v>
          </cell>
          <cell r="H886">
            <v>27018</v>
          </cell>
          <cell r="I886" t="str">
            <v>47 TAHUN</v>
          </cell>
          <cell r="J886" t="str">
            <v>ISLAM</v>
          </cell>
          <cell r="K886" t="str">
            <v>DENY</v>
          </cell>
          <cell r="L886">
            <v>3</v>
          </cell>
          <cell r="P886" t="str">
            <v>AKTIF</v>
          </cell>
          <cell r="R886" t="str">
            <v>PERAWATAN</v>
          </cell>
          <cell r="S886" t="str">
            <v>BORONGAN</v>
          </cell>
          <cell r="T886" t="str">
            <v>TUNAI</v>
          </cell>
          <cell r="V886" t="str">
            <v>AKAD</v>
          </cell>
        </row>
        <row r="887">
          <cell r="B887" t="str">
            <v>GM-00899</v>
          </cell>
          <cell r="C887" t="str">
            <v>KADARIA</v>
          </cell>
          <cell r="D887" t="str">
            <v>BARAK G10 DIV 3</v>
          </cell>
          <cell r="E887">
            <v>43852</v>
          </cell>
          <cell r="F887" t="str">
            <v>P</v>
          </cell>
          <cell r="G887" t="str">
            <v>MAMPAWAH</v>
          </cell>
          <cell r="H887">
            <v>28179</v>
          </cell>
          <cell r="I887" t="str">
            <v>43 TAHUN</v>
          </cell>
          <cell r="J887" t="str">
            <v>ISLAM</v>
          </cell>
          <cell r="K887" t="str">
            <v>DENY</v>
          </cell>
          <cell r="L887">
            <v>3</v>
          </cell>
          <cell r="M887" t="str">
            <v>KADARIA</v>
          </cell>
          <cell r="N887">
            <v>1120518053</v>
          </cell>
          <cell r="O887" t="str">
            <v>BNI</v>
          </cell>
          <cell r="P887" t="str">
            <v>AKTIF</v>
          </cell>
          <cell r="R887" t="str">
            <v>PERAWATAN</v>
          </cell>
          <cell r="S887" t="str">
            <v>BORONGAN</v>
          </cell>
          <cell r="T887" t="str">
            <v>TRANSFER</v>
          </cell>
          <cell r="U887" t="str">
            <v>610218630277000</v>
          </cell>
          <cell r="V887" t="str">
            <v>AKAD</v>
          </cell>
        </row>
        <row r="888">
          <cell r="B888" t="str">
            <v>GM-00900</v>
          </cell>
          <cell r="C888" t="str">
            <v>RUMALING</v>
          </cell>
          <cell r="D888" t="str">
            <v>BARAK G10 DIV 2</v>
          </cell>
          <cell r="E888">
            <v>43861</v>
          </cell>
          <cell r="F888" t="str">
            <v>L</v>
          </cell>
          <cell r="G888" t="str">
            <v>TANAH BARU</v>
          </cell>
          <cell r="H888">
            <v>22281</v>
          </cell>
          <cell r="I888" t="str">
            <v>60 TAHUN</v>
          </cell>
          <cell r="J888" t="str">
            <v>ISLAM</v>
          </cell>
          <cell r="K888" t="str">
            <v>NURSAIL</v>
          </cell>
          <cell r="L888">
            <v>2</v>
          </cell>
          <cell r="P888" t="str">
            <v>AKTIF</v>
          </cell>
          <cell r="R888" t="str">
            <v>PERAWATAN</v>
          </cell>
          <cell r="S888" t="str">
            <v>BORONGAN</v>
          </cell>
          <cell r="T888" t="str">
            <v>TUNAI</v>
          </cell>
          <cell r="U888" t="str">
            <v>7302033112600102</v>
          </cell>
          <cell r="V888" t="str">
            <v>AKAD</v>
          </cell>
        </row>
        <row r="889">
          <cell r="B889" t="str">
            <v>GM-00901</v>
          </cell>
          <cell r="C889" t="str">
            <v>KAMARUDDIN BIN KARONCING</v>
          </cell>
          <cell r="D889" t="str">
            <v>BARAK G10 DIV 2</v>
          </cell>
          <cell r="E889">
            <v>43861</v>
          </cell>
          <cell r="F889" t="str">
            <v>L</v>
          </cell>
          <cell r="G889" t="str">
            <v>BULU KUMBA</v>
          </cell>
          <cell r="H889">
            <v>28004</v>
          </cell>
          <cell r="I889" t="str">
            <v>44 TAHUN</v>
          </cell>
          <cell r="J889" t="str">
            <v>ISLAM</v>
          </cell>
          <cell r="K889" t="str">
            <v>NURSAIL</v>
          </cell>
          <cell r="L889">
            <v>2</v>
          </cell>
          <cell r="P889" t="str">
            <v>AKTIF</v>
          </cell>
          <cell r="R889" t="str">
            <v>PERAWATAN</v>
          </cell>
          <cell r="S889" t="str">
            <v>BORONGAN</v>
          </cell>
          <cell r="T889" t="str">
            <v>TUNAI</v>
          </cell>
          <cell r="U889" t="str">
            <v>7302020109760001</v>
          </cell>
          <cell r="V889" t="str">
            <v>AKAD</v>
          </cell>
        </row>
        <row r="890">
          <cell r="B890" t="str">
            <v>GM-00902</v>
          </cell>
          <cell r="C890" t="str">
            <v>HERMAN</v>
          </cell>
          <cell r="D890" t="str">
            <v>BARAK G10 DIV 2</v>
          </cell>
          <cell r="E890">
            <v>43861</v>
          </cell>
          <cell r="F890" t="str">
            <v>L</v>
          </cell>
          <cell r="G890" t="str">
            <v>POLAMAN</v>
          </cell>
          <cell r="H890">
            <v>26197</v>
          </cell>
          <cell r="I890" t="str">
            <v>49 TAHUN</v>
          </cell>
          <cell r="J890" t="str">
            <v>ISLAM</v>
          </cell>
          <cell r="K890" t="str">
            <v>NURSAIL</v>
          </cell>
          <cell r="L890">
            <v>2</v>
          </cell>
          <cell r="P890" t="str">
            <v>AKTIF</v>
          </cell>
          <cell r="R890" t="str">
            <v>PERAWATAN</v>
          </cell>
          <cell r="S890" t="str">
            <v>BORONGAN</v>
          </cell>
          <cell r="T890" t="str">
            <v>TUNAI</v>
          </cell>
          <cell r="U890" t="str">
            <v>7303052109710001</v>
          </cell>
          <cell r="V890" t="str">
            <v>AKAD</v>
          </cell>
        </row>
        <row r="891">
          <cell r="B891" t="str">
            <v>GM-00903</v>
          </cell>
          <cell r="C891" t="str">
            <v>ASPAR ASWIN</v>
          </cell>
          <cell r="D891" t="str">
            <v>Ds. RANSA</v>
          </cell>
          <cell r="E891">
            <v>43865</v>
          </cell>
          <cell r="F891" t="str">
            <v>L</v>
          </cell>
          <cell r="G891" t="str">
            <v>BALAU NYAWANG</v>
          </cell>
          <cell r="H891">
            <v>37815</v>
          </cell>
          <cell r="I891" t="str">
            <v>17 TAHUN</v>
          </cell>
          <cell r="J891" t="str">
            <v>KRISTEN</v>
          </cell>
          <cell r="K891" t="str">
            <v>NON KONTRAKTOR</v>
          </cell>
          <cell r="L891">
            <v>2</v>
          </cell>
          <cell r="P891" t="str">
            <v>AKTIF</v>
          </cell>
          <cell r="R891" t="str">
            <v>PERAWATAN</v>
          </cell>
          <cell r="S891" t="str">
            <v>BORONGAN</v>
          </cell>
          <cell r="T891" t="str">
            <v>TUNAI</v>
          </cell>
          <cell r="U891" t="str">
            <v>6109060307030001</v>
          </cell>
          <cell r="V891" t="str">
            <v>LOKAL</v>
          </cell>
        </row>
        <row r="892">
          <cell r="B892" t="str">
            <v>GM-00904</v>
          </cell>
          <cell r="C892" t="str">
            <v>ITURIANUS</v>
          </cell>
          <cell r="D892" t="str">
            <v>Ds. RANSA</v>
          </cell>
          <cell r="E892">
            <v>43865</v>
          </cell>
          <cell r="F892" t="str">
            <v>L</v>
          </cell>
          <cell r="G892" t="str">
            <v>TEMEDAK MERAT</v>
          </cell>
          <cell r="H892">
            <v>37897</v>
          </cell>
          <cell r="I892" t="str">
            <v>17 TAHUN</v>
          </cell>
          <cell r="J892" t="str">
            <v>KRISTEN</v>
          </cell>
          <cell r="K892" t="str">
            <v>NON KONTRAKTOR</v>
          </cell>
          <cell r="L892">
            <v>2</v>
          </cell>
          <cell r="P892" t="str">
            <v>AKTIF</v>
          </cell>
          <cell r="R892" t="str">
            <v>PANEN</v>
          </cell>
          <cell r="S892" t="str">
            <v>BORONGAN</v>
          </cell>
          <cell r="T892" t="str">
            <v>TUNAI</v>
          </cell>
          <cell r="U892" t="str">
            <v>6109060310030004</v>
          </cell>
          <cell r="V892" t="str">
            <v>LOKAL</v>
          </cell>
        </row>
        <row r="893">
          <cell r="B893" t="str">
            <v>GM-00905</v>
          </cell>
          <cell r="C893" t="str">
            <v>KORNIAWAN</v>
          </cell>
          <cell r="D893" t="str">
            <v>Ds. RANSA</v>
          </cell>
          <cell r="E893">
            <v>43867</v>
          </cell>
          <cell r="F893" t="str">
            <v>L</v>
          </cell>
          <cell r="G893" t="str">
            <v>ENGKUDU</v>
          </cell>
          <cell r="H893">
            <v>37153</v>
          </cell>
          <cell r="I893" t="str">
            <v>19 TAHUN</v>
          </cell>
          <cell r="J893" t="str">
            <v>KRISTEN</v>
          </cell>
          <cell r="K893" t="str">
            <v>NON KONTRAKTOR</v>
          </cell>
          <cell r="L893">
            <v>2</v>
          </cell>
          <cell r="P893" t="str">
            <v>AKTIF</v>
          </cell>
          <cell r="R893" t="str">
            <v>PERAWATAN</v>
          </cell>
          <cell r="S893" t="str">
            <v>BORONGAN</v>
          </cell>
          <cell r="T893" t="str">
            <v>TUNAI</v>
          </cell>
          <cell r="U893" t="str">
            <v>6109061709010002</v>
          </cell>
          <cell r="V893" t="str">
            <v>LOKAL</v>
          </cell>
        </row>
        <row r="894">
          <cell r="B894" t="str">
            <v>GM-00906</v>
          </cell>
          <cell r="C894" t="str">
            <v>DIONISIUS RULEN</v>
          </cell>
          <cell r="D894" t="str">
            <v>BARAK G10 DIV 4</v>
          </cell>
          <cell r="E894">
            <v>43867</v>
          </cell>
          <cell r="F894" t="str">
            <v>L</v>
          </cell>
          <cell r="G894" t="str">
            <v>SUM RAYA</v>
          </cell>
          <cell r="H894">
            <v>35719</v>
          </cell>
          <cell r="I894" t="str">
            <v>23 TAHUN</v>
          </cell>
          <cell r="J894" t="str">
            <v>KATHOLIK</v>
          </cell>
          <cell r="K894" t="str">
            <v>SELIKI</v>
          </cell>
          <cell r="L894">
            <v>4</v>
          </cell>
          <cell r="P894" t="str">
            <v>AKTIF</v>
          </cell>
          <cell r="R894" t="str">
            <v>PERAWATAN</v>
          </cell>
          <cell r="S894" t="str">
            <v>BORONGAN</v>
          </cell>
          <cell r="T894" t="str">
            <v>TUNAI</v>
          </cell>
          <cell r="U894" t="str">
            <v>6103051610970002</v>
          </cell>
          <cell r="V894" t="str">
            <v>LOKAL</v>
          </cell>
        </row>
        <row r="895">
          <cell r="B895" t="str">
            <v>GM-00907</v>
          </cell>
          <cell r="C895" t="str">
            <v>RUDI RATONO</v>
          </cell>
          <cell r="D895" t="str">
            <v>BARAK G10 DIV 4</v>
          </cell>
          <cell r="E895">
            <v>43867</v>
          </cell>
          <cell r="F895" t="str">
            <v>L</v>
          </cell>
          <cell r="G895" t="str">
            <v>SUM RAYA</v>
          </cell>
          <cell r="H895">
            <v>30544</v>
          </cell>
          <cell r="I895" t="str">
            <v>37 TAHUN</v>
          </cell>
          <cell r="J895" t="str">
            <v>KATHOLIK</v>
          </cell>
          <cell r="K895" t="str">
            <v>SELIKI</v>
          </cell>
          <cell r="L895">
            <v>4</v>
          </cell>
          <cell r="P895" t="str">
            <v>AKTIF</v>
          </cell>
          <cell r="R895" t="str">
            <v>PERAWATAN</v>
          </cell>
          <cell r="S895" t="str">
            <v>BORONGAN</v>
          </cell>
          <cell r="T895" t="str">
            <v>TUNAI</v>
          </cell>
          <cell r="U895" t="str">
            <v>6103051608830001</v>
          </cell>
          <cell r="V895" t="str">
            <v>LOKAL</v>
          </cell>
        </row>
        <row r="896">
          <cell r="B896" t="str">
            <v>GM-00908</v>
          </cell>
          <cell r="C896" t="str">
            <v>SALIS</v>
          </cell>
          <cell r="D896" t="str">
            <v>BARAK G10 DIV 4</v>
          </cell>
          <cell r="E896">
            <v>43867</v>
          </cell>
          <cell r="F896" t="str">
            <v>L</v>
          </cell>
          <cell r="G896" t="str">
            <v>NANGA SADUS</v>
          </cell>
          <cell r="H896">
            <v>30416</v>
          </cell>
          <cell r="I896" t="str">
            <v>37 TAHUN</v>
          </cell>
          <cell r="J896" t="str">
            <v>KRISTEN</v>
          </cell>
          <cell r="K896" t="str">
            <v>NON KONTRAKTOR</v>
          </cell>
          <cell r="L896">
            <v>4</v>
          </cell>
          <cell r="P896" t="str">
            <v>AKTIF</v>
          </cell>
          <cell r="R896" t="str">
            <v>PANEN</v>
          </cell>
          <cell r="S896" t="str">
            <v>BORONGAN</v>
          </cell>
          <cell r="T896" t="str">
            <v>TUNAI</v>
          </cell>
          <cell r="U896" t="str">
            <v>6109061004830001</v>
          </cell>
          <cell r="V896" t="str">
            <v>LOKAL</v>
          </cell>
        </row>
        <row r="897">
          <cell r="B897" t="str">
            <v>GM-00909</v>
          </cell>
          <cell r="C897" t="str">
            <v>SUPAR PAULUS</v>
          </cell>
          <cell r="D897" t="str">
            <v>BARAK G10 DIV 4</v>
          </cell>
          <cell r="E897">
            <v>43867</v>
          </cell>
          <cell r="F897" t="str">
            <v>L</v>
          </cell>
          <cell r="G897" t="str">
            <v>BENUANG</v>
          </cell>
          <cell r="H897">
            <v>30027</v>
          </cell>
          <cell r="I897" t="str">
            <v>38 TAHUN</v>
          </cell>
          <cell r="J897" t="str">
            <v>KATHOLIK</v>
          </cell>
          <cell r="K897" t="str">
            <v>SELIKI</v>
          </cell>
          <cell r="L897">
            <v>4</v>
          </cell>
          <cell r="P897" t="str">
            <v>AKTIF</v>
          </cell>
          <cell r="R897" t="str">
            <v>PERAWATAN</v>
          </cell>
          <cell r="S897" t="str">
            <v>BORONGAN</v>
          </cell>
          <cell r="T897" t="str">
            <v>TUNAI</v>
          </cell>
          <cell r="U897" t="str">
            <v>6103041703820003</v>
          </cell>
          <cell r="V897" t="str">
            <v>LOKAL</v>
          </cell>
        </row>
        <row r="898">
          <cell r="B898" t="str">
            <v>GM-00910</v>
          </cell>
          <cell r="C898" t="str">
            <v>YAHYA</v>
          </cell>
          <cell r="D898" t="str">
            <v>BARAK G10 DIV 4</v>
          </cell>
          <cell r="E898">
            <v>43867</v>
          </cell>
          <cell r="F898" t="str">
            <v>L</v>
          </cell>
          <cell r="G898" t="str">
            <v xml:space="preserve">SUM </v>
          </cell>
          <cell r="H898">
            <v>33164</v>
          </cell>
          <cell r="I898" t="str">
            <v>30 TAHUN</v>
          </cell>
          <cell r="J898" t="str">
            <v>KATHOLIK</v>
          </cell>
          <cell r="K898" t="str">
            <v>SELIKI</v>
          </cell>
          <cell r="L898">
            <v>4</v>
          </cell>
          <cell r="P898" t="str">
            <v>AKTIF</v>
          </cell>
          <cell r="R898" t="str">
            <v>PERAWATAN</v>
          </cell>
          <cell r="S898" t="str">
            <v>BORONGAN</v>
          </cell>
          <cell r="T898" t="str">
            <v>TUNAI</v>
          </cell>
          <cell r="U898" t="str">
            <v>6103051801900003</v>
          </cell>
          <cell r="V898" t="str">
            <v>LOKAL</v>
          </cell>
        </row>
        <row r="899">
          <cell r="B899" t="str">
            <v>GM-00911</v>
          </cell>
          <cell r="C899" t="str">
            <v>MARTINUS</v>
          </cell>
          <cell r="D899" t="str">
            <v>BARAK G10 DIV 5</v>
          </cell>
          <cell r="E899">
            <v>43868</v>
          </cell>
          <cell r="F899" t="str">
            <v>L</v>
          </cell>
          <cell r="G899" t="str">
            <v>ENGKUDU KERUMAI</v>
          </cell>
          <cell r="H899">
            <v>30177</v>
          </cell>
          <cell r="I899" t="str">
            <v>38 TAHUN</v>
          </cell>
          <cell r="J899" t="str">
            <v>KRISTEN</v>
          </cell>
          <cell r="K899" t="str">
            <v>SELIKI</v>
          </cell>
          <cell r="L899">
            <v>5</v>
          </cell>
          <cell r="P899" t="str">
            <v>AKTIF</v>
          </cell>
          <cell r="R899" t="str">
            <v>PERAWATAN</v>
          </cell>
          <cell r="S899" t="str">
            <v>BORONGAN</v>
          </cell>
          <cell r="T899" t="str">
            <v>TUNAI</v>
          </cell>
          <cell r="U899" t="str">
            <v>6109061408820002</v>
          </cell>
          <cell r="V899" t="str">
            <v>LOKAL</v>
          </cell>
        </row>
        <row r="900">
          <cell r="B900" t="str">
            <v>GM-00912</v>
          </cell>
          <cell r="C900" t="str">
            <v>YOHANES</v>
          </cell>
          <cell r="D900" t="str">
            <v>BARAK G10 DIV 5</v>
          </cell>
          <cell r="E900">
            <v>43868</v>
          </cell>
          <cell r="F900" t="str">
            <v>L</v>
          </cell>
          <cell r="G900" t="str">
            <v>ENGKUDU KERUMAI</v>
          </cell>
          <cell r="H900">
            <v>30122</v>
          </cell>
          <cell r="I900" t="str">
            <v>38 TAHUN</v>
          </cell>
          <cell r="J900" t="str">
            <v>KRISTEN</v>
          </cell>
          <cell r="K900" t="str">
            <v>SELIKI</v>
          </cell>
          <cell r="L900">
            <v>5</v>
          </cell>
          <cell r="P900" t="str">
            <v>AKTIF</v>
          </cell>
          <cell r="R900" t="str">
            <v>PERAWATAN</v>
          </cell>
          <cell r="S900" t="str">
            <v>BORONGAN</v>
          </cell>
          <cell r="T900" t="str">
            <v>TUNAI</v>
          </cell>
          <cell r="U900" t="str">
            <v>6109062006820001</v>
          </cell>
          <cell r="V900" t="str">
            <v>LOKAL</v>
          </cell>
        </row>
        <row r="901">
          <cell r="B901" t="str">
            <v>GM-00913</v>
          </cell>
          <cell r="C901" t="str">
            <v>YUEL</v>
          </cell>
          <cell r="D901" t="str">
            <v>BARAK G10 DIV 5</v>
          </cell>
          <cell r="E901">
            <v>43868</v>
          </cell>
          <cell r="F901" t="str">
            <v>L</v>
          </cell>
          <cell r="G901" t="str">
            <v>ENGKUDU KERUMAI</v>
          </cell>
          <cell r="H901">
            <v>26735</v>
          </cell>
          <cell r="I901" t="str">
            <v>47 TAHUN</v>
          </cell>
          <cell r="J901" t="str">
            <v>KRISTEN</v>
          </cell>
          <cell r="K901" t="str">
            <v>SELIKI</v>
          </cell>
          <cell r="L901">
            <v>5</v>
          </cell>
          <cell r="P901" t="str">
            <v>AKTIF</v>
          </cell>
          <cell r="R901" t="str">
            <v>PERAWATAN</v>
          </cell>
          <cell r="S901" t="str">
            <v>BORONGAN</v>
          </cell>
          <cell r="T901" t="str">
            <v>TUNAI</v>
          </cell>
          <cell r="U901" t="str">
            <v>6109061203730002</v>
          </cell>
          <cell r="V901" t="str">
            <v>LOKAL</v>
          </cell>
        </row>
        <row r="902">
          <cell r="B902" t="str">
            <v>GM-00914</v>
          </cell>
          <cell r="C902" t="str">
            <v>YULIUS</v>
          </cell>
          <cell r="D902" t="str">
            <v>BARAK G10 DIV 5</v>
          </cell>
          <cell r="E902">
            <v>43868</v>
          </cell>
          <cell r="F902" t="str">
            <v>L</v>
          </cell>
          <cell r="G902" t="str">
            <v>ENGKUDU KERUMAI</v>
          </cell>
          <cell r="H902">
            <v>28865</v>
          </cell>
          <cell r="I902" t="str">
            <v>42 TAHUN</v>
          </cell>
          <cell r="J902" t="str">
            <v>KRISTEN</v>
          </cell>
          <cell r="K902" t="str">
            <v>SELIKI</v>
          </cell>
          <cell r="L902">
            <v>5</v>
          </cell>
          <cell r="P902" t="str">
            <v>AKTIF</v>
          </cell>
          <cell r="R902" t="str">
            <v>PERAWATAN</v>
          </cell>
          <cell r="S902" t="str">
            <v>BORONGAN</v>
          </cell>
          <cell r="T902" t="str">
            <v>TUNAI</v>
          </cell>
          <cell r="U902" t="str">
            <v>6109061001790006</v>
          </cell>
          <cell r="V902" t="str">
            <v>LOKAL</v>
          </cell>
        </row>
        <row r="903">
          <cell r="B903" t="str">
            <v>GM-00915</v>
          </cell>
          <cell r="C903" t="str">
            <v>AREI D INDRA</v>
          </cell>
          <cell r="D903" t="str">
            <v>BARAK G10 DIV 5</v>
          </cell>
          <cell r="E903">
            <v>43868</v>
          </cell>
          <cell r="F903" t="str">
            <v>L</v>
          </cell>
          <cell r="G903" t="str">
            <v>ENGKUDU KERUMAI</v>
          </cell>
          <cell r="K903" t="str">
            <v>SELIKI</v>
          </cell>
          <cell r="L903">
            <v>5</v>
          </cell>
          <cell r="P903" t="str">
            <v>AKTIF</v>
          </cell>
          <cell r="R903" t="str">
            <v>PERAWATAN</v>
          </cell>
          <cell r="S903" t="str">
            <v>BORONGAN</v>
          </cell>
          <cell r="T903" t="str">
            <v>TUNAI</v>
          </cell>
          <cell r="V903" t="str">
            <v>LOKAL</v>
          </cell>
        </row>
        <row r="904">
          <cell r="B904" t="str">
            <v>GM-00916</v>
          </cell>
          <cell r="C904" t="str">
            <v>MAKYAH</v>
          </cell>
          <cell r="D904" t="str">
            <v>BARAK G10 DIV 1</v>
          </cell>
          <cell r="E904">
            <v>43871</v>
          </cell>
          <cell r="F904" t="str">
            <v>P</v>
          </cell>
          <cell r="H904">
            <v>22351</v>
          </cell>
          <cell r="I904" t="str">
            <v>59 TAHUN</v>
          </cell>
          <cell r="J904" t="str">
            <v>ISLAM</v>
          </cell>
          <cell r="K904" t="str">
            <v>NURSAIL</v>
          </cell>
          <cell r="L904">
            <v>1</v>
          </cell>
          <cell r="P904" t="str">
            <v>AKTIF</v>
          </cell>
          <cell r="R904" t="str">
            <v>PERAWATAN</v>
          </cell>
          <cell r="S904" t="str">
            <v>BORONGAN</v>
          </cell>
          <cell r="T904" t="str">
            <v>TUNAI</v>
          </cell>
          <cell r="U904" t="str">
            <v>5201145103610001</v>
          </cell>
          <cell r="V904" t="str">
            <v>AKAD</v>
          </cell>
        </row>
        <row r="905">
          <cell r="B905" t="str">
            <v>GM-00917</v>
          </cell>
          <cell r="C905" t="str">
            <v>SUKARDI</v>
          </cell>
          <cell r="D905" t="str">
            <v>BARAK G10 DIV 1</v>
          </cell>
          <cell r="E905">
            <v>43871</v>
          </cell>
          <cell r="F905" t="str">
            <v>L</v>
          </cell>
          <cell r="G905" t="str">
            <v>SURADADI</v>
          </cell>
          <cell r="H905">
            <v>26948</v>
          </cell>
          <cell r="I905" t="str">
            <v>47 TAHUN</v>
          </cell>
          <cell r="J905" t="str">
            <v>ISLAM</v>
          </cell>
          <cell r="K905" t="str">
            <v>NURSAIL</v>
          </cell>
          <cell r="L905">
            <v>1</v>
          </cell>
          <cell r="M905" t="str">
            <v>SUKARDI</v>
          </cell>
          <cell r="N905">
            <v>954802238</v>
          </cell>
          <cell r="O905" t="str">
            <v>BNI</v>
          </cell>
          <cell r="P905" t="str">
            <v>AKTIF</v>
          </cell>
          <cell r="R905" t="str">
            <v>PERAWATAN</v>
          </cell>
          <cell r="S905" t="str">
            <v>BORONGAN</v>
          </cell>
          <cell r="T905" t="str">
            <v>TRANSFER</v>
          </cell>
          <cell r="U905" t="str">
            <v>5208031110730001</v>
          </cell>
          <cell r="V905" t="str">
            <v>AKAD</v>
          </cell>
        </row>
        <row r="906">
          <cell r="B906" t="str">
            <v>GM-00918</v>
          </cell>
          <cell r="C906" t="str">
            <v>MUHIDI</v>
          </cell>
          <cell r="D906" t="str">
            <v>BARAK G10 DIV 1</v>
          </cell>
          <cell r="E906">
            <v>43871</v>
          </cell>
          <cell r="F906" t="str">
            <v>L</v>
          </cell>
          <cell r="G906" t="str">
            <v>SEMPAKOK</v>
          </cell>
          <cell r="H906">
            <v>28320</v>
          </cell>
          <cell r="I906" t="str">
            <v>43 TAHUN</v>
          </cell>
          <cell r="J906" t="str">
            <v>ISLAM</v>
          </cell>
          <cell r="K906" t="str">
            <v>NURSAIL</v>
          </cell>
          <cell r="L906">
            <v>1</v>
          </cell>
          <cell r="M906" t="str">
            <v>MUHIDI</v>
          </cell>
          <cell r="N906">
            <v>954802216</v>
          </cell>
          <cell r="O906" t="str">
            <v>BNI</v>
          </cell>
          <cell r="P906" t="str">
            <v>AKTIF</v>
          </cell>
          <cell r="R906" t="str">
            <v>PERAWATAN</v>
          </cell>
          <cell r="S906" t="str">
            <v>BORONGAN</v>
          </cell>
          <cell r="T906" t="str">
            <v>TRANSFER</v>
          </cell>
          <cell r="U906" t="str">
            <v>5208031407770001</v>
          </cell>
          <cell r="V906" t="str">
            <v>AKAD</v>
          </cell>
        </row>
        <row r="907">
          <cell r="B907" t="str">
            <v>GM-00919</v>
          </cell>
          <cell r="C907" t="str">
            <v>SUDIRMAN</v>
          </cell>
          <cell r="D907" t="str">
            <v>BARAK G10 DIV 1</v>
          </cell>
          <cell r="E907">
            <v>43871</v>
          </cell>
          <cell r="F907" t="str">
            <v>L</v>
          </cell>
          <cell r="G907" t="str">
            <v>SEMPAKOK</v>
          </cell>
          <cell r="H907">
            <v>27759</v>
          </cell>
          <cell r="I907" t="str">
            <v>45 TAHUN</v>
          </cell>
          <cell r="J907" t="str">
            <v>ISLAM</v>
          </cell>
          <cell r="K907" t="str">
            <v>NURSAIL</v>
          </cell>
          <cell r="L907">
            <v>1</v>
          </cell>
          <cell r="M907" t="str">
            <v>SUDIRMAN</v>
          </cell>
          <cell r="N907">
            <v>954802374</v>
          </cell>
          <cell r="O907" t="str">
            <v>BNI</v>
          </cell>
          <cell r="P907" t="str">
            <v>AKTIF</v>
          </cell>
          <cell r="R907" t="str">
            <v>PERAWATAN</v>
          </cell>
          <cell r="S907" t="str">
            <v>BORONGAN</v>
          </cell>
          <cell r="T907" t="str">
            <v>TRANSFER</v>
          </cell>
          <cell r="U907" t="str">
            <v>5208031311750001</v>
          </cell>
          <cell r="V907" t="str">
            <v>AKAD</v>
          </cell>
        </row>
        <row r="908">
          <cell r="B908" t="str">
            <v>GM-00920</v>
          </cell>
          <cell r="C908" t="str">
            <v>KORNELIA TINUR</v>
          </cell>
          <cell r="D908" t="str">
            <v>BARAK G10 DIV 3</v>
          </cell>
          <cell r="E908">
            <v>43872</v>
          </cell>
          <cell r="F908" t="str">
            <v>P</v>
          </cell>
          <cell r="G908" t="str">
            <v>CUMBI</v>
          </cell>
          <cell r="H908">
            <v>28946</v>
          </cell>
          <cell r="I908" t="str">
            <v>41 TAHUN</v>
          </cell>
          <cell r="J908" t="str">
            <v>KATHOLIK</v>
          </cell>
          <cell r="K908" t="str">
            <v>DENY</v>
          </cell>
          <cell r="L908">
            <v>3</v>
          </cell>
          <cell r="P908" t="str">
            <v>AKTIF</v>
          </cell>
          <cell r="R908" t="str">
            <v>PERAWATAN</v>
          </cell>
          <cell r="S908" t="str">
            <v>BORONGAN</v>
          </cell>
          <cell r="T908" t="str">
            <v>TUNAI</v>
          </cell>
          <cell r="U908" t="str">
            <v>5319044104790003</v>
          </cell>
          <cell r="V908" t="str">
            <v>AKAD</v>
          </cell>
        </row>
        <row r="909">
          <cell r="B909" t="str">
            <v>GM-00921</v>
          </cell>
          <cell r="C909" t="str">
            <v>JUNAIDIN</v>
          </cell>
          <cell r="D909" t="str">
            <v>BARAK G10 DIV 3</v>
          </cell>
          <cell r="E909">
            <v>43872</v>
          </cell>
          <cell r="F909" t="str">
            <v>L</v>
          </cell>
          <cell r="G909" t="str">
            <v>BALI</v>
          </cell>
          <cell r="H909">
            <v>25969</v>
          </cell>
          <cell r="I909" t="str">
            <v>49 TAHUN</v>
          </cell>
          <cell r="J909" t="str">
            <v>ISLAM</v>
          </cell>
          <cell r="K909" t="str">
            <v>DENY</v>
          </cell>
          <cell r="L909">
            <v>5</v>
          </cell>
          <cell r="P909" t="str">
            <v>AKTIF</v>
          </cell>
          <cell r="R909" t="str">
            <v>PERAWATAN</v>
          </cell>
          <cell r="S909" t="str">
            <v>BORONGAN</v>
          </cell>
          <cell r="T909" t="str">
            <v>TUNAI</v>
          </cell>
          <cell r="U909" t="str">
            <v>5319040107730320</v>
          </cell>
          <cell r="V909" t="str">
            <v>AKAD</v>
          </cell>
        </row>
        <row r="910">
          <cell r="B910" t="str">
            <v>GM-00922</v>
          </cell>
          <cell r="C910" t="str">
            <v>NIRWANTO SUBAN</v>
          </cell>
          <cell r="D910" t="str">
            <v>BARAK G10 DIV 3</v>
          </cell>
          <cell r="E910">
            <v>43872</v>
          </cell>
          <cell r="F910" t="str">
            <v>L</v>
          </cell>
          <cell r="G910" t="str">
            <v>LAWI</v>
          </cell>
          <cell r="H910">
            <v>34153</v>
          </cell>
          <cell r="I910" t="str">
            <v>27 TAHUN</v>
          </cell>
          <cell r="J910" t="str">
            <v>ISLAM</v>
          </cell>
          <cell r="K910" t="str">
            <v>DENY</v>
          </cell>
          <cell r="L910">
            <v>5</v>
          </cell>
          <cell r="P910" t="str">
            <v>AKTIF</v>
          </cell>
          <cell r="R910" t="str">
            <v>PERAWATAN</v>
          </cell>
          <cell r="S910" t="str">
            <v>BORONGAN</v>
          </cell>
          <cell r="T910" t="str">
            <v>TUNAI</v>
          </cell>
          <cell r="U910" t="str">
            <v>5319040309870002</v>
          </cell>
          <cell r="V910" t="str">
            <v>AKAD</v>
          </cell>
        </row>
        <row r="911">
          <cell r="B911" t="str">
            <v>GM-00923</v>
          </cell>
          <cell r="C911" t="str">
            <v>BENIDIKTUS BASRI</v>
          </cell>
          <cell r="D911" t="str">
            <v>BARAK G10 DIV 3</v>
          </cell>
          <cell r="E911">
            <v>43872</v>
          </cell>
          <cell r="F911" t="str">
            <v>L</v>
          </cell>
          <cell r="G911" t="str">
            <v>KENDA</v>
          </cell>
          <cell r="H911">
            <v>32975</v>
          </cell>
          <cell r="I911" t="str">
            <v>30 TAHUN</v>
          </cell>
          <cell r="J911" t="str">
            <v>KATHOLIK</v>
          </cell>
          <cell r="K911" t="str">
            <v>DENY</v>
          </cell>
          <cell r="L911">
            <v>2</v>
          </cell>
          <cell r="P911" t="str">
            <v>AKTIF</v>
          </cell>
          <cell r="R911" t="str">
            <v>PERAWATAN</v>
          </cell>
          <cell r="S911" t="str">
            <v>BORONGAN</v>
          </cell>
          <cell r="T911" t="str">
            <v>TUNAI</v>
          </cell>
          <cell r="U911" t="str">
            <v>5319040309870002</v>
          </cell>
          <cell r="V911" t="str">
            <v>AKAD</v>
          </cell>
        </row>
        <row r="912">
          <cell r="B912" t="str">
            <v>GM-00924</v>
          </cell>
          <cell r="C912" t="str">
            <v>MARNIANA INUT</v>
          </cell>
          <cell r="D912" t="str">
            <v>BARAK G10 DIV 3</v>
          </cell>
          <cell r="E912">
            <v>43872</v>
          </cell>
          <cell r="F912" t="str">
            <v>P</v>
          </cell>
          <cell r="G912" t="str">
            <v>LURUT</v>
          </cell>
          <cell r="H912">
            <v>34916</v>
          </cell>
          <cell r="I912" t="str">
            <v>25 TAHUN</v>
          </cell>
          <cell r="J912" t="str">
            <v>KATHOLIK</v>
          </cell>
          <cell r="K912" t="str">
            <v>DENY</v>
          </cell>
          <cell r="L912">
            <v>3</v>
          </cell>
          <cell r="P912" t="str">
            <v>AKTIF</v>
          </cell>
          <cell r="R912" t="str">
            <v>PERAWATAN</v>
          </cell>
          <cell r="S912" t="str">
            <v>BORONGAN</v>
          </cell>
          <cell r="T912" t="str">
            <v>TUNAI</v>
          </cell>
          <cell r="U912" t="str">
            <v>5319016508950002</v>
          </cell>
          <cell r="V912" t="str">
            <v>AKAD</v>
          </cell>
        </row>
        <row r="913">
          <cell r="B913" t="str">
            <v>GM-00925</v>
          </cell>
          <cell r="C913" t="str">
            <v>SULAIMAN YULIANTO</v>
          </cell>
          <cell r="D913" t="str">
            <v>BARAK G10 DIV 3</v>
          </cell>
          <cell r="E913">
            <v>43872</v>
          </cell>
          <cell r="F913" t="str">
            <v>L</v>
          </cell>
          <cell r="G913" t="str">
            <v>LAWI</v>
          </cell>
          <cell r="H913">
            <v>32844</v>
          </cell>
          <cell r="I913" t="str">
            <v>31 TAHUN</v>
          </cell>
          <cell r="J913" t="str">
            <v>ISLAM</v>
          </cell>
          <cell r="K913" t="str">
            <v>DENY</v>
          </cell>
          <cell r="L913">
            <v>2</v>
          </cell>
          <cell r="M913" t="str">
            <v>SULAIMAN YULIANTO</v>
          </cell>
          <cell r="N913">
            <v>1043293272</v>
          </cell>
          <cell r="O913" t="str">
            <v>BNI</v>
          </cell>
          <cell r="P913" t="str">
            <v>AKTIF</v>
          </cell>
          <cell r="R913" t="str">
            <v>PERAWATAN</v>
          </cell>
          <cell r="S913" t="str">
            <v>BORONGAN</v>
          </cell>
          <cell r="T913" t="str">
            <v>TRANSFER</v>
          </cell>
          <cell r="U913" t="str">
            <v>6401060212890001</v>
          </cell>
          <cell r="V913" t="str">
            <v>AKAD</v>
          </cell>
        </row>
        <row r="914">
          <cell r="B914" t="str">
            <v>GM-00926</v>
          </cell>
          <cell r="C914" t="str">
            <v>YOSEPH NDOLEK</v>
          </cell>
          <cell r="D914" t="str">
            <v>BARAK G10 DIV 3</v>
          </cell>
          <cell r="E914">
            <v>43872</v>
          </cell>
          <cell r="F914" t="str">
            <v>L</v>
          </cell>
          <cell r="G914" t="str">
            <v>LAWI</v>
          </cell>
          <cell r="H914">
            <v>34507</v>
          </cell>
          <cell r="I914" t="str">
            <v>26 TAHUN</v>
          </cell>
          <cell r="J914" t="str">
            <v>KATHOLIK</v>
          </cell>
          <cell r="K914" t="str">
            <v>DENY</v>
          </cell>
          <cell r="L914">
            <v>2</v>
          </cell>
          <cell r="P914" t="str">
            <v>AKTIF</v>
          </cell>
          <cell r="R914" t="str">
            <v>PERAWATAN</v>
          </cell>
          <cell r="S914" t="str">
            <v>BORONGAN</v>
          </cell>
          <cell r="T914" t="str">
            <v>TUNAI</v>
          </cell>
          <cell r="U914" t="str">
            <v>5319041006940001</v>
          </cell>
          <cell r="V914" t="str">
            <v>AKAD</v>
          </cell>
        </row>
        <row r="915">
          <cell r="B915" t="str">
            <v>GM-00927</v>
          </cell>
          <cell r="C915" t="str">
            <v>ALEKSIUS BAA</v>
          </cell>
          <cell r="D915" t="str">
            <v>BARAK G10 DIV 3</v>
          </cell>
          <cell r="E915">
            <v>43872</v>
          </cell>
          <cell r="F915" t="str">
            <v>L</v>
          </cell>
          <cell r="G915" t="str">
            <v>KENDA</v>
          </cell>
          <cell r="H915">
            <v>30899</v>
          </cell>
          <cell r="I915" t="str">
            <v>36 TAHUN</v>
          </cell>
          <cell r="J915" t="str">
            <v>KATHOLIK</v>
          </cell>
          <cell r="K915" t="str">
            <v>DENY</v>
          </cell>
          <cell r="L915">
            <v>2</v>
          </cell>
          <cell r="P915" t="str">
            <v>AKTIF</v>
          </cell>
          <cell r="R915" t="str">
            <v>PERAWATAN</v>
          </cell>
          <cell r="S915" t="str">
            <v>BORONGAN</v>
          </cell>
          <cell r="T915" t="str">
            <v>TUNAI</v>
          </cell>
          <cell r="U915" t="str">
            <v>5319041908830001</v>
          </cell>
          <cell r="V915" t="str">
            <v>AKAD</v>
          </cell>
        </row>
        <row r="916">
          <cell r="B916" t="str">
            <v>GM-00928</v>
          </cell>
          <cell r="C916" t="str">
            <v>IGNASIO REIMUNDORUMLUS</v>
          </cell>
          <cell r="D916" t="str">
            <v>BARAK G10 DIV 3</v>
          </cell>
          <cell r="E916">
            <v>43876</v>
          </cell>
          <cell r="F916" t="str">
            <v>L</v>
          </cell>
          <cell r="G916" t="str">
            <v>LANGGUR</v>
          </cell>
          <cell r="H916">
            <v>30722</v>
          </cell>
          <cell r="I916" t="str">
            <v>36 TAHUN</v>
          </cell>
          <cell r="J916" t="str">
            <v>KATHOLIK</v>
          </cell>
          <cell r="K916" t="str">
            <v>DENY</v>
          </cell>
          <cell r="L916">
            <v>3</v>
          </cell>
          <cell r="P916" t="str">
            <v>AKTIF</v>
          </cell>
          <cell r="R916" t="str">
            <v>PERAWATAN</v>
          </cell>
          <cell r="S916" t="str">
            <v>BORONGAN</v>
          </cell>
          <cell r="T916" t="str">
            <v>TUNAI</v>
          </cell>
          <cell r="U916" t="str">
            <v>8102011002840004</v>
          </cell>
          <cell r="V916" t="str">
            <v>AKAD</v>
          </cell>
        </row>
        <row r="917">
          <cell r="B917" t="str">
            <v>GM-00929</v>
          </cell>
          <cell r="C917" t="str">
            <v>ISNUWIANTORO</v>
          </cell>
          <cell r="D917" t="str">
            <v>BARAK G10 DIV 3</v>
          </cell>
          <cell r="E917">
            <v>43876</v>
          </cell>
          <cell r="F917" t="str">
            <v>L</v>
          </cell>
          <cell r="G917" t="str">
            <v>BLITAR</v>
          </cell>
          <cell r="H917">
            <v>36100</v>
          </cell>
          <cell r="I917" t="str">
            <v>22 TAHUN</v>
          </cell>
          <cell r="J917" t="str">
            <v>ISLAM</v>
          </cell>
          <cell r="K917" t="str">
            <v>DENY</v>
          </cell>
          <cell r="L917">
            <v>3</v>
          </cell>
          <cell r="P917" t="str">
            <v>AKTIF</v>
          </cell>
          <cell r="R917" t="str">
            <v>PERAWATAN</v>
          </cell>
          <cell r="S917" t="str">
            <v>BORONGAN</v>
          </cell>
          <cell r="T917" t="str">
            <v>TUNAI</v>
          </cell>
          <cell r="U917" t="str">
            <v>4505210211960001</v>
          </cell>
          <cell r="V917" t="str">
            <v>AKAD</v>
          </cell>
        </row>
        <row r="918">
          <cell r="B918" t="str">
            <v>GM-00930</v>
          </cell>
          <cell r="C918" t="str">
            <v>JAINURI</v>
          </cell>
          <cell r="D918" t="str">
            <v>BARAK G10 DIV 5</v>
          </cell>
          <cell r="E918">
            <v>43880</v>
          </cell>
          <cell r="F918" t="str">
            <v>L</v>
          </cell>
          <cell r="G918" t="str">
            <v>TRENGGALEK</v>
          </cell>
          <cell r="H918">
            <v>31875</v>
          </cell>
          <cell r="I918" t="str">
            <v>33 TAHUN</v>
          </cell>
          <cell r="J918" t="str">
            <v>ISLAM</v>
          </cell>
          <cell r="K918" t="str">
            <v>NURSAIL</v>
          </cell>
          <cell r="L918">
            <v>4</v>
          </cell>
          <cell r="P918" t="str">
            <v>AKTIF</v>
          </cell>
          <cell r="R918" t="str">
            <v>PERAWATAN</v>
          </cell>
          <cell r="S918" t="str">
            <v>BORONGAN</v>
          </cell>
          <cell r="T918" t="str">
            <v>TUNAI</v>
          </cell>
          <cell r="U918" t="str">
            <v>3503040804870001</v>
          </cell>
          <cell r="V918" t="str">
            <v>AKAD</v>
          </cell>
        </row>
        <row r="919">
          <cell r="B919" t="str">
            <v>GM-00931</v>
          </cell>
          <cell r="C919" t="str">
            <v>PONIJO</v>
          </cell>
          <cell r="D919" t="str">
            <v>BARAK G10 DIV 5</v>
          </cell>
          <cell r="E919">
            <v>43880</v>
          </cell>
          <cell r="F919" t="str">
            <v>L</v>
          </cell>
          <cell r="G919" t="str">
            <v>TRENGGALEK</v>
          </cell>
          <cell r="H919">
            <v>27544</v>
          </cell>
          <cell r="I919" t="str">
            <v>45 TAHUN</v>
          </cell>
          <cell r="J919" t="str">
            <v>ISLAM</v>
          </cell>
          <cell r="K919" t="str">
            <v>NURSAIL</v>
          </cell>
          <cell r="L919">
            <v>4</v>
          </cell>
          <cell r="P919" t="str">
            <v>AKTIF</v>
          </cell>
          <cell r="R919" t="str">
            <v>PERAWATAN</v>
          </cell>
          <cell r="S919" t="str">
            <v>BORONGAN</v>
          </cell>
          <cell r="T919" t="str">
            <v>TUNAI</v>
          </cell>
          <cell r="U919" t="str">
            <v>3503043105750001</v>
          </cell>
          <cell r="V919" t="str">
            <v>AKAD</v>
          </cell>
        </row>
        <row r="920">
          <cell r="B920" t="str">
            <v>GM-00932</v>
          </cell>
          <cell r="C920" t="str">
            <v>SUDARI</v>
          </cell>
          <cell r="D920" t="str">
            <v>BARAK G10 DIV 5</v>
          </cell>
          <cell r="E920">
            <v>43880</v>
          </cell>
          <cell r="F920" t="str">
            <v>L</v>
          </cell>
          <cell r="G920" t="str">
            <v>TRENGGALEK</v>
          </cell>
          <cell r="H920">
            <v>23042</v>
          </cell>
          <cell r="I920" t="str">
            <v>57 TAHUN</v>
          </cell>
          <cell r="J920" t="str">
            <v>ISLAM</v>
          </cell>
          <cell r="K920" t="str">
            <v>NURSAIL</v>
          </cell>
          <cell r="L920">
            <v>4</v>
          </cell>
          <cell r="P920" t="str">
            <v>AKTIF</v>
          </cell>
          <cell r="R920" t="str">
            <v>PERAWATAN</v>
          </cell>
          <cell r="S920" t="str">
            <v>BORONGAN</v>
          </cell>
          <cell r="T920" t="str">
            <v>TUNAI</v>
          </cell>
          <cell r="U920" t="str">
            <v>3503043101630002</v>
          </cell>
          <cell r="V920" t="str">
            <v>AKAD</v>
          </cell>
        </row>
        <row r="921">
          <cell r="B921" t="str">
            <v>GM-00933</v>
          </cell>
          <cell r="C921" t="str">
            <v>SUMARNO</v>
          </cell>
          <cell r="D921" t="str">
            <v>BARAK G10 DIV 5</v>
          </cell>
          <cell r="E921">
            <v>43880</v>
          </cell>
          <cell r="F921" t="str">
            <v>L</v>
          </cell>
          <cell r="G921" t="str">
            <v>TRENGGALEK</v>
          </cell>
          <cell r="H921">
            <v>25340</v>
          </cell>
          <cell r="I921" t="str">
            <v>51 TAHUN</v>
          </cell>
          <cell r="J921" t="str">
            <v>ISLAM</v>
          </cell>
          <cell r="K921" t="str">
            <v>NURSAIL</v>
          </cell>
          <cell r="L921">
            <v>4</v>
          </cell>
          <cell r="P921" t="str">
            <v>AKTIF</v>
          </cell>
          <cell r="R921" t="str">
            <v>PERAWATAN</v>
          </cell>
          <cell r="S921" t="str">
            <v>BORONGAN</v>
          </cell>
          <cell r="T921" t="str">
            <v>TUNAI</v>
          </cell>
          <cell r="U921" t="str">
            <v>3503304170569002</v>
          </cell>
          <cell r="V921" t="str">
            <v>AKAD</v>
          </cell>
        </row>
        <row r="922">
          <cell r="B922" t="str">
            <v>GM-00934</v>
          </cell>
          <cell r="C922" t="str">
            <v>SUKENI</v>
          </cell>
          <cell r="D922" t="str">
            <v>BARAK G10 DIV 5</v>
          </cell>
          <cell r="E922">
            <v>43880</v>
          </cell>
          <cell r="F922" t="str">
            <v>L</v>
          </cell>
          <cell r="G922" t="str">
            <v>TRENGGALEK</v>
          </cell>
          <cell r="H922">
            <v>30171</v>
          </cell>
          <cell r="I922" t="str">
            <v>38 TAHUN</v>
          </cell>
          <cell r="J922" t="str">
            <v>ISLAM</v>
          </cell>
          <cell r="K922" t="str">
            <v>NURSAIL</v>
          </cell>
          <cell r="L922">
            <v>4</v>
          </cell>
          <cell r="P922" t="str">
            <v>AKTIF</v>
          </cell>
          <cell r="R922" t="str">
            <v>PERAWATAN</v>
          </cell>
          <cell r="S922" t="str">
            <v>BORONGAN</v>
          </cell>
          <cell r="T922" t="str">
            <v>TUNAI</v>
          </cell>
          <cell r="U922" t="str">
            <v>3503030808820004</v>
          </cell>
          <cell r="V922" t="str">
            <v>AKAD</v>
          </cell>
        </row>
        <row r="923">
          <cell r="B923" t="str">
            <v>GM-00935</v>
          </cell>
          <cell r="C923" t="str">
            <v>ANJAS HENDRO</v>
          </cell>
          <cell r="D923" t="str">
            <v>Ds. IJUK</v>
          </cell>
          <cell r="E923">
            <v>43882</v>
          </cell>
          <cell r="F923" t="str">
            <v>L</v>
          </cell>
          <cell r="G923" t="str">
            <v>IJUK</v>
          </cell>
          <cell r="H923">
            <v>37175</v>
          </cell>
          <cell r="I923" t="str">
            <v>19 TAHUN</v>
          </cell>
          <cell r="J923" t="str">
            <v>KRISTEN</v>
          </cell>
          <cell r="K923" t="str">
            <v>NON KONTRAKTOR</v>
          </cell>
          <cell r="L923">
            <v>1</v>
          </cell>
          <cell r="P923" t="str">
            <v>AKTIF</v>
          </cell>
          <cell r="R923" t="str">
            <v>PERAWATAN</v>
          </cell>
          <cell r="S923" t="str">
            <v>BORONGAN</v>
          </cell>
          <cell r="T923" t="str">
            <v>TUNAI</v>
          </cell>
          <cell r="U923" t="str">
            <v>6109061110010002</v>
          </cell>
          <cell r="V923" t="str">
            <v>LOKAL</v>
          </cell>
        </row>
        <row r="924">
          <cell r="B924" t="str">
            <v>GM-00936</v>
          </cell>
          <cell r="C924" t="str">
            <v>SOTOWANDI</v>
          </cell>
          <cell r="D924" t="str">
            <v>BARAK G10 DIV 3</v>
          </cell>
          <cell r="E924">
            <v>43899</v>
          </cell>
          <cell r="F924" t="str">
            <v>L</v>
          </cell>
          <cell r="G924" t="str">
            <v>LAMONGAN</v>
          </cell>
          <cell r="H924">
            <v>30722</v>
          </cell>
          <cell r="I924" t="str">
            <v>36 TAHUN</v>
          </cell>
          <cell r="J924" t="str">
            <v>ISLAM</v>
          </cell>
          <cell r="K924" t="str">
            <v>DENY</v>
          </cell>
          <cell r="L924">
            <v>3</v>
          </cell>
          <cell r="P924" t="str">
            <v>AKTIF</v>
          </cell>
          <cell r="R924" t="str">
            <v>PERAWATAN</v>
          </cell>
          <cell r="S924" t="str">
            <v>BORONGAN</v>
          </cell>
          <cell r="T924" t="str">
            <v>TUNAI</v>
          </cell>
          <cell r="U924" t="str">
            <v>3524192205660001</v>
          </cell>
          <cell r="V924" t="str">
            <v>AKAD</v>
          </cell>
        </row>
        <row r="925">
          <cell r="B925" t="str">
            <v>GM-00937</v>
          </cell>
          <cell r="C925" t="str">
            <v>TRI SAYEKTIN NISWARATUN</v>
          </cell>
          <cell r="D925" t="str">
            <v>BARAK G10 DIV 3</v>
          </cell>
          <cell r="E925">
            <v>43899</v>
          </cell>
          <cell r="F925" t="str">
            <v>P</v>
          </cell>
          <cell r="G925" t="str">
            <v>LAMONGAN</v>
          </cell>
          <cell r="H925">
            <v>36100</v>
          </cell>
          <cell r="I925" t="str">
            <v>22 TAHUN</v>
          </cell>
          <cell r="J925" t="str">
            <v>ISLAM</v>
          </cell>
          <cell r="K925" t="str">
            <v>DENY</v>
          </cell>
          <cell r="L925">
            <v>3</v>
          </cell>
          <cell r="P925" t="str">
            <v>AKTIF</v>
          </cell>
          <cell r="R925" t="str">
            <v>PERAWATAN</v>
          </cell>
          <cell r="S925" t="str">
            <v>BORONGAN</v>
          </cell>
          <cell r="T925" t="str">
            <v>TUNAI</v>
          </cell>
          <cell r="U925" t="str">
            <v>3524192205660001</v>
          </cell>
          <cell r="V925" t="str">
            <v>AKAD</v>
          </cell>
        </row>
        <row r="926">
          <cell r="B926" t="str">
            <v>GM-00938</v>
          </cell>
          <cell r="C926" t="str">
            <v>OKTAFIANUS CANDRA</v>
          </cell>
          <cell r="D926" t="str">
            <v>BARAK G10 DIV 3</v>
          </cell>
          <cell r="E926">
            <v>43906</v>
          </cell>
          <cell r="F926" t="str">
            <v>L</v>
          </cell>
          <cell r="G926" t="str">
            <v>LAWI</v>
          </cell>
          <cell r="H926">
            <v>34975</v>
          </cell>
          <cell r="I926" t="str">
            <v>25 TAHUN</v>
          </cell>
          <cell r="J926" t="str">
            <v>KATHOLIK</v>
          </cell>
          <cell r="K926" t="str">
            <v>DENY</v>
          </cell>
          <cell r="L926">
            <v>3</v>
          </cell>
          <cell r="P926" t="str">
            <v>AKTIF</v>
          </cell>
          <cell r="R926" t="str">
            <v>PERAWATAN</v>
          </cell>
          <cell r="S926" t="str">
            <v>BORONGAN</v>
          </cell>
          <cell r="T926" t="str">
            <v>TUNAI</v>
          </cell>
          <cell r="U926" t="str">
            <v>5319040107960020</v>
          </cell>
          <cell r="V926" t="str">
            <v>AKAD</v>
          </cell>
        </row>
        <row r="927">
          <cell r="B927" t="str">
            <v>GM-00939</v>
          </cell>
          <cell r="C927" t="str">
            <v>SOLAIMAN</v>
          </cell>
          <cell r="D927" t="str">
            <v>AMOH</v>
          </cell>
          <cell r="E927">
            <v>43850</v>
          </cell>
          <cell r="F927" t="str">
            <v>L</v>
          </cell>
          <cell r="G927" t="str">
            <v>BEMBAN</v>
          </cell>
          <cell r="H927">
            <v>27552</v>
          </cell>
          <cell r="I927" t="str">
            <v>45 TAHUN</v>
          </cell>
          <cell r="J927" t="str">
            <v>KRISTEN</v>
          </cell>
          <cell r="K927" t="str">
            <v>NON KONTRAKTOR</v>
          </cell>
          <cell r="L927">
            <v>5</v>
          </cell>
          <cell r="P927" t="str">
            <v>AKTIF</v>
          </cell>
          <cell r="R927" t="str">
            <v>PERAWATAN</v>
          </cell>
          <cell r="S927" t="str">
            <v>BORONGAN</v>
          </cell>
          <cell r="T927" t="str">
            <v>TUNAI</v>
          </cell>
          <cell r="U927" t="str">
            <v>6109060706750003</v>
          </cell>
          <cell r="V927" t="str">
            <v>LOKAL</v>
          </cell>
        </row>
        <row r="928">
          <cell r="B928" t="str">
            <v>GM-00940</v>
          </cell>
          <cell r="C928" t="str">
            <v>WIJAYA</v>
          </cell>
          <cell r="D928" t="str">
            <v>AMOH</v>
          </cell>
          <cell r="E928">
            <v>43850</v>
          </cell>
          <cell r="F928" t="str">
            <v>L</v>
          </cell>
          <cell r="G928" t="str">
            <v>AMOH</v>
          </cell>
          <cell r="H928">
            <v>35305</v>
          </cell>
          <cell r="I928" t="str">
            <v>24 TAHUN</v>
          </cell>
          <cell r="J928" t="str">
            <v>KRISTEN</v>
          </cell>
          <cell r="K928" t="str">
            <v>NON KONTRAKTOR</v>
          </cell>
          <cell r="L928">
            <v>5</v>
          </cell>
          <cell r="P928" t="str">
            <v>AKTIF</v>
          </cell>
          <cell r="R928" t="str">
            <v>PANEN</v>
          </cell>
          <cell r="S928" t="str">
            <v>BORONGAN</v>
          </cell>
          <cell r="T928" t="str">
            <v>TUNAI</v>
          </cell>
          <cell r="U928" t="str">
            <v>6109082800896003</v>
          </cell>
          <cell r="V928" t="str">
            <v>LOKAL</v>
          </cell>
        </row>
        <row r="929">
          <cell r="B929" t="str">
            <v>GM-00941</v>
          </cell>
          <cell r="C929" t="str">
            <v>SAMUEL</v>
          </cell>
          <cell r="D929" t="str">
            <v>Ds. SEBETUNG</v>
          </cell>
          <cell r="F929" t="str">
            <v>L</v>
          </cell>
          <cell r="G929" t="str">
            <v>SEBETUNG</v>
          </cell>
          <cell r="H929" t="str">
            <v>15-08-1991</v>
          </cell>
          <cell r="I929" t="str">
            <v>29 TAHUN</v>
          </cell>
          <cell r="J929" t="str">
            <v>KATHOLIK</v>
          </cell>
          <cell r="K929" t="str">
            <v>NON KONTRAKTOR</v>
          </cell>
          <cell r="L929">
            <v>1</v>
          </cell>
          <cell r="P929" t="str">
            <v>AKTIF</v>
          </cell>
          <cell r="R929" t="str">
            <v>PANEN</v>
          </cell>
          <cell r="S929" t="str">
            <v>BORONGAN</v>
          </cell>
          <cell r="T929" t="str">
            <v>TUNAI</v>
          </cell>
          <cell r="U929" t="str">
            <v>6109081508910002</v>
          </cell>
          <cell r="V929" t="str">
            <v>LOKAL</v>
          </cell>
        </row>
        <row r="930">
          <cell r="B930" t="str">
            <v>GM-00942</v>
          </cell>
          <cell r="C930" t="str">
            <v>HASRAT</v>
          </cell>
          <cell r="D930" t="str">
            <v>BARAK G10 DIV 3</v>
          </cell>
          <cell r="E930">
            <v>43917</v>
          </cell>
          <cell r="F930" t="str">
            <v>L</v>
          </cell>
          <cell r="G930" t="str">
            <v>BULU KUMBA</v>
          </cell>
          <cell r="H930">
            <v>36971</v>
          </cell>
          <cell r="I930" t="str">
            <v>19 TAHUN</v>
          </cell>
          <cell r="J930" t="str">
            <v>ISLAM</v>
          </cell>
          <cell r="K930" t="str">
            <v>NURSAIL</v>
          </cell>
          <cell r="L930">
            <v>3</v>
          </cell>
          <cell r="M930" t="str">
            <v>HASRAT</v>
          </cell>
          <cell r="N930">
            <v>855617226</v>
          </cell>
          <cell r="O930" t="str">
            <v>BNI</v>
          </cell>
          <cell r="P930" t="str">
            <v>AKTIF</v>
          </cell>
          <cell r="R930" t="str">
            <v>PERAWATAN</v>
          </cell>
          <cell r="S930" t="str">
            <v>BORONGAN</v>
          </cell>
          <cell r="T930" t="str">
            <v>TRANSFER</v>
          </cell>
          <cell r="U930" t="str">
            <v>6473032103010006</v>
          </cell>
          <cell r="V930" t="str">
            <v>AKAD</v>
          </cell>
        </row>
        <row r="931">
          <cell r="B931" t="str">
            <v>GM-00943</v>
          </cell>
          <cell r="C931" t="str">
            <v>PETRUS NUMBING</v>
          </cell>
          <cell r="D931" t="str">
            <v>BARAK G10 DIV 1</v>
          </cell>
          <cell r="E931">
            <v>43922</v>
          </cell>
          <cell r="F931" t="str">
            <v>L</v>
          </cell>
          <cell r="G931" t="str">
            <v>SEI MABOH</v>
          </cell>
          <cell r="H931">
            <v>29742</v>
          </cell>
          <cell r="I931" t="str">
            <v>39 TAHUN</v>
          </cell>
          <cell r="J931" t="str">
            <v>KATHOLIK</v>
          </cell>
          <cell r="K931" t="str">
            <v>NON KONTRAKTOR</v>
          </cell>
          <cell r="L931">
            <v>1</v>
          </cell>
          <cell r="M931" t="str">
            <v>PETRUS NUMBING</v>
          </cell>
          <cell r="N931">
            <v>946857415</v>
          </cell>
          <cell r="O931" t="str">
            <v>BNI</v>
          </cell>
          <cell r="P931" t="str">
            <v>AKTIF</v>
          </cell>
          <cell r="R931" t="str">
            <v>PANEN</v>
          </cell>
          <cell r="S931" t="str">
            <v>BORONGAN</v>
          </cell>
          <cell r="T931" t="str">
            <v>TRANSFER</v>
          </cell>
          <cell r="U931" t="str">
            <v>6109060506810001</v>
          </cell>
          <cell r="V931" t="str">
            <v>LOKAL</v>
          </cell>
        </row>
        <row r="932">
          <cell r="B932" t="str">
            <v>GM-00944</v>
          </cell>
          <cell r="C932" t="str">
            <v>ALIEN</v>
          </cell>
          <cell r="D932" t="str">
            <v>Ds. RANSA</v>
          </cell>
          <cell r="E932">
            <v>43936</v>
          </cell>
          <cell r="F932" t="str">
            <v>L</v>
          </cell>
          <cell r="G932" t="str">
            <v>RANSA</v>
          </cell>
          <cell r="H932">
            <v>32726</v>
          </cell>
          <cell r="I932" t="str">
            <v>31 TAHUN</v>
          </cell>
          <cell r="J932" t="str">
            <v>KRISTEN</v>
          </cell>
          <cell r="K932" t="str">
            <v>NON KONTRAKTOR</v>
          </cell>
          <cell r="L932">
            <v>2</v>
          </cell>
          <cell r="M932" t="str">
            <v>ALIEN</v>
          </cell>
          <cell r="N932">
            <v>969736845</v>
          </cell>
          <cell r="O932" t="str">
            <v>BNI</v>
          </cell>
          <cell r="P932" t="str">
            <v>AKTIF</v>
          </cell>
          <cell r="R932" t="str">
            <v>PERAWATAN</v>
          </cell>
          <cell r="S932" t="str">
            <v>BORONGAN</v>
          </cell>
          <cell r="T932" t="str">
            <v>TRANSFER</v>
          </cell>
          <cell r="U932" t="str">
            <v>6109060608890002</v>
          </cell>
          <cell r="V932" t="str">
            <v>LOKAL</v>
          </cell>
        </row>
        <row r="933">
          <cell r="B933" t="str">
            <v>GM-00945</v>
          </cell>
          <cell r="C933" t="str">
            <v>MARIA MERLIN</v>
          </cell>
          <cell r="D933" t="str">
            <v>Ds. RANSA</v>
          </cell>
          <cell r="E933">
            <v>43960</v>
          </cell>
          <cell r="F933" t="str">
            <v>P</v>
          </cell>
          <cell r="G933" t="str">
            <v>SUI JAUNG</v>
          </cell>
          <cell r="H933">
            <v>32028</v>
          </cell>
          <cell r="I933" t="str">
            <v>33 TAHUN</v>
          </cell>
          <cell r="J933" t="str">
            <v>KRISTEN</v>
          </cell>
          <cell r="K933" t="str">
            <v>NON KONTRAKTOR</v>
          </cell>
          <cell r="L933">
            <v>2</v>
          </cell>
          <cell r="P933" t="str">
            <v>AKTIF</v>
          </cell>
          <cell r="R933" t="str">
            <v>PERAWATAN</v>
          </cell>
          <cell r="S933" t="str">
            <v>BORONGAN</v>
          </cell>
          <cell r="T933" t="str">
            <v>TUNAI</v>
          </cell>
          <cell r="U933" t="str">
            <v>6109064809870004</v>
          </cell>
          <cell r="V933" t="str">
            <v>LOKAL</v>
          </cell>
        </row>
        <row r="934">
          <cell r="B934" t="str">
            <v>GM-00946</v>
          </cell>
          <cell r="C934" t="str">
            <v>TUTI MARLINA</v>
          </cell>
          <cell r="D934" t="str">
            <v>Ds. AMOH</v>
          </cell>
          <cell r="E934">
            <v>43965</v>
          </cell>
          <cell r="F934" t="str">
            <v>P</v>
          </cell>
          <cell r="G934" t="str">
            <v>KELADAN</v>
          </cell>
          <cell r="H934">
            <v>34677</v>
          </cell>
          <cell r="I934" t="str">
            <v>26 TAHUN</v>
          </cell>
          <cell r="J934" t="str">
            <v>ISLAM</v>
          </cell>
          <cell r="K934" t="str">
            <v>NON KONTRAKTOR</v>
          </cell>
          <cell r="L934">
            <v>4</v>
          </cell>
          <cell r="P934" t="str">
            <v>AKTIF</v>
          </cell>
          <cell r="R934" t="str">
            <v>PERAWATAN</v>
          </cell>
          <cell r="S934" t="str">
            <v>BORONGAN</v>
          </cell>
          <cell r="T934" t="str">
            <v>TUNAI</v>
          </cell>
          <cell r="U934" t="str">
            <v>6109074912940001</v>
          </cell>
          <cell r="V934" t="str">
            <v>LOKAL</v>
          </cell>
        </row>
        <row r="935">
          <cell r="B935" t="str">
            <v>GM-00947</v>
          </cell>
          <cell r="C935" t="str">
            <v>ARYO SANDA</v>
          </cell>
          <cell r="D935" t="str">
            <v>Ds. SADUS</v>
          </cell>
          <cell r="E935">
            <v>43965</v>
          </cell>
          <cell r="F935" t="str">
            <v>L</v>
          </cell>
          <cell r="G935" t="str">
            <v>NANGA SADUS</v>
          </cell>
          <cell r="H935">
            <v>33902</v>
          </cell>
          <cell r="I935" t="str">
            <v>28 TAHUN</v>
          </cell>
          <cell r="J935" t="str">
            <v>KRISTEN</v>
          </cell>
          <cell r="K935" t="str">
            <v>NON KONTRAKTOR</v>
          </cell>
          <cell r="L935">
            <v>4</v>
          </cell>
          <cell r="M935" t="str">
            <v>ARYO SANDA</v>
          </cell>
          <cell r="N935">
            <v>972093965</v>
          </cell>
          <cell r="O935" t="str">
            <v>BNI</v>
          </cell>
          <cell r="P935" t="str">
            <v>AKTIF</v>
          </cell>
          <cell r="R935" t="str">
            <v>PANEN</v>
          </cell>
          <cell r="S935" t="str">
            <v>BORONGAN</v>
          </cell>
          <cell r="T935" t="str">
            <v>TRANSFER</v>
          </cell>
          <cell r="U935" t="str">
            <v>6109062510920001</v>
          </cell>
          <cell r="V935" t="str">
            <v>LOKAL</v>
          </cell>
        </row>
        <row r="936">
          <cell r="B936" t="str">
            <v>GM-00948</v>
          </cell>
          <cell r="C936" t="str">
            <v>IPALIS</v>
          </cell>
          <cell r="D936" t="str">
            <v>Ds. RANSA</v>
          </cell>
          <cell r="E936">
            <v>43977</v>
          </cell>
          <cell r="F936" t="str">
            <v>L</v>
          </cell>
          <cell r="G936" t="str">
            <v>RANSA</v>
          </cell>
          <cell r="H936">
            <v>27485</v>
          </cell>
          <cell r="I936" t="str">
            <v>45 TAHUN</v>
          </cell>
          <cell r="J936" t="str">
            <v>KRISTEN</v>
          </cell>
          <cell r="K936" t="str">
            <v>NON KONTRAKTOR</v>
          </cell>
          <cell r="L936">
            <v>2</v>
          </cell>
          <cell r="M936" t="str">
            <v>IPALIS</v>
          </cell>
          <cell r="N936">
            <v>975216364</v>
          </cell>
          <cell r="O936" t="str">
            <v>BNI</v>
          </cell>
          <cell r="P936" t="str">
            <v>AKTIF</v>
          </cell>
          <cell r="R936" t="str">
            <v>PERAWATAN</v>
          </cell>
          <cell r="S936" t="str">
            <v>BORONGAN</v>
          </cell>
          <cell r="T936" t="str">
            <v>TRANSFER</v>
          </cell>
          <cell r="U936" t="str">
            <v>6109060104750004</v>
          </cell>
          <cell r="V936" t="str">
            <v>LOKAL</v>
          </cell>
        </row>
        <row r="937">
          <cell r="B937" t="str">
            <v>GM-00949</v>
          </cell>
          <cell r="C937" t="str">
            <v>ESTY HENDRIATI</v>
          </cell>
          <cell r="D937" t="str">
            <v>Ds. SADUS</v>
          </cell>
          <cell r="E937">
            <v>43967</v>
          </cell>
          <cell r="F937" t="str">
            <v>P</v>
          </cell>
          <cell r="G937" t="str">
            <v>SEI DURIAN</v>
          </cell>
          <cell r="H937">
            <v>35438</v>
          </cell>
          <cell r="I937" t="str">
            <v>24 TAHUN</v>
          </cell>
          <cell r="J937" t="str">
            <v>KRISTEN</v>
          </cell>
          <cell r="K937" t="str">
            <v>NON KONTRAKTOR</v>
          </cell>
          <cell r="L937">
            <v>4</v>
          </cell>
          <cell r="P937" t="str">
            <v>AKTIF</v>
          </cell>
          <cell r="R937" t="str">
            <v>PERAWATAN</v>
          </cell>
          <cell r="S937" t="str">
            <v>BORONGAN</v>
          </cell>
          <cell r="T937" t="str">
            <v>TUNAI</v>
          </cell>
          <cell r="U937" t="str">
            <v>6110070801970008</v>
          </cell>
          <cell r="V937" t="str">
            <v>LOKAL</v>
          </cell>
        </row>
        <row r="938">
          <cell r="B938" t="str">
            <v>GM-00950</v>
          </cell>
          <cell r="C938" t="str">
            <v>SWANDA</v>
          </cell>
          <cell r="E938">
            <v>43980</v>
          </cell>
          <cell r="F938" t="str">
            <v>P</v>
          </cell>
          <cell r="G938" t="str">
            <v>SINGKAM</v>
          </cell>
          <cell r="H938">
            <v>37414</v>
          </cell>
          <cell r="I938" t="str">
            <v>18 TAHUN</v>
          </cell>
          <cell r="J938" t="str">
            <v>ISLAM</v>
          </cell>
          <cell r="K938" t="str">
            <v>NON KONTRAKTOR</v>
          </cell>
          <cell r="L938">
            <v>3</v>
          </cell>
          <cell r="M938" t="str">
            <v>SWANDA</v>
          </cell>
          <cell r="N938">
            <v>1043293250</v>
          </cell>
          <cell r="O938" t="str">
            <v>BNI</v>
          </cell>
          <cell r="P938" t="str">
            <v>AKTIF</v>
          </cell>
          <cell r="R938" t="str">
            <v>PERAWATAN</v>
          </cell>
          <cell r="S938" t="str">
            <v>BORONGAN</v>
          </cell>
          <cell r="T938" t="str">
            <v>TRANSFER</v>
          </cell>
          <cell r="U938" t="str">
            <v>6109064706020000</v>
          </cell>
          <cell r="V938" t="str">
            <v>LOKAL</v>
          </cell>
        </row>
        <row r="939">
          <cell r="B939" t="str">
            <v>GM-00951</v>
          </cell>
          <cell r="C939" t="str">
            <v>SURYATI</v>
          </cell>
          <cell r="D939" t="str">
            <v>Ds. RANSA</v>
          </cell>
          <cell r="E939">
            <v>43984</v>
          </cell>
          <cell r="F939" t="str">
            <v>P</v>
          </cell>
          <cell r="G939" t="str">
            <v>RANSA</v>
          </cell>
          <cell r="H939">
            <v>32683</v>
          </cell>
          <cell r="I939" t="str">
            <v>31 TAHUN</v>
          </cell>
          <cell r="J939" t="str">
            <v>ISLAM</v>
          </cell>
          <cell r="K939" t="str">
            <v>NON KONTRAKTOR</v>
          </cell>
          <cell r="L939">
            <v>2</v>
          </cell>
          <cell r="P939" t="str">
            <v>AKTIF</v>
          </cell>
          <cell r="R939" t="str">
            <v>PERAWATAN</v>
          </cell>
          <cell r="S939" t="str">
            <v>BORONGAN</v>
          </cell>
          <cell r="T939" t="str">
            <v>TUNAI</v>
          </cell>
          <cell r="U939" t="str">
            <v>6109066406890003</v>
          </cell>
          <cell r="V939" t="str">
            <v>LOKAL</v>
          </cell>
        </row>
        <row r="940">
          <cell r="B940" t="str">
            <v>GM-00952</v>
          </cell>
          <cell r="C940" t="str">
            <v>KARMILA</v>
          </cell>
          <cell r="E940">
            <v>43980</v>
          </cell>
          <cell r="F940" t="str">
            <v>P</v>
          </cell>
          <cell r="H940">
            <v>36758</v>
          </cell>
          <cell r="I940" t="str">
            <v>20 TAHUN</v>
          </cell>
          <cell r="J940" t="str">
            <v>KRISTEN</v>
          </cell>
          <cell r="K940" t="str">
            <v>NON KONTRAKTOR</v>
          </cell>
          <cell r="L940">
            <v>4</v>
          </cell>
          <cell r="M940" t="str">
            <v>KARMILA</v>
          </cell>
          <cell r="N940">
            <v>1043293294</v>
          </cell>
          <cell r="O940" t="str">
            <v>BNI</v>
          </cell>
          <cell r="P940" t="str">
            <v>AKTIF</v>
          </cell>
          <cell r="R940" t="str">
            <v>PERAWATAN</v>
          </cell>
          <cell r="S940" t="str">
            <v>BORONGAN</v>
          </cell>
          <cell r="T940" t="str">
            <v>TRANSFER</v>
          </cell>
          <cell r="U940" t="str">
            <v>6109066008000000</v>
          </cell>
          <cell r="V940" t="str">
            <v>LOKAL</v>
          </cell>
        </row>
        <row r="941">
          <cell r="B941" t="str">
            <v>GM-00953</v>
          </cell>
          <cell r="C941" t="str">
            <v>KRESTEPO</v>
          </cell>
          <cell r="E941">
            <v>43985</v>
          </cell>
          <cell r="F941" t="str">
            <v>L</v>
          </cell>
          <cell r="G941" t="str">
            <v>RANDAU</v>
          </cell>
          <cell r="H941">
            <v>34540</v>
          </cell>
          <cell r="I941" t="str">
            <v>26 TAHUN</v>
          </cell>
          <cell r="J941" t="str">
            <v>KATHOLIK</v>
          </cell>
          <cell r="K941" t="str">
            <v>NON KONTRAKTOR</v>
          </cell>
          <cell r="L941">
            <v>2</v>
          </cell>
          <cell r="P941" t="str">
            <v>AKTIF</v>
          </cell>
          <cell r="R941" t="str">
            <v>PANEN</v>
          </cell>
          <cell r="S941" t="str">
            <v>BORONGAN</v>
          </cell>
          <cell r="T941" t="str">
            <v>TUNAI</v>
          </cell>
          <cell r="U941" t="str">
            <v>6109062507940003</v>
          </cell>
          <cell r="V941" t="str">
            <v>LOKAL</v>
          </cell>
        </row>
        <row r="942">
          <cell r="B942" t="str">
            <v>GM-00954</v>
          </cell>
          <cell r="C942" t="str">
            <v>AGUS PRAWIRA</v>
          </cell>
          <cell r="E942">
            <v>43986</v>
          </cell>
          <cell r="F942" t="str">
            <v>L</v>
          </cell>
          <cell r="G942" t="str">
            <v>SP.IV SETUNTUNG</v>
          </cell>
          <cell r="H942">
            <v>35659</v>
          </cell>
          <cell r="I942" t="str">
            <v>23 TAHUN</v>
          </cell>
          <cell r="J942" t="str">
            <v>ISLAM</v>
          </cell>
          <cell r="K942" t="str">
            <v>NON KONTRAKTOR</v>
          </cell>
          <cell r="L942">
            <v>1</v>
          </cell>
          <cell r="M942" t="str">
            <v>AGUS PRAWIRA</v>
          </cell>
          <cell r="N942">
            <v>978342147</v>
          </cell>
          <cell r="O942" t="str">
            <v>BNI</v>
          </cell>
          <cell r="P942" t="str">
            <v>AKTIF</v>
          </cell>
          <cell r="R942" t="str">
            <v>PERAWATAN</v>
          </cell>
          <cell r="S942" t="str">
            <v>BORONGAN</v>
          </cell>
          <cell r="T942" t="str">
            <v>TRANSFER</v>
          </cell>
          <cell r="U942" t="str">
            <v>6109071708970001</v>
          </cell>
          <cell r="V942" t="str">
            <v>LOKAL</v>
          </cell>
        </row>
        <row r="943">
          <cell r="B943" t="str">
            <v>GM-00955</v>
          </cell>
          <cell r="C943" t="str">
            <v>NACA MONICA</v>
          </cell>
          <cell r="D943" t="str">
            <v>Ds. RANSA</v>
          </cell>
          <cell r="E943">
            <v>43985</v>
          </cell>
          <cell r="F943" t="str">
            <v>P</v>
          </cell>
          <cell r="G943" t="str">
            <v>RANSA</v>
          </cell>
          <cell r="H943">
            <v>37156</v>
          </cell>
          <cell r="I943" t="str">
            <v>19 TAHUN</v>
          </cell>
          <cell r="J943" t="str">
            <v>ISLAM</v>
          </cell>
          <cell r="K943" t="str">
            <v>NON KONTRAKTOR</v>
          </cell>
          <cell r="L943">
            <v>2</v>
          </cell>
          <cell r="P943" t="str">
            <v>AKTIF</v>
          </cell>
          <cell r="R943" t="str">
            <v>PERAWATAN</v>
          </cell>
          <cell r="S943" t="str">
            <v>BORONGAN</v>
          </cell>
          <cell r="T943" t="str">
            <v>TUNAI</v>
          </cell>
          <cell r="U943" t="str">
            <v>6109066209010005</v>
          </cell>
          <cell r="V943" t="str">
            <v>LOKAL</v>
          </cell>
        </row>
        <row r="944">
          <cell r="B944" t="str">
            <v>GM-00956</v>
          </cell>
          <cell r="C944" t="str">
            <v>ANJAS GUSTAMI</v>
          </cell>
          <cell r="D944" t="str">
            <v>Ds. SEBETUNG</v>
          </cell>
          <cell r="E944">
            <v>43988</v>
          </cell>
          <cell r="F944" t="str">
            <v>L</v>
          </cell>
          <cell r="G944" t="str">
            <v>NANGA SADUS</v>
          </cell>
          <cell r="H944">
            <v>37488</v>
          </cell>
          <cell r="I944" t="str">
            <v>18 TAHUN</v>
          </cell>
          <cell r="J944" t="str">
            <v>KRISTEN</v>
          </cell>
          <cell r="K944" t="str">
            <v>NON KONTRAKTOR</v>
          </cell>
          <cell r="L944">
            <v>4</v>
          </cell>
          <cell r="P944" t="str">
            <v>AKTIF</v>
          </cell>
          <cell r="R944" t="str">
            <v>PERAWATAN</v>
          </cell>
          <cell r="S944" t="str">
            <v>BORONGAN</v>
          </cell>
          <cell r="T944" t="str">
            <v>TUNAI</v>
          </cell>
          <cell r="U944" t="str">
            <v>6109062008020004</v>
          </cell>
          <cell r="V944" t="str">
            <v>LOKAL</v>
          </cell>
        </row>
        <row r="945">
          <cell r="B945" t="str">
            <v>GM-00957</v>
          </cell>
          <cell r="C945" t="str">
            <v>ALOISIUS JUPRI</v>
          </cell>
          <cell r="D945" t="str">
            <v>BARAK G10 DIV 4</v>
          </cell>
          <cell r="E945">
            <v>43988</v>
          </cell>
          <cell r="F945" t="str">
            <v>L</v>
          </cell>
          <cell r="G945" t="str">
            <v>TAPANG JAYA</v>
          </cell>
          <cell r="H945">
            <v>36817</v>
          </cell>
          <cell r="I945" t="str">
            <v>20 TAHUN</v>
          </cell>
          <cell r="J945" t="str">
            <v>KATHOLIK</v>
          </cell>
          <cell r="K945" t="str">
            <v>NURSAIL</v>
          </cell>
          <cell r="L945">
            <v>4</v>
          </cell>
          <cell r="P945" t="str">
            <v>AKTIF</v>
          </cell>
          <cell r="R945" t="str">
            <v>PERAWATAN</v>
          </cell>
          <cell r="S945" t="str">
            <v>BORONGAN</v>
          </cell>
          <cell r="T945" t="str">
            <v>TUNAI</v>
          </cell>
          <cell r="U945" t="str">
            <v>6109011810000002</v>
          </cell>
          <cell r="V945" t="str">
            <v>LOKAL</v>
          </cell>
        </row>
        <row r="946">
          <cell r="B946" t="str">
            <v>GM-00958</v>
          </cell>
          <cell r="C946" t="str">
            <v>KARNO LOLIS MENSA</v>
          </cell>
          <cell r="D946" t="str">
            <v>BARAK G10 DIV 4</v>
          </cell>
          <cell r="E946">
            <v>43988</v>
          </cell>
          <cell r="F946" t="str">
            <v>L</v>
          </cell>
          <cell r="G946" t="str">
            <v>KAMPUH</v>
          </cell>
          <cell r="H946">
            <v>36110</v>
          </cell>
          <cell r="I946" t="str">
            <v>22 TAHUN</v>
          </cell>
          <cell r="J946" t="str">
            <v>KATHOLIK</v>
          </cell>
          <cell r="K946" t="str">
            <v>NURSAIL</v>
          </cell>
          <cell r="L946">
            <v>4</v>
          </cell>
          <cell r="P946" t="str">
            <v>AKTIF</v>
          </cell>
          <cell r="R946" t="str">
            <v>PERAWATAN</v>
          </cell>
          <cell r="S946" t="str">
            <v>BORONGAN</v>
          </cell>
          <cell r="T946" t="str">
            <v>TUNAI</v>
          </cell>
          <cell r="U946" t="str">
            <v>6103051111980002</v>
          </cell>
          <cell r="V946" t="str">
            <v>LOKAL</v>
          </cell>
        </row>
        <row r="947">
          <cell r="B947" t="str">
            <v>GM-00959</v>
          </cell>
          <cell r="C947" t="str">
            <v>AHAS WIRUS</v>
          </cell>
          <cell r="D947" t="str">
            <v>Ds. SADUS</v>
          </cell>
          <cell r="E947">
            <v>43988</v>
          </cell>
          <cell r="F947" t="str">
            <v>L</v>
          </cell>
          <cell r="G947" t="str">
            <v>NANGA SADUS</v>
          </cell>
          <cell r="H947">
            <v>37438</v>
          </cell>
          <cell r="I947" t="str">
            <v>18 TAHUN</v>
          </cell>
          <cell r="J947" t="str">
            <v>KRISTEN</v>
          </cell>
          <cell r="K947" t="str">
            <v>NON KONTRAKTOR</v>
          </cell>
          <cell r="L947">
            <v>4</v>
          </cell>
          <cell r="P947" t="str">
            <v>AKTIF</v>
          </cell>
          <cell r="R947" t="str">
            <v>PERAWATAN</v>
          </cell>
          <cell r="S947" t="str">
            <v>BORONGAN</v>
          </cell>
          <cell r="T947" t="str">
            <v>TUNAI</v>
          </cell>
          <cell r="U947" t="str">
            <v>6109060107020026</v>
          </cell>
          <cell r="V947" t="str">
            <v>LOKAL</v>
          </cell>
        </row>
        <row r="948">
          <cell r="B948" t="str">
            <v>GM-00960</v>
          </cell>
          <cell r="C948" t="str">
            <v>YESAYA MARKUS MAUKESA</v>
          </cell>
          <cell r="D948" t="str">
            <v>Ds. SADUS</v>
          </cell>
          <cell r="E948">
            <v>43988</v>
          </cell>
          <cell r="F948" t="str">
            <v>L</v>
          </cell>
          <cell r="G948" t="str">
            <v>NANGA SADUS</v>
          </cell>
          <cell r="H948">
            <v>31557</v>
          </cell>
          <cell r="I948" t="str">
            <v>34 TAHUN</v>
          </cell>
          <cell r="J948" t="str">
            <v>KRISTEN</v>
          </cell>
          <cell r="K948" t="str">
            <v>NON KONTRAKTOR</v>
          </cell>
          <cell r="L948">
            <v>4</v>
          </cell>
          <cell r="M948" t="str">
            <v>YESAYA MARKUS MAUKESA</v>
          </cell>
          <cell r="N948">
            <v>1043293283</v>
          </cell>
          <cell r="O948" t="str">
            <v>BNI</v>
          </cell>
          <cell r="P948" t="str">
            <v>AKTIF</v>
          </cell>
          <cell r="R948" t="str">
            <v>PERAWATAN</v>
          </cell>
          <cell r="S948" t="str">
            <v>BORONGAN</v>
          </cell>
          <cell r="T948" t="str">
            <v>TRANSFER</v>
          </cell>
          <cell r="U948" t="str">
            <v>5305152505860001</v>
          </cell>
          <cell r="V948" t="str">
            <v>LOKAL</v>
          </cell>
        </row>
        <row r="949">
          <cell r="B949" t="str">
            <v>GM-00961</v>
          </cell>
          <cell r="C949" t="str">
            <v>SELPIANUS GERI</v>
          </cell>
          <cell r="D949" t="str">
            <v>BARAK G10 DIV 4</v>
          </cell>
          <cell r="E949">
            <v>43988</v>
          </cell>
          <cell r="F949" t="str">
            <v>L</v>
          </cell>
          <cell r="G949" t="str">
            <v>KAMPUH</v>
          </cell>
          <cell r="H949">
            <v>37149</v>
          </cell>
          <cell r="I949" t="str">
            <v>19 TAHUN</v>
          </cell>
          <cell r="J949" t="str">
            <v>KATHOLIK</v>
          </cell>
          <cell r="K949" t="str">
            <v>NURSAIL</v>
          </cell>
          <cell r="L949">
            <v>4</v>
          </cell>
          <cell r="P949" t="str">
            <v>AKTIF</v>
          </cell>
          <cell r="R949" t="str">
            <v>PERAWATAN</v>
          </cell>
          <cell r="S949" t="str">
            <v>BORONGAN</v>
          </cell>
          <cell r="T949" t="str">
            <v>TUNAI</v>
          </cell>
          <cell r="U949" t="str">
            <v>6103051509010001</v>
          </cell>
          <cell r="V949" t="str">
            <v>LOKAL</v>
          </cell>
        </row>
        <row r="950">
          <cell r="B950" t="str">
            <v>GM-00962</v>
          </cell>
          <cell r="C950" t="str">
            <v>TIMUTIUS</v>
          </cell>
          <cell r="D950" t="str">
            <v>Ds. SEBETUNG</v>
          </cell>
          <cell r="E950">
            <v>43988</v>
          </cell>
          <cell r="F950" t="str">
            <v>L</v>
          </cell>
          <cell r="G950" t="str">
            <v>SEBETUNG</v>
          </cell>
          <cell r="H950">
            <v>21887</v>
          </cell>
          <cell r="I950" t="str">
            <v>61 TAHUN</v>
          </cell>
          <cell r="J950" t="str">
            <v>KRISTEN</v>
          </cell>
          <cell r="K950" t="str">
            <v>NON KONTRAKTOR</v>
          </cell>
          <cell r="L950">
            <v>5</v>
          </cell>
          <cell r="P950" t="str">
            <v>AKTIF</v>
          </cell>
          <cell r="R950" t="str">
            <v>PANEN</v>
          </cell>
          <cell r="S950" t="str">
            <v>BORONGAN</v>
          </cell>
          <cell r="T950" t="str">
            <v>TUNAI</v>
          </cell>
          <cell r="U950" t="str">
            <v>6109060312590001</v>
          </cell>
          <cell r="V950" t="str">
            <v>LOKAL</v>
          </cell>
        </row>
        <row r="951">
          <cell r="B951" t="str">
            <v>GM-00963</v>
          </cell>
          <cell r="C951" t="str">
            <v>SINJA</v>
          </cell>
          <cell r="E951">
            <v>43991</v>
          </cell>
          <cell r="F951" t="str">
            <v>P</v>
          </cell>
          <cell r="G951" t="str">
            <v>MERTAWAI</v>
          </cell>
          <cell r="H951">
            <v>27070</v>
          </cell>
          <cell r="I951" t="str">
            <v>46 TAHUN</v>
          </cell>
          <cell r="J951" t="str">
            <v>KRISTEN</v>
          </cell>
          <cell r="K951" t="str">
            <v>NON KONTRAKTOR</v>
          </cell>
          <cell r="L951">
            <v>1</v>
          </cell>
          <cell r="M951" t="str">
            <v>SINJA</v>
          </cell>
          <cell r="N951">
            <v>978342170</v>
          </cell>
          <cell r="O951" t="str">
            <v>BNI</v>
          </cell>
          <cell r="P951" t="str">
            <v>AKTIF</v>
          </cell>
          <cell r="R951" t="str">
            <v>PANEN</v>
          </cell>
          <cell r="S951" t="str">
            <v>BORONGAN</v>
          </cell>
          <cell r="T951" t="str">
            <v>TRANSFER</v>
          </cell>
          <cell r="U951" t="str">
            <v>6109065002740003</v>
          </cell>
          <cell r="V951" t="str">
            <v>LOKAL</v>
          </cell>
        </row>
        <row r="952">
          <cell r="B952" t="str">
            <v>GM-00964</v>
          </cell>
          <cell r="C952" t="str">
            <v>MORJANI</v>
          </cell>
          <cell r="E952">
            <v>43991</v>
          </cell>
          <cell r="F952" t="str">
            <v>L</v>
          </cell>
          <cell r="G952" t="str">
            <v>TAPANG BARU</v>
          </cell>
          <cell r="H952">
            <v>34640</v>
          </cell>
          <cell r="I952" t="str">
            <v>26 TAHUN</v>
          </cell>
          <cell r="J952" t="str">
            <v>KRISTEN</v>
          </cell>
          <cell r="K952" t="str">
            <v>NON KONTRAKTOR</v>
          </cell>
          <cell r="L952">
            <v>1</v>
          </cell>
          <cell r="M952" t="str">
            <v>MORJANI</v>
          </cell>
          <cell r="N952">
            <v>978342169</v>
          </cell>
          <cell r="O952" t="str">
            <v>BNI</v>
          </cell>
          <cell r="P952" t="str">
            <v>AKTIF</v>
          </cell>
          <cell r="R952" t="str">
            <v>PANEN</v>
          </cell>
          <cell r="S952" t="str">
            <v>BORONGAN</v>
          </cell>
          <cell r="T952" t="str">
            <v>TRANSFER</v>
          </cell>
          <cell r="U952" t="str">
            <v>6109060211940001</v>
          </cell>
          <cell r="V952" t="str">
            <v>LOKAL</v>
          </cell>
        </row>
        <row r="953">
          <cell r="B953" t="str">
            <v>GM-00965</v>
          </cell>
          <cell r="C953" t="str">
            <v>EDO WARDO</v>
          </cell>
          <cell r="E953">
            <v>43991</v>
          </cell>
          <cell r="F953" t="str">
            <v>L</v>
          </cell>
          <cell r="G953" t="str">
            <v>SP.VI NANGA ANSAR</v>
          </cell>
          <cell r="H953">
            <v>36413</v>
          </cell>
          <cell r="I953" t="str">
            <v>21 TAHUN</v>
          </cell>
          <cell r="J953" t="str">
            <v>KRISTEN</v>
          </cell>
          <cell r="K953" t="str">
            <v>NON KONTRAKTOR</v>
          </cell>
          <cell r="L953">
            <v>1</v>
          </cell>
          <cell r="P953" t="str">
            <v>AKTIF</v>
          </cell>
          <cell r="R953" t="str">
            <v>PERAWATAN</v>
          </cell>
          <cell r="S953" t="str">
            <v>BORONGAN</v>
          </cell>
          <cell r="T953" t="str">
            <v>TUNAI</v>
          </cell>
          <cell r="U953" t="str">
            <v>6109071009990002</v>
          </cell>
          <cell r="V953" t="str">
            <v>LOKAL</v>
          </cell>
        </row>
        <row r="954">
          <cell r="B954" t="str">
            <v>GM-00966</v>
          </cell>
          <cell r="C954" t="str">
            <v>RIPI ASTRI</v>
          </cell>
          <cell r="D954" t="str">
            <v>Ds. PAKIT MULAU</v>
          </cell>
          <cell r="E954">
            <v>43992</v>
          </cell>
          <cell r="F954" t="str">
            <v>L</v>
          </cell>
          <cell r="G954" t="str">
            <v>SEBINDANG</v>
          </cell>
          <cell r="H954">
            <v>27955</v>
          </cell>
          <cell r="I954" t="str">
            <v>44 TAHUN</v>
          </cell>
          <cell r="J954" t="str">
            <v>KRISTEN</v>
          </cell>
          <cell r="K954" t="str">
            <v>NON KONTRAKTOR</v>
          </cell>
          <cell r="L954">
            <v>5</v>
          </cell>
          <cell r="P954" t="str">
            <v>AKTIF</v>
          </cell>
          <cell r="R954" t="str">
            <v>PERAWATAN</v>
          </cell>
          <cell r="S954" t="str">
            <v>BORONGAN</v>
          </cell>
          <cell r="T954" t="str">
            <v>TUNAI</v>
          </cell>
          <cell r="U954" t="str">
            <v>6109065477600002</v>
          </cell>
          <cell r="V954" t="str">
            <v>LOKAL</v>
          </cell>
        </row>
        <row r="955">
          <cell r="B955" t="str">
            <v>GM-00967</v>
          </cell>
          <cell r="C955" t="str">
            <v>KRISTOPER JORDI</v>
          </cell>
          <cell r="D955" t="str">
            <v>BARAK G10 DIV 2</v>
          </cell>
          <cell r="E955">
            <v>43994</v>
          </cell>
          <cell r="F955" t="str">
            <v>L</v>
          </cell>
          <cell r="G955" t="str">
            <v>TEMEDAK MERAT</v>
          </cell>
          <cell r="H955">
            <v>37259</v>
          </cell>
          <cell r="I955" t="str">
            <v>19 TAHUN</v>
          </cell>
          <cell r="J955" t="str">
            <v>KATHOLIK</v>
          </cell>
          <cell r="K955" t="str">
            <v>NON KONTRAKTOR</v>
          </cell>
          <cell r="L955">
            <v>2</v>
          </cell>
          <cell r="P955" t="str">
            <v>AKTIF</v>
          </cell>
          <cell r="R955" t="str">
            <v>PANEN</v>
          </cell>
          <cell r="S955" t="str">
            <v>BORONGAN</v>
          </cell>
          <cell r="T955" t="str">
            <v>TUNAI</v>
          </cell>
          <cell r="U955" t="str">
            <v>6109060301020002</v>
          </cell>
          <cell r="V955" t="str">
            <v>LOKAL</v>
          </cell>
        </row>
        <row r="956">
          <cell r="B956" t="str">
            <v>GM-00968</v>
          </cell>
          <cell r="C956" t="str">
            <v>STEFANUS AGUSTINUS JERY</v>
          </cell>
          <cell r="D956" t="str">
            <v>BARAK G10 DIV 2</v>
          </cell>
          <cell r="E956">
            <v>43994</v>
          </cell>
          <cell r="F956" t="str">
            <v>L</v>
          </cell>
          <cell r="G956" t="str">
            <v>TEMEDAK MERAT</v>
          </cell>
          <cell r="H956">
            <v>37470</v>
          </cell>
          <cell r="I956" t="str">
            <v>18 TAHUN</v>
          </cell>
          <cell r="J956" t="str">
            <v>KATHOLIK</v>
          </cell>
          <cell r="K956" t="str">
            <v>NON KONTRAKTOR</v>
          </cell>
          <cell r="L956">
            <v>2</v>
          </cell>
          <cell r="P956" t="str">
            <v>AKTIF</v>
          </cell>
          <cell r="R956" t="str">
            <v>PANEN</v>
          </cell>
          <cell r="S956" t="str">
            <v>BORONGAN</v>
          </cell>
          <cell r="T956" t="str">
            <v>TUNAI</v>
          </cell>
          <cell r="U956" t="str">
            <v>6109060208020005</v>
          </cell>
          <cell r="V956" t="str">
            <v>LOKAL</v>
          </cell>
        </row>
        <row r="957">
          <cell r="B957" t="str">
            <v>GM-00969</v>
          </cell>
          <cell r="C957" t="str">
            <v>ALAN DEDI KURNIAWAN</v>
          </cell>
          <cell r="E957">
            <v>44011</v>
          </cell>
          <cell r="F957" t="str">
            <v>L</v>
          </cell>
          <cell r="G957" t="str">
            <v>TAPANG BARU</v>
          </cell>
          <cell r="H957" t="str">
            <v>26-10-1997</v>
          </cell>
          <cell r="I957" t="str">
            <v>23 TAHUN</v>
          </cell>
          <cell r="J957" t="str">
            <v>KATHOLIK</v>
          </cell>
          <cell r="K957" t="str">
            <v>NON KONTRAKTOR</v>
          </cell>
          <cell r="L957">
            <v>1</v>
          </cell>
          <cell r="M957" t="str">
            <v>ALAN DEDI KURNIAWAN</v>
          </cell>
          <cell r="N957">
            <v>978342158</v>
          </cell>
          <cell r="O957" t="str">
            <v>BNI</v>
          </cell>
          <cell r="P957" t="str">
            <v>AKTIF</v>
          </cell>
          <cell r="R957" t="str">
            <v>PANEN</v>
          </cell>
          <cell r="S957" t="str">
            <v>BORONGAN</v>
          </cell>
          <cell r="T957" t="str">
            <v>TRANSFER</v>
          </cell>
          <cell r="U957" t="str">
            <v>6109061010970001</v>
          </cell>
          <cell r="V957" t="str">
            <v>LOKAL</v>
          </cell>
        </row>
        <row r="958">
          <cell r="B958" t="str">
            <v>GM-00970</v>
          </cell>
          <cell r="C958" t="str">
            <v>YAFFRAY</v>
          </cell>
          <cell r="D958" t="str">
            <v>Ds. BEMBAN</v>
          </cell>
          <cell r="E958">
            <v>44019</v>
          </cell>
          <cell r="F958" t="str">
            <v>L</v>
          </cell>
          <cell r="G958" t="str">
            <v>DSN. TINTING BINDANG</v>
          </cell>
          <cell r="H958">
            <v>33198</v>
          </cell>
          <cell r="I958" t="str">
            <v>30 TAHUN</v>
          </cell>
          <cell r="J958" t="str">
            <v>KRISTEN</v>
          </cell>
          <cell r="K958" t="str">
            <v>NON KONTRAKTOR</v>
          </cell>
          <cell r="L958">
            <v>2</v>
          </cell>
          <cell r="M958" t="str">
            <v>YAFFRAY</v>
          </cell>
          <cell r="N958">
            <v>1111674150</v>
          </cell>
          <cell r="O958" t="str">
            <v>BNI</v>
          </cell>
          <cell r="P958" t="str">
            <v>AKTIF</v>
          </cell>
          <cell r="R958" t="str">
            <v>PANEN</v>
          </cell>
          <cell r="S958" t="str">
            <v>BORONGAN</v>
          </cell>
          <cell r="T958" t="str">
            <v>TRANSFER</v>
          </cell>
          <cell r="U958" t="str">
            <v>6109052111900006</v>
          </cell>
          <cell r="V958" t="str">
            <v>LOKAL</v>
          </cell>
        </row>
        <row r="959">
          <cell r="B959" t="str">
            <v>GM-00971</v>
          </cell>
          <cell r="C959" t="str">
            <v>WILLI</v>
          </cell>
          <cell r="D959" t="str">
            <v>Ds. RANSA</v>
          </cell>
          <cell r="E959">
            <v>44019</v>
          </cell>
          <cell r="F959" t="str">
            <v>L</v>
          </cell>
          <cell r="G959" t="str">
            <v>LUNGAN</v>
          </cell>
          <cell r="H959">
            <v>34088</v>
          </cell>
          <cell r="I959" t="str">
            <v>27 TAHUN</v>
          </cell>
          <cell r="J959" t="str">
            <v>KRISTEN</v>
          </cell>
          <cell r="K959" t="str">
            <v>NON KONTRAKTOR</v>
          </cell>
          <cell r="L959">
            <v>2</v>
          </cell>
          <cell r="P959" t="str">
            <v>AKTIF</v>
          </cell>
          <cell r="R959" t="str">
            <v>PERAWATAN</v>
          </cell>
          <cell r="S959" t="str">
            <v>BORONGAN</v>
          </cell>
          <cell r="T959" t="str">
            <v>TUNAI</v>
          </cell>
          <cell r="U959" t="str">
            <v>61090662904930002</v>
          </cell>
          <cell r="V959" t="str">
            <v>LOKAL</v>
          </cell>
        </row>
        <row r="960">
          <cell r="B960" t="str">
            <v>GM-00972</v>
          </cell>
          <cell r="C960" t="str">
            <v>DAWI</v>
          </cell>
          <cell r="D960" t="str">
            <v>SEBETUNG</v>
          </cell>
          <cell r="E960">
            <v>44026</v>
          </cell>
          <cell r="F960" t="str">
            <v>L</v>
          </cell>
          <cell r="G960" t="str">
            <v>SEBETUNG</v>
          </cell>
          <cell r="H960" t="str">
            <v>10-09-1977</v>
          </cell>
          <cell r="I960" t="str">
            <v>43 TAHUN</v>
          </cell>
          <cell r="J960" t="str">
            <v>KRISTEN</v>
          </cell>
          <cell r="K960" t="str">
            <v>NON KONTRAKTOR</v>
          </cell>
          <cell r="L960">
            <v>4</v>
          </cell>
          <cell r="M960" t="str">
            <v>DAWI</v>
          </cell>
          <cell r="N960">
            <v>978342192</v>
          </cell>
          <cell r="O960" t="str">
            <v>BNI</v>
          </cell>
          <cell r="P960" t="str">
            <v>AKTIF</v>
          </cell>
          <cell r="R960" t="str">
            <v>PANEN</v>
          </cell>
          <cell r="S960" t="str">
            <v>BORONGAN</v>
          </cell>
          <cell r="T960" t="str">
            <v>TRANSFER</v>
          </cell>
          <cell r="U960" t="str">
            <v>6109061009770001</v>
          </cell>
          <cell r="V960" t="str">
            <v>LOKAL</v>
          </cell>
        </row>
        <row r="961">
          <cell r="B961" t="str">
            <v>GM-00973</v>
          </cell>
          <cell r="C961" t="str">
            <v>JOHON</v>
          </cell>
          <cell r="D961" t="str">
            <v>BARAK G10 DIV 4</v>
          </cell>
          <cell r="E961">
            <v>44026</v>
          </cell>
          <cell r="F961" t="str">
            <v>L</v>
          </cell>
          <cell r="G961" t="str">
            <v>SUI MAWANG</v>
          </cell>
          <cell r="H961" t="str">
            <v>10-06-1986</v>
          </cell>
          <cell r="I961" t="str">
            <v>34 TAHUN</v>
          </cell>
          <cell r="J961" t="str">
            <v>KATHOLIK</v>
          </cell>
          <cell r="K961" t="str">
            <v>NON KONTRAKTOR</v>
          </cell>
          <cell r="L961">
            <v>4</v>
          </cell>
          <cell r="P961" t="str">
            <v>AKTIF</v>
          </cell>
          <cell r="R961" t="str">
            <v>PERAWATAN</v>
          </cell>
          <cell r="S961" t="str">
            <v>BORONGAN</v>
          </cell>
          <cell r="T961" t="str">
            <v>TUNAI</v>
          </cell>
          <cell r="U961" t="str">
            <v>6103021006860001</v>
          </cell>
          <cell r="V961" t="str">
            <v>LOKAL</v>
          </cell>
        </row>
        <row r="962">
          <cell r="B962" t="str">
            <v>GM-00974</v>
          </cell>
          <cell r="C962" t="str">
            <v>DARMADI</v>
          </cell>
          <cell r="D962" t="str">
            <v>Ds. RANGAH</v>
          </cell>
          <cell r="E962">
            <v>44033</v>
          </cell>
          <cell r="F962" t="str">
            <v>L</v>
          </cell>
          <cell r="G962" t="str">
            <v>SEI ANTU RANGAH</v>
          </cell>
          <cell r="H962">
            <v>27237</v>
          </cell>
          <cell r="I962" t="str">
            <v>46 TAHUN</v>
          </cell>
          <cell r="J962" t="str">
            <v>KRISTEN</v>
          </cell>
          <cell r="K962" t="str">
            <v>NON KONTRAKTOR</v>
          </cell>
          <cell r="L962">
            <v>4</v>
          </cell>
          <cell r="M962" t="str">
            <v>DARMADI</v>
          </cell>
          <cell r="N962">
            <v>1132022585</v>
          </cell>
          <cell r="O962" t="str">
            <v>BNI</v>
          </cell>
          <cell r="P962" t="str">
            <v>AKTIF</v>
          </cell>
          <cell r="R962" t="str">
            <v>PERAWATAN</v>
          </cell>
          <cell r="S962" t="str">
            <v>BORONGAN</v>
          </cell>
          <cell r="T962" t="str">
            <v>TRANSFER</v>
          </cell>
          <cell r="U962" t="str">
            <v>6109062707740007</v>
          </cell>
          <cell r="V962" t="str">
            <v>LOKAL</v>
          </cell>
        </row>
        <row r="963">
          <cell r="B963" t="str">
            <v>GM-00975</v>
          </cell>
          <cell r="C963" t="str">
            <v>MARLINDA WATI</v>
          </cell>
          <cell r="D963" t="str">
            <v>Ds. DANDI</v>
          </cell>
          <cell r="E963">
            <v>44033</v>
          </cell>
          <cell r="F963" t="str">
            <v>P</v>
          </cell>
          <cell r="G963" t="str">
            <v>DANDI</v>
          </cell>
          <cell r="H963">
            <v>35123</v>
          </cell>
          <cell r="I963" t="str">
            <v>24 TAHUN</v>
          </cell>
          <cell r="J963" t="str">
            <v>KRISTEN</v>
          </cell>
          <cell r="K963" t="str">
            <v>NON KONTRAKTOR</v>
          </cell>
          <cell r="L963">
            <v>4</v>
          </cell>
          <cell r="M963" t="str">
            <v>MARLINDA WATI</v>
          </cell>
          <cell r="N963">
            <v>1043293341</v>
          </cell>
          <cell r="O963" t="str">
            <v>BNI</v>
          </cell>
          <cell r="P963" t="str">
            <v>AKTIF</v>
          </cell>
          <cell r="R963" t="str">
            <v>PERAWATAN</v>
          </cell>
          <cell r="S963" t="str">
            <v>BORONGAN</v>
          </cell>
          <cell r="T963" t="str">
            <v>TRANSFER</v>
          </cell>
          <cell r="U963" t="str">
            <v>6109066802960002</v>
          </cell>
          <cell r="V963" t="str">
            <v>LOKAL</v>
          </cell>
        </row>
        <row r="964">
          <cell r="B964" t="str">
            <v>GM-00976</v>
          </cell>
          <cell r="C964" t="str">
            <v>ALPERTUS AGUNG</v>
          </cell>
          <cell r="D964" t="str">
            <v>BARAK G10 DIV 4</v>
          </cell>
          <cell r="E964">
            <v>44033</v>
          </cell>
          <cell r="F964" t="str">
            <v>L</v>
          </cell>
          <cell r="G964" t="str">
            <v>KAMPUH</v>
          </cell>
          <cell r="H964">
            <v>37583</v>
          </cell>
          <cell r="I964" t="str">
            <v>18 TAHUN</v>
          </cell>
          <cell r="J964" t="str">
            <v>KATHOLIK</v>
          </cell>
          <cell r="K964" t="str">
            <v>NON KONTRAKTOR</v>
          </cell>
          <cell r="L964">
            <v>4</v>
          </cell>
          <cell r="P964" t="str">
            <v>AKTIF</v>
          </cell>
          <cell r="R964" t="str">
            <v>PERAWATAN</v>
          </cell>
          <cell r="S964" t="str">
            <v>BORONGAN</v>
          </cell>
          <cell r="T964" t="str">
            <v>TUNAI</v>
          </cell>
          <cell r="U964" t="str">
            <v>6103062311020001</v>
          </cell>
          <cell r="V964" t="str">
            <v>LOKAL</v>
          </cell>
        </row>
        <row r="965">
          <cell r="B965" t="str">
            <v>GM-00977</v>
          </cell>
          <cell r="C965" t="str">
            <v>BARNABAS SOGIO</v>
          </cell>
          <cell r="E965">
            <v>44035</v>
          </cell>
          <cell r="F965" t="str">
            <v>L</v>
          </cell>
          <cell r="G965" t="str">
            <v>SEI ANTU HULU</v>
          </cell>
          <cell r="H965">
            <v>37583</v>
          </cell>
          <cell r="I965" t="str">
            <v>18 TAHUN</v>
          </cell>
          <cell r="J965" t="str">
            <v>KATHOLIK</v>
          </cell>
          <cell r="K965" t="str">
            <v>NON KONTRAKTOR</v>
          </cell>
          <cell r="L965">
            <v>5</v>
          </cell>
          <cell r="P965" t="str">
            <v>AKTIF</v>
          </cell>
          <cell r="R965" t="str">
            <v>PERAWATAN</v>
          </cell>
          <cell r="S965" t="str">
            <v>BORONGAN</v>
          </cell>
          <cell r="T965" t="str">
            <v>TUNAI</v>
          </cell>
          <cell r="U965" t="str">
            <v>6109061103770001</v>
          </cell>
          <cell r="V965" t="str">
            <v>LOKAL</v>
          </cell>
        </row>
        <row r="966">
          <cell r="B966" t="str">
            <v>GM-00978</v>
          </cell>
          <cell r="C966" t="str">
            <v>DONATUS ATEK</v>
          </cell>
          <cell r="E966">
            <v>44035</v>
          </cell>
          <cell r="F966" t="str">
            <v>L</v>
          </cell>
          <cell r="G966" t="str">
            <v>KOLO</v>
          </cell>
          <cell r="H966">
            <v>37583</v>
          </cell>
          <cell r="I966" t="str">
            <v>18 TAHUN</v>
          </cell>
          <cell r="J966" t="str">
            <v>KATHOLIK</v>
          </cell>
          <cell r="K966" t="str">
            <v>NON KONTRAKTOR</v>
          </cell>
          <cell r="L966">
            <v>5</v>
          </cell>
          <cell r="P966" t="str">
            <v>AKTIF</v>
          </cell>
          <cell r="R966" t="str">
            <v>PERAWATAN</v>
          </cell>
          <cell r="S966" t="str">
            <v>BORONGAN</v>
          </cell>
          <cell r="T966" t="str">
            <v>TUNAI</v>
          </cell>
          <cell r="U966" t="str">
            <v>6109060702800004</v>
          </cell>
          <cell r="V966" t="str">
            <v>LOKAL</v>
          </cell>
        </row>
        <row r="967">
          <cell r="B967" t="str">
            <v>GM-00979</v>
          </cell>
          <cell r="C967" t="str">
            <v>EDMUNDUS BATOK</v>
          </cell>
          <cell r="E967">
            <v>44035</v>
          </cell>
          <cell r="F967" t="str">
            <v>L</v>
          </cell>
          <cell r="G967" t="str">
            <v>SEI ANTU HULU</v>
          </cell>
          <cell r="H967">
            <v>37583</v>
          </cell>
          <cell r="I967" t="str">
            <v>18 TAHUN</v>
          </cell>
          <cell r="J967" t="str">
            <v>KATHOLIK</v>
          </cell>
          <cell r="K967" t="str">
            <v>NON KONTRAKTOR</v>
          </cell>
          <cell r="L967">
            <v>5</v>
          </cell>
          <cell r="P967" t="str">
            <v>AKTIF</v>
          </cell>
          <cell r="R967" t="str">
            <v>PERAWATAN</v>
          </cell>
          <cell r="S967" t="str">
            <v>BORONGAN</v>
          </cell>
          <cell r="T967" t="str">
            <v>TUNAI</v>
          </cell>
          <cell r="U967" t="str">
            <v>6109060903910001</v>
          </cell>
          <cell r="V967" t="str">
            <v>LOKAL</v>
          </cell>
        </row>
        <row r="968">
          <cell r="B968" t="str">
            <v>GM-00980</v>
          </cell>
          <cell r="C968" t="str">
            <v>FASIFIKUS DARWIN</v>
          </cell>
          <cell r="E968">
            <v>44035</v>
          </cell>
          <cell r="F968" t="str">
            <v>L</v>
          </cell>
          <cell r="G968" t="str">
            <v>KOLO</v>
          </cell>
          <cell r="H968">
            <v>37583</v>
          </cell>
          <cell r="I968" t="str">
            <v>18 TAHUN</v>
          </cell>
          <cell r="J968" t="str">
            <v>KATHOLIK</v>
          </cell>
          <cell r="K968" t="str">
            <v>NON KONTRAKTOR</v>
          </cell>
          <cell r="L968">
            <v>5</v>
          </cell>
          <cell r="P968" t="str">
            <v>AKTIF</v>
          </cell>
          <cell r="R968" t="str">
            <v>PERAWATAN</v>
          </cell>
          <cell r="S968" t="str">
            <v>BORONGAN</v>
          </cell>
          <cell r="T968" t="str">
            <v>TUNAI</v>
          </cell>
          <cell r="U968" t="str">
            <v>6109062102750001</v>
          </cell>
          <cell r="V968" t="str">
            <v>LOKAL</v>
          </cell>
        </row>
        <row r="969">
          <cell r="B969" t="str">
            <v>GM-00981</v>
          </cell>
          <cell r="C969" t="str">
            <v>HENDRA</v>
          </cell>
          <cell r="E969">
            <v>44037</v>
          </cell>
          <cell r="F969" t="str">
            <v>L</v>
          </cell>
          <cell r="G969" t="str">
            <v>ENGKUDU MULAU</v>
          </cell>
          <cell r="H969">
            <v>32782</v>
          </cell>
          <cell r="I969" t="str">
            <v>31 TAHUN</v>
          </cell>
          <cell r="J969" t="str">
            <v>KRISTEN</v>
          </cell>
          <cell r="K969" t="str">
            <v>NON KONTRAKTOR</v>
          </cell>
          <cell r="L969">
            <v>2</v>
          </cell>
          <cell r="P969" t="str">
            <v>AKTIF</v>
          </cell>
          <cell r="R969" t="str">
            <v>PERAWATAN</v>
          </cell>
          <cell r="S969" t="str">
            <v>BORONGAN</v>
          </cell>
          <cell r="T969" t="str">
            <v>TUNAI</v>
          </cell>
          <cell r="U969" t="str">
            <v>6109060110890004</v>
          </cell>
          <cell r="V969" t="str">
            <v>LOKAL</v>
          </cell>
        </row>
        <row r="970">
          <cell r="B970" t="str">
            <v>GM-00982</v>
          </cell>
          <cell r="C970" t="str">
            <v>MAJA KASOMA</v>
          </cell>
          <cell r="E970">
            <v>44037</v>
          </cell>
          <cell r="F970" t="str">
            <v>L</v>
          </cell>
          <cell r="G970" t="str">
            <v>ENGKUDU MULAU</v>
          </cell>
          <cell r="H970">
            <v>35625</v>
          </cell>
          <cell r="I970" t="str">
            <v>23 TAHUN</v>
          </cell>
          <cell r="J970" t="str">
            <v>KRISTEN</v>
          </cell>
          <cell r="K970" t="str">
            <v>NON KONTRAKTOR</v>
          </cell>
          <cell r="L970">
            <v>2</v>
          </cell>
          <cell r="P970" t="str">
            <v>AKTIF</v>
          </cell>
          <cell r="R970" t="str">
            <v>PERAWATAN</v>
          </cell>
          <cell r="S970" t="str">
            <v>BORONGAN</v>
          </cell>
          <cell r="T970" t="str">
            <v>TUNAI</v>
          </cell>
          <cell r="U970" t="str">
            <v>6109061407970001</v>
          </cell>
          <cell r="V970" t="str">
            <v>LOKAL</v>
          </cell>
        </row>
        <row r="971">
          <cell r="B971" t="str">
            <v>GM-00983</v>
          </cell>
          <cell r="C971" t="str">
            <v>ARDIANUS</v>
          </cell>
          <cell r="E971">
            <v>44037</v>
          </cell>
          <cell r="F971" t="str">
            <v>L</v>
          </cell>
          <cell r="G971" t="str">
            <v>ENGKUDU MULAU</v>
          </cell>
          <cell r="H971">
            <v>36178</v>
          </cell>
          <cell r="I971" t="str">
            <v>22 TAHUN</v>
          </cell>
          <cell r="J971" t="str">
            <v>KRISTEN</v>
          </cell>
          <cell r="K971" t="str">
            <v>NON KONTRAKTOR</v>
          </cell>
          <cell r="L971">
            <v>2</v>
          </cell>
          <cell r="P971" t="str">
            <v>AKTIF</v>
          </cell>
          <cell r="R971" t="str">
            <v>PERAWATAN</v>
          </cell>
          <cell r="S971" t="str">
            <v>BORONGAN</v>
          </cell>
          <cell r="T971" t="str">
            <v>TUNAI</v>
          </cell>
          <cell r="U971" t="str">
            <v>6109061801990002</v>
          </cell>
          <cell r="V971" t="str">
            <v>LOKAL</v>
          </cell>
        </row>
        <row r="972">
          <cell r="B972" t="str">
            <v>GM-00984</v>
          </cell>
          <cell r="C972" t="str">
            <v>ROBERTUS CODON</v>
          </cell>
          <cell r="F972" t="str">
            <v>L</v>
          </cell>
          <cell r="G972" t="str">
            <v>ENTAKAI</v>
          </cell>
          <cell r="H972">
            <v>35485</v>
          </cell>
          <cell r="I972" t="str">
            <v>23 TAHUN</v>
          </cell>
          <cell r="J972" t="str">
            <v>KATHOLIK</v>
          </cell>
          <cell r="K972" t="str">
            <v>NURSAIL</v>
          </cell>
          <cell r="L972">
            <v>1</v>
          </cell>
          <cell r="P972" t="str">
            <v>AKTIF</v>
          </cell>
          <cell r="R972" t="str">
            <v>PERAWATAN</v>
          </cell>
          <cell r="S972" t="str">
            <v>BORONGAN</v>
          </cell>
          <cell r="T972" t="str">
            <v>TUNAI</v>
          </cell>
          <cell r="U972" t="str">
            <v>6103012402970002</v>
          </cell>
          <cell r="V972" t="str">
            <v>LOKAL</v>
          </cell>
        </row>
        <row r="973">
          <cell r="B973" t="str">
            <v>GM-00985</v>
          </cell>
          <cell r="C973" t="str">
            <v>ANGGA VIOTAMA TINJING</v>
          </cell>
          <cell r="E973">
            <v>44064</v>
          </cell>
          <cell r="F973" t="str">
            <v>L</v>
          </cell>
          <cell r="G973" t="str">
            <v>DANDI</v>
          </cell>
          <cell r="H973">
            <v>36781</v>
          </cell>
          <cell r="I973" t="str">
            <v>20 TAHUN</v>
          </cell>
          <cell r="J973" t="str">
            <v>KRISTEN</v>
          </cell>
          <cell r="K973" t="str">
            <v>NON KONTRAKTOR</v>
          </cell>
          <cell r="L973">
            <v>4</v>
          </cell>
          <cell r="M973" t="str">
            <v>ANGGA VIOTAMA TINJING</v>
          </cell>
          <cell r="N973">
            <v>1051795986</v>
          </cell>
          <cell r="O973" t="str">
            <v>BNI</v>
          </cell>
          <cell r="P973" t="str">
            <v>AKTIF</v>
          </cell>
          <cell r="R973" t="str">
            <v>PERAWATAN</v>
          </cell>
          <cell r="S973" t="str">
            <v>BORONGAN</v>
          </cell>
          <cell r="T973" t="str">
            <v>TRANSFER</v>
          </cell>
          <cell r="U973" t="str">
            <v>6109061209000003</v>
          </cell>
          <cell r="V973" t="str">
            <v>LOKAL</v>
          </cell>
        </row>
        <row r="974">
          <cell r="B974" t="str">
            <v>GM-00986</v>
          </cell>
          <cell r="C974" t="str">
            <v>HENGKI</v>
          </cell>
          <cell r="E974">
            <v>44074</v>
          </cell>
          <cell r="F974" t="str">
            <v>L</v>
          </cell>
          <cell r="G974" t="str">
            <v>LUNGAN</v>
          </cell>
          <cell r="H974">
            <v>36285</v>
          </cell>
          <cell r="I974" t="str">
            <v>21 TAHUN</v>
          </cell>
          <cell r="J974" t="str">
            <v>KRISTEN</v>
          </cell>
          <cell r="K974" t="str">
            <v>NON KONTRAKTOR</v>
          </cell>
          <cell r="L974">
            <v>2</v>
          </cell>
          <cell r="M974" t="str">
            <v>HENGKI</v>
          </cell>
          <cell r="N974">
            <v>1051795964</v>
          </cell>
          <cell r="O974" t="str">
            <v>BNI</v>
          </cell>
          <cell r="P974" t="str">
            <v>AKTIF</v>
          </cell>
          <cell r="R974" t="str">
            <v>PERAWATAN</v>
          </cell>
          <cell r="S974" t="str">
            <v>BORONGAN</v>
          </cell>
          <cell r="T974" t="str">
            <v>TRANSFER</v>
          </cell>
          <cell r="U974" t="str">
            <v>6109060505990001</v>
          </cell>
          <cell r="V974" t="str">
            <v>LOKAL</v>
          </cell>
        </row>
        <row r="975">
          <cell r="B975" t="str">
            <v>GM-00987</v>
          </cell>
          <cell r="C975" t="str">
            <v>YOHANES</v>
          </cell>
          <cell r="E975">
            <v>44074</v>
          </cell>
          <cell r="F975" t="str">
            <v>L</v>
          </cell>
          <cell r="G975" t="str">
            <v>PAOH</v>
          </cell>
          <cell r="H975">
            <v>33553</v>
          </cell>
          <cell r="I975" t="str">
            <v>29 TAHUN</v>
          </cell>
          <cell r="J975" t="str">
            <v>KRISTEN</v>
          </cell>
          <cell r="K975" t="str">
            <v>NON KONTRAKTOR</v>
          </cell>
          <cell r="L975">
            <v>2</v>
          </cell>
          <cell r="P975" t="str">
            <v>AKTIF</v>
          </cell>
          <cell r="R975" t="str">
            <v>PERAWATAN</v>
          </cell>
          <cell r="S975" t="str">
            <v>BORONGAN</v>
          </cell>
          <cell r="T975" t="str">
            <v>TUNAI</v>
          </cell>
          <cell r="U975" t="str">
            <v>6105031111910011</v>
          </cell>
          <cell r="V975" t="str">
            <v>AKAD</v>
          </cell>
        </row>
        <row r="976">
          <cell r="B976" t="str">
            <v>GM-00988</v>
          </cell>
          <cell r="C976" t="str">
            <v>YATEMI</v>
          </cell>
          <cell r="E976">
            <v>44079</v>
          </cell>
          <cell r="F976" t="str">
            <v>P</v>
          </cell>
          <cell r="G976" t="str">
            <v>MALANG</v>
          </cell>
          <cell r="H976">
            <v>29051</v>
          </cell>
          <cell r="I976" t="str">
            <v>41 TAHUN</v>
          </cell>
          <cell r="J976" t="str">
            <v>KRISTEN</v>
          </cell>
          <cell r="K976" t="str">
            <v>DENY</v>
          </cell>
          <cell r="L976">
            <v>3</v>
          </cell>
          <cell r="M976" t="str">
            <v>YATEMI</v>
          </cell>
          <cell r="N976">
            <v>1132022541</v>
          </cell>
          <cell r="O976" t="str">
            <v>BNI</v>
          </cell>
          <cell r="P976" t="str">
            <v>AKTIF</v>
          </cell>
          <cell r="R976" t="str">
            <v>PERAWATAN</v>
          </cell>
          <cell r="S976" t="str">
            <v>BORONGAN</v>
          </cell>
          <cell r="T976" t="str">
            <v>TRANSFER</v>
          </cell>
          <cell r="U976" t="str">
            <v>3507065507790006</v>
          </cell>
          <cell r="V976" t="str">
            <v>AKAD</v>
          </cell>
        </row>
        <row r="977">
          <cell r="B977" t="str">
            <v>GM-00989</v>
          </cell>
          <cell r="C977" t="str">
            <v>ARIF KURNIAWAN</v>
          </cell>
          <cell r="D977" t="str">
            <v>BALAI SEPUAK</v>
          </cell>
          <cell r="F977" t="str">
            <v>L</v>
          </cell>
          <cell r="G977" t="str">
            <v>TRI MULYA</v>
          </cell>
          <cell r="H977">
            <v>35957</v>
          </cell>
          <cell r="I977" t="str">
            <v>22 TAHUN</v>
          </cell>
          <cell r="J977" t="str">
            <v>ISLAM</v>
          </cell>
          <cell r="K977" t="str">
            <v>NURSAIL</v>
          </cell>
          <cell r="L977">
            <v>1</v>
          </cell>
          <cell r="P977" t="str">
            <v>AKTIF</v>
          </cell>
          <cell r="R977" t="str">
            <v>PERAWATAN</v>
          </cell>
          <cell r="S977" t="str">
            <v>BORONGAN</v>
          </cell>
          <cell r="T977" t="str">
            <v>TUNAI</v>
          </cell>
          <cell r="U977" t="str">
            <v>6103021108980001</v>
          </cell>
          <cell r="V977" t="str">
            <v>AKAD</v>
          </cell>
        </row>
        <row r="978">
          <cell r="B978" t="str">
            <v>GM-00990</v>
          </cell>
          <cell r="C978" t="str">
            <v>GIATNO</v>
          </cell>
          <cell r="D978" t="str">
            <v>BALAI SEPUAK</v>
          </cell>
          <cell r="F978" t="str">
            <v>L</v>
          </cell>
          <cell r="G978" t="str">
            <v>MUKOK</v>
          </cell>
          <cell r="H978">
            <v>29798</v>
          </cell>
          <cell r="I978" t="str">
            <v>39 TAHUN</v>
          </cell>
          <cell r="J978" t="str">
            <v>ISLAM</v>
          </cell>
          <cell r="K978" t="str">
            <v>NURSAIL</v>
          </cell>
          <cell r="L978">
            <v>1</v>
          </cell>
          <cell r="M978" t="str">
            <v>GIATNO</v>
          </cell>
          <cell r="N978">
            <v>1108045772</v>
          </cell>
          <cell r="O978" t="str">
            <v>BNI</v>
          </cell>
          <cell r="P978" t="str">
            <v>AKTIF</v>
          </cell>
          <cell r="R978" t="str">
            <v>PERAWATAN</v>
          </cell>
          <cell r="S978" t="str">
            <v>BORONGAN</v>
          </cell>
          <cell r="T978" t="str">
            <v>TRANSFER</v>
          </cell>
          <cell r="U978" t="str">
            <v>6109063107810001</v>
          </cell>
          <cell r="V978" t="str">
            <v>LOKAL</v>
          </cell>
        </row>
        <row r="979">
          <cell r="B979" t="str">
            <v>GM-00991</v>
          </cell>
          <cell r="C979" t="str">
            <v>DWI CAHYO NUGROHO</v>
          </cell>
          <cell r="D979" t="str">
            <v>BALAI SEPUAK</v>
          </cell>
          <cell r="F979" t="str">
            <v>L</v>
          </cell>
          <cell r="G979" t="str">
            <v>TRI MULYA</v>
          </cell>
          <cell r="H979">
            <v>36083</v>
          </cell>
          <cell r="I979" t="str">
            <v>22 TAHUN</v>
          </cell>
          <cell r="J979" t="str">
            <v>ISLAM</v>
          </cell>
          <cell r="K979" t="str">
            <v>NURSAIL</v>
          </cell>
          <cell r="L979">
            <v>1</v>
          </cell>
          <cell r="M979" t="str">
            <v>DWI CAHYO NUGROHO</v>
          </cell>
          <cell r="N979">
            <v>1108045761</v>
          </cell>
          <cell r="O979" t="str">
            <v>BNI</v>
          </cell>
          <cell r="P979" t="str">
            <v>AKTIF</v>
          </cell>
          <cell r="R979" t="str">
            <v>PERAWATAN</v>
          </cell>
          <cell r="S979" t="str">
            <v>BORONGAN</v>
          </cell>
          <cell r="T979" t="str">
            <v>TRANSFER</v>
          </cell>
          <cell r="U979" t="str">
            <v>6103021510980001</v>
          </cell>
          <cell r="V979" t="str">
            <v>AKAD</v>
          </cell>
        </row>
        <row r="980">
          <cell r="B980" t="str">
            <v>GM-00992</v>
          </cell>
          <cell r="C980" t="str">
            <v>MUHSININ</v>
          </cell>
          <cell r="D980" t="str">
            <v>BARAK G10 DIV 3</v>
          </cell>
          <cell r="F980" t="str">
            <v>L</v>
          </cell>
          <cell r="G980" t="str">
            <v>LUBUK RAWA</v>
          </cell>
          <cell r="H980">
            <v>37592</v>
          </cell>
          <cell r="I980" t="str">
            <v>18 TAHUN</v>
          </cell>
          <cell r="J980" t="str">
            <v>ISLAM</v>
          </cell>
          <cell r="K980" t="str">
            <v>DENY</v>
          </cell>
          <cell r="L980">
            <v>3</v>
          </cell>
          <cell r="P980" t="str">
            <v>AKTIF</v>
          </cell>
          <cell r="R980" t="str">
            <v>PERAWATAN</v>
          </cell>
          <cell r="S980" t="str">
            <v>BORONGAN</v>
          </cell>
          <cell r="T980" t="str">
            <v>TUNAI</v>
          </cell>
          <cell r="U980" t="str">
            <v>610117021200002</v>
          </cell>
          <cell r="V980" t="str">
            <v>AKAD</v>
          </cell>
        </row>
        <row r="981">
          <cell r="B981" t="str">
            <v>GM-00993</v>
          </cell>
          <cell r="C981" t="str">
            <v>MUZANI</v>
          </cell>
          <cell r="D981" t="str">
            <v>BARAK G10 DIV 3</v>
          </cell>
          <cell r="F981" t="str">
            <v>L</v>
          </cell>
          <cell r="G981" t="str">
            <v>LUBUK RAWA</v>
          </cell>
          <cell r="H981">
            <v>36006</v>
          </cell>
          <cell r="I981" t="str">
            <v>22 TAHUN</v>
          </cell>
          <cell r="J981" t="str">
            <v>ISLAM</v>
          </cell>
          <cell r="K981" t="str">
            <v>DENY</v>
          </cell>
          <cell r="L981">
            <v>3</v>
          </cell>
          <cell r="P981" t="str">
            <v>AKTIF</v>
          </cell>
          <cell r="R981" t="str">
            <v>PERAWATAN</v>
          </cell>
          <cell r="S981" t="str">
            <v>BORONGAN</v>
          </cell>
          <cell r="T981" t="str">
            <v>TUNAI</v>
          </cell>
          <cell r="U981" t="str">
            <v>6101173007980001</v>
          </cell>
          <cell r="V981" t="str">
            <v>AKAD</v>
          </cell>
        </row>
        <row r="982">
          <cell r="B982" t="str">
            <v>GM-00994</v>
          </cell>
          <cell r="C982" t="str">
            <v>LAMET</v>
          </cell>
          <cell r="D982" t="str">
            <v>BARAK G10 DIV 3</v>
          </cell>
          <cell r="F982" t="str">
            <v>L</v>
          </cell>
          <cell r="G982" t="str">
            <v>PANCUR</v>
          </cell>
          <cell r="H982">
            <v>32257</v>
          </cell>
          <cell r="I982" t="str">
            <v>32 TAHUN</v>
          </cell>
          <cell r="J982" t="str">
            <v>ISLAM</v>
          </cell>
          <cell r="K982" t="str">
            <v>DENY</v>
          </cell>
          <cell r="L982">
            <v>3</v>
          </cell>
          <cell r="P982" t="str">
            <v>AKTIF</v>
          </cell>
          <cell r="R982" t="str">
            <v>PERAWATAN</v>
          </cell>
          <cell r="S982" t="str">
            <v>BORONGAN</v>
          </cell>
          <cell r="T982" t="str">
            <v>TUNAI</v>
          </cell>
          <cell r="U982" t="str">
            <v>6101172404880002</v>
          </cell>
          <cell r="V982" t="str">
            <v>AKAD</v>
          </cell>
        </row>
        <row r="983">
          <cell r="B983" t="str">
            <v>GM-00995</v>
          </cell>
          <cell r="C983" t="str">
            <v>WAHDI</v>
          </cell>
          <cell r="D983" t="str">
            <v>BARAK G10 DIV 3</v>
          </cell>
          <cell r="F983" t="str">
            <v>L</v>
          </cell>
          <cell r="G983" t="str">
            <v>PANCUR</v>
          </cell>
          <cell r="H983">
            <v>37444</v>
          </cell>
          <cell r="I983" t="str">
            <v>18 TAHUN</v>
          </cell>
          <cell r="J983" t="str">
            <v>ISLAM</v>
          </cell>
          <cell r="K983" t="str">
            <v>DENY</v>
          </cell>
          <cell r="L983">
            <v>3</v>
          </cell>
          <cell r="P983" t="str">
            <v>AKTIF</v>
          </cell>
          <cell r="R983" t="str">
            <v>PERAWATAN</v>
          </cell>
          <cell r="S983" t="str">
            <v>BORONGAN</v>
          </cell>
          <cell r="T983" t="str">
            <v>TUNAI</v>
          </cell>
          <cell r="U983" t="str">
            <v>6101170707020001</v>
          </cell>
          <cell r="V983" t="str">
            <v>AKAD</v>
          </cell>
        </row>
        <row r="984">
          <cell r="B984" t="str">
            <v>GM-00996</v>
          </cell>
          <cell r="C984" t="str">
            <v>GEDE AGUS KURNIAWAN</v>
          </cell>
          <cell r="D984" t="str">
            <v>BARAK G10 DIV 3</v>
          </cell>
          <cell r="F984" t="str">
            <v>L</v>
          </cell>
          <cell r="G984" t="str">
            <v>SINGKAWANG</v>
          </cell>
          <cell r="H984">
            <v>37491</v>
          </cell>
          <cell r="I984" t="str">
            <v>18 TAHUN</v>
          </cell>
          <cell r="J984" t="str">
            <v>ISLAM</v>
          </cell>
          <cell r="K984" t="str">
            <v>DENY</v>
          </cell>
          <cell r="L984">
            <v>3</v>
          </cell>
          <cell r="P984" t="str">
            <v>AKTIF</v>
          </cell>
          <cell r="R984" t="str">
            <v>PERAWATAN</v>
          </cell>
          <cell r="S984" t="str">
            <v>BORONGAN</v>
          </cell>
          <cell r="T984" t="str">
            <v>TUNAI</v>
          </cell>
          <cell r="U984" t="str">
            <v>6101052308020002</v>
          </cell>
          <cell r="V984" t="str">
            <v>AKAD</v>
          </cell>
        </row>
        <row r="985">
          <cell r="B985" t="str">
            <v>GM-00997</v>
          </cell>
          <cell r="C985" t="str">
            <v>ERPENDA</v>
          </cell>
          <cell r="D985" t="str">
            <v>BARAK G10 DIV 3</v>
          </cell>
          <cell r="F985" t="str">
            <v>L</v>
          </cell>
          <cell r="G985" t="str">
            <v>PEMANGKAT</v>
          </cell>
          <cell r="H985">
            <v>30726</v>
          </cell>
          <cell r="I985" t="str">
            <v>36 TAHUN</v>
          </cell>
          <cell r="J985" t="str">
            <v>ISLAM</v>
          </cell>
          <cell r="K985" t="str">
            <v>NURSAIL</v>
          </cell>
          <cell r="L985">
            <v>3</v>
          </cell>
          <cell r="P985" t="str">
            <v>AKTIF</v>
          </cell>
          <cell r="R985" t="str">
            <v>PERAWATAN</v>
          </cell>
          <cell r="S985" t="str">
            <v>BORONGAN</v>
          </cell>
          <cell r="T985" t="str">
            <v>TUNAI</v>
          </cell>
          <cell r="U985" t="str">
            <v>6101051402840005</v>
          </cell>
          <cell r="V985" t="str">
            <v>AKAD</v>
          </cell>
        </row>
        <row r="986">
          <cell r="B986" t="str">
            <v>GM-00998</v>
          </cell>
          <cell r="C986" t="str">
            <v>SABASTIAN BONI</v>
          </cell>
          <cell r="E986">
            <v>44075</v>
          </cell>
          <cell r="F986" t="str">
            <v>L</v>
          </cell>
          <cell r="G986" t="str">
            <v>SP V KENUAK</v>
          </cell>
          <cell r="H986">
            <v>38138</v>
          </cell>
          <cell r="I986" t="str">
            <v>16 TAHUN</v>
          </cell>
          <cell r="J986" t="str">
            <v>KRISTEN</v>
          </cell>
          <cell r="K986" t="str">
            <v>NON KONTRAKTOR</v>
          </cell>
          <cell r="L986">
            <v>5</v>
          </cell>
          <cell r="P986" t="str">
            <v>AKTIF</v>
          </cell>
          <cell r="R986" t="str">
            <v>PERAWATAN</v>
          </cell>
          <cell r="S986" t="str">
            <v>BORONGAN</v>
          </cell>
          <cell r="T986" t="str">
            <v>TUNAI</v>
          </cell>
          <cell r="U986" t="str">
            <v>6109073105040001</v>
          </cell>
          <cell r="V986" t="str">
            <v>LOKAL</v>
          </cell>
        </row>
        <row r="987">
          <cell r="B987" t="str">
            <v>GM-00999</v>
          </cell>
          <cell r="C987" t="str">
            <v>HERKULANUS EDI</v>
          </cell>
          <cell r="D987" t="str">
            <v>Ds. SADUS</v>
          </cell>
          <cell r="E987">
            <v>44088</v>
          </cell>
          <cell r="F987" t="str">
            <v>L</v>
          </cell>
          <cell r="G987" t="str">
            <v>TEBUAS</v>
          </cell>
          <cell r="H987">
            <v>35460</v>
          </cell>
          <cell r="I987" t="str">
            <v>23 TAHUN</v>
          </cell>
          <cell r="J987" t="str">
            <v>KATHOLIK</v>
          </cell>
          <cell r="K987" t="str">
            <v>NON KONTRAKTOR</v>
          </cell>
          <cell r="L987">
            <v>4</v>
          </cell>
          <cell r="M987" t="str">
            <v>HERKULANUS EDI</v>
          </cell>
          <cell r="N987">
            <v>1120518020</v>
          </cell>
          <cell r="O987" t="str">
            <v>BNI</v>
          </cell>
          <cell r="P987" t="str">
            <v>AKTIF</v>
          </cell>
          <cell r="R987" t="str">
            <v>PERAWATAN</v>
          </cell>
          <cell r="S987" t="str">
            <v>BORONGAN</v>
          </cell>
          <cell r="T987" t="str">
            <v>TRANSFER</v>
          </cell>
          <cell r="U987" t="str">
            <v>6103043001970001</v>
          </cell>
          <cell r="V987" t="str">
            <v>LOKAL</v>
          </cell>
        </row>
        <row r="988">
          <cell r="B988" t="str">
            <v>GM-01000</v>
          </cell>
          <cell r="C988" t="str">
            <v>AGUS RIYANTO</v>
          </cell>
          <cell r="D988" t="str">
            <v>Ds. AMOH</v>
          </cell>
          <cell r="E988">
            <v>44088</v>
          </cell>
          <cell r="F988" t="str">
            <v>L</v>
          </cell>
          <cell r="G988" t="str">
            <v>KELADAN</v>
          </cell>
          <cell r="H988">
            <v>34921</v>
          </cell>
          <cell r="I988" t="str">
            <v>25 TAHUN</v>
          </cell>
          <cell r="J988" t="str">
            <v>KATHOLIK</v>
          </cell>
          <cell r="K988" t="str">
            <v>NON KONTRAKTOR</v>
          </cell>
          <cell r="L988">
            <v>4</v>
          </cell>
          <cell r="P988" t="str">
            <v>AKTIF</v>
          </cell>
          <cell r="R988" t="str">
            <v>PERAWATAN</v>
          </cell>
          <cell r="S988" t="str">
            <v>BORONGAN</v>
          </cell>
          <cell r="T988" t="str">
            <v>TUNAI</v>
          </cell>
          <cell r="U988" t="str">
            <v>6109071008950002</v>
          </cell>
          <cell r="V988" t="str">
            <v>LOKAL</v>
          </cell>
        </row>
        <row r="989">
          <cell r="B989" t="str">
            <v>GM-01001</v>
          </cell>
          <cell r="C989" t="str">
            <v>SIUS</v>
          </cell>
          <cell r="E989">
            <v>44111</v>
          </cell>
          <cell r="F989" t="str">
            <v>L</v>
          </cell>
          <cell r="G989" t="str">
            <v>AMOH</v>
          </cell>
          <cell r="H989">
            <v>31387</v>
          </cell>
          <cell r="I989" t="str">
            <v>35 TAHUN</v>
          </cell>
          <cell r="J989" t="str">
            <v>KRISTEN</v>
          </cell>
          <cell r="K989" t="str">
            <v>NON KONTRAKTOR</v>
          </cell>
          <cell r="L989">
            <v>1</v>
          </cell>
          <cell r="M989" t="str">
            <v>SIUS</v>
          </cell>
          <cell r="N989">
            <v>1133620120</v>
          </cell>
          <cell r="O989" t="str">
            <v>BNI</v>
          </cell>
          <cell r="P989" t="str">
            <v>AKTIF</v>
          </cell>
          <cell r="R989" t="str">
            <v>PANEN</v>
          </cell>
          <cell r="S989" t="str">
            <v>BORONGAN</v>
          </cell>
          <cell r="T989" t="str">
            <v>TRANSFER</v>
          </cell>
          <cell r="U989" t="str">
            <v>6109060612850001</v>
          </cell>
          <cell r="V989" t="str">
            <v>LOKAL</v>
          </cell>
        </row>
        <row r="990">
          <cell r="B990" t="str">
            <v>GM-01002</v>
          </cell>
          <cell r="C990" t="str">
            <v>TERIVONIA</v>
          </cell>
          <cell r="D990" t="str">
            <v>BARAK G10 DIV 4</v>
          </cell>
          <cell r="E990">
            <v>44110</v>
          </cell>
          <cell r="F990" t="str">
            <v>P</v>
          </cell>
          <cell r="G990" t="str">
            <v>MENAWAI ULU</v>
          </cell>
          <cell r="H990">
            <v>31651</v>
          </cell>
          <cell r="I990" t="str">
            <v>34 TAHUN</v>
          </cell>
          <cell r="J990" t="str">
            <v>KATHOLIK</v>
          </cell>
          <cell r="K990" t="str">
            <v>NON KONTRAKTOR</v>
          </cell>
          <cell r="L990">
            <v>4</v>
          </cell>
          <cell r="P990" t="str">
            <v>AKTIF</v>
          </cell>
          <cell r="R990" t="str">
            <v>PERAWATAN</v>
          </cell>
          <cell r="S990" t="str">
            <v>BORONGAN</v>
          </cell>
          <cell r="T990" t="str">
            <v>TUNAI</v>
          </cell>
          <cell r="U990" t="str">
            <v>6109054701830002</v>
          </cell>
          <cell r="V990" t="str">
            <v>LOKAL</v>
          </cell>
        </row>
        <row r="991">
          <cell r="B991" t="str">
            <v>GM-01003</v>
          </cell>
          <cell r="C991" t="str">
            <v>DAWAN</v>
          </cell>
          <cell r="E991">
            <v>44111</v>
          </cell>
          <cell r="F991" t="str">
            <v>L</v>
          </cell>
          <cell r="G991" t="str">
            <v>KEDANG BUNGKANG</v>
          </cell>
          <cell r="H991">
            <v>30484</v>
          </cell>
          <cell r="I991" t="str">
            <v>37 TAHUN</v>
          </cell>
          <cell r="J991" t="str">
            <v>KRISTEN</v>
          </cell>
          <cell r="K991" t="str">
            <v>NON KONTRAKTOR</v>
          </cell>
          <cell r="L991">
            <v>2</v>
          </cell>
          <cell r="M991" t="str">
            <v>DAWAN</v>
          </cell>
          <cell r="N991">
            <v>1133620108</v>
          </cell>
          <cell r="O991" t="str">
            <v>BNI</v>
          </cell>
          <cell r="P991" t="str">
            <v>AKTIF</v>
          </cell>
          <cell r="R991" t="str">
            <v>PANEN</v>
          </cell>
          <cell r="S991" t="str">
            <v>BORONGAN</v>
          </cell>
          <cell r="T991" t="str">
            <v>TRANSFER</v>
          </cell>
          <cell r="U991" t="str">
            <v>6109061706820002</v>
          </cell>
          <cell r="V991" t="str">
            <v>LOKAL</v>
          </cell>
        </row>
        <row r="992">
          <cell r="B992" t="str">
            <v>GM-01004</v>
          </cell>
          <cell r="C992" t="str">
            <v>BOSLY. Y</v>
          </cell>
          <cell r="E992">
            <v>44111</v>
          </cell>
          <cell r="F992" t="str">
            <v>L</v>
          </cell>
          <cell r="G992" t="str">
            <v>RANSA</v>
          </cell>
          <cell r="H992">
            <v>27656</v>
          </cell>
          <cell r="I992" t="str">
            <v>45 TAHUN</v>
          </cell>
          <cell r="J992" t="str">
            <v>KRISTEN</v>
          </cell>
          <cell r="K992" t="str">
            <v>NON KONTRAKTOR</v>
          </cell>
          <cell r="L992">
            <v>2</v>
          </cell>
          <cell r="P992" t="str">
            <v>AKTIF</v>
          </cell>
          <cell r="R992" t="str">
            <v>PANEN</v>
          </cell>
          <cell r="S992" t="str">
            <v>BORONGAN</v>
          </cell>
          <cell r="T992" t="str">
            <v>TUNAI</v>
          </cell>
          <cell r="U992" t="str">
            <v>6109061909750002</v>
          </cell>
          <cell r="V992" t="str">
            <v>LOKAL</v>
          </cell>
        </row>
        <row r="993">
          <cell r="B993" t="str">
            <v>GM-01005</v>
          </cell>
          <cell r="C993" t="str">
            <v>TEGAR</v>
          </cell>
          <cell r="E993">
            <v>44111</v>
          </cell>
          <cell r="F993" t="str">
            <v>L</v>
          </cell>
          <cell r="G993" t="str">
            <v>SEI OMANG</v>
          </cell>
          <cell r="H993">
            <v>35187</v>
          </cell>
          <cell r="I993" t="str">
            <v>24 TAHUN</v>
          </cell>
          <cell r="J993" t="str">
            <v>KATHOLIK</v>
          </cell>
          <cell r="K993" t="str">
            <v>NURSAIL</v>
          </cell>
          <cell r="L993">
            <v>1</v>
          </cell>
          <cell r="P993" t="str">
            <v>AKTIF</v>
          </cell>
          <cell r="R993" t="str">
            <v>PANEN</v>
          </cell>
          <cell r="S993" t="str">
            <v>BORONGAN</v>
          </cell>
          <cell r="T993" t="str">
            <v>TUNAI</v>
          </cell>
          <cell r="U993" t="str">
            <v>6103040205960002</v>
          </cell>
          <cell r="V993" t="str">
            <v>LOKAL</v>
          </cell>
        </row>
        <row r="994">
          <cell r="B994" t="str">
            <v>GM-01006</v>
          </cell>
          <cell r="C994" t="str">
            <v>HERMANSYAH</v>
          </cell>
          <cell r="E994">
            <v>44117</v>
          </cell>
          <cell r="F994" t="str">
            <v>L</v>
          </cell>
          <cell r="G994" t="str">
            <v>BALAI SUBUT</v>
          </cell>
          <cell r="H994">
            <v>31088</v>
          </cell>
          <cell r="I994" t="str">
            <v>35 TAHUN</v>
          </cell>
          <cell r="J994" t="str">
            <v>ISLAM</v>
          </cell>
          <cell r="K994" t="str">
            <v>NURSAIL</v>
          </cell>
          <cell r="L994">
            <v>3</v>
          </cell>
          <cell r="P994" t="str">
            <v>AKTIF</v>
          </cell>
          <cell r="R994" t="str">
            <v>PANEN</v>
          </cell>
          <cell r="S994" t="str">
            <v>BORONGAN</v>
          </cell>
          <cell r="T994" t="str">
            <v>TUNAI</v>
          </cell>
          <cell r="U994" t="str">
            <v>6103041306850002</v>
          </cell>
          <cell r="V994" t="str">
            <v>LOKAL</v>
          </cell>
        </row>
        <row r="995">
          <cell r="B995" t="str">
            <v>GM-01007</v>
          </cell>
          <cell r="C995" t="str">
            <v>SAMSUL BAHRI</v>
          </cell>
          <cell r="E995">
            <v>44118</v>
          </cell>
          <cell r="F995" t="str">
            <v>L</v>
          </cell>
          <cell r="G995" t="str">
            <v>RIAM SEJAWAK</v>
          </cell>
          <cell r="H995">
            <v>29828</v>
          </cell>
          <cell r="I995" t="str">
            <v>39 TAHUN</v>
          </cell>
          <cell r="J995" t="str">
            <v>KRISTEN</v>
          </cell>
          <cell r="K995" t="str">
            <v>NON KONTRAKTOR</v>
          </cell>
          <cell r="L995">
            <v>2</v>
          </cell>
          <cell r="P995" t="str">
            <v>AKTIF</v>
          </cell>
          <cell r="R995" t="str">
            <v>PANEN</v>
          </cell>
          <cell r="S995" t="str">
            <v>BORONGAN</v>
          </cell>
          <cell r="T995" t="str">
            <v>TUNAI</v>
          </cell>
          <cell r="U995" t="str">
            <v>6105063000810001</v>
          </cell>
          <cell r="V995" t="str">
            <v>LOKAL</v>
          </cell>
        </row>
        <row r="996">
          <cell r="B996" t="str">
            <v>GM-01008</v>
          </cell>
          <cell r="C996" t="str">
            <v>ATRIYANI</v>
          </cell>
          <cell r="E996">
            <v>44123</v>
          </cell>
          <cell r="F996" t="str">
            <v>L</v>
          </cell>
          <cell r="G996" t="str">
            <v>BEKASI</v>
          </cell>
          <cell r="H996">
            <v>25830</v>
          </cell>
          <cell r="I996" t="str">
            <v>50 TAHUN</v>
          </cell>
          <cell r="J996" t="str">
            <v>ISLAM</v>
          </cell>
          <cell r="K996" t="str">
            <v>NON KONTRAKTOR</v>
          </cell>
          <cell r="L996">
            <v>3</v>
          </cell>
          <cell r="M996" t="str">
            <v>ATRIYANI</v>
          </cell>
          <cell r="N996">
            <v>1132022574</v>
          </cell>
          <cell r="O996" t="str">
            <v>BNI</v>
          </cell>
          <cell r="P996" t="str">
            <v>AKTIF</v>
          </cell>
          <cell r="R996" t="str">
            <v>PERAWATAN</v>
          </cell>
          <cell r="S996" t="str">
            <v>BORONGAN</v>
          </cell>
          <cell r="T996" t="str">
            <v>TRANSFER</v>
          </cell>
          <cell r="U996" t="str">
            <v>3216195909700003</v>
          </cell>
          <cell r="V996" t="str">
            <v>LOKAL</v>
          </cell>
        </row>
        <row r="997">
          <cell r="B997" t="str">
            <v>GM-01009</v>
          </cell>
          <cell r="C997" t="str">
            <v>ZULKARNAEN</v>
          </cell>
          <cell r="D997" t="str">
            <v>BARAK G10 DIV 3</v>
          </cell>
          <cell r="E997">
            <v>44123</v>
          </cell>
          <cell r="F997" t="str">
            <v>L</v>
          </cell>
          <cell r="G997" t="str">
            <v>PEMANGKAT</v>
          </cell>
          <cell r="H997">
            <v>25914</v>
          </cell>
          <cell r="I997" t="str">
            <v>50 TAHUN</v>
          </cell>
          <cell r="J997" t="str">
            <v>ISLAM</v>
          </cell>
          <cell r="K997" t="str">
            <v>NURSAIL</v>
          </cell>
          <cell r="L997">
            <v>3</v>
          </cell>
          <cell r="P997" t="str">
            <v>AKTIF</v>
          </cell>
          <cell r="R997" t="str">
            <v>PERAWATAN</v>
          </cell>
          <cell r="S997" t="str">
            <v>BORONGAN</v>
          </cell>
          <cell r="T997" t="str">
            <v>TUNAI</v>
          </cell>
          <cell r="U997" t="str">
            <v>6101051212700010</v>
          </cell>
          <cell r="V997" t="str">
            <v>AKAD</v>
          </cell>
        </row>
        <row r="998">
          <cell r="B998" t="str">
            <v>GM-01010</v>
          </cell>
          <cell r="C998" t="str">
            <v>INDRA KELANA</v>
          </cell>
          <cell r="D998" t="str">
            <v>BARAK G10 DIV 3</v>
          </cell>
          <cell r="E998">
            <v>44123</v>
          </cell>
          <cell r="F998" t="str">
            <v>L</v>
          </cell>
          <cell r="G998" t="str">
            <v>SINGKAWANG</v>
          </cell>
          <cell r="H998">
            <v>22085</v>
          </cell>
          <cell r="I998" t="str">
            <v>60 TAHUN</v>
          </cell>
          <cell r="J998" t="str">
            <v>ISLAM</v>
          </cell>
          <cell r="K998" t="str">
            <v>NURSAIL</v>
          </cell>
          <cell r="L998">
            <v>3</v>
          </cell>
          <cell r="P998" t="str">
            <v>AKTIF</v>
          </cell>
          <cell r="R998" t="str">
            <v>PERAWATAN</v>
          </cell>
          <cell r="S998" t="str">
            <v>BORONGAN</v>
          </cell>
          <cell r="T998" t="str">
            <v>TUNAI</v>
          </cell>
          <cell r="U998" t="str">
            <v>6101050506659005</v>
          </cell>
          <cell r="V998" t="str">
            <v>AKAD</v>
          </cell>
        </row>
        <row r="999">
          <cell r="B999" t="str">
            <v>GM-01011</v>
          </cell>
          <cell r="C999" t="str">
            <v>HERWANI</v>
          </cell>
          <cell r="D999" t="str">
            <v>BARAK G10 DIV 3</v>
          </cell>
          <cell r="E999">
            <v>44123</v>
          </cell>
          <cell r="F999" t="str">
            <v>L</v>
          </cell>
          <cell r="G999" t="str">
            <v>PEMANGKAT</v>
          </cell>
          <cell r="H999">
            <v>27807</v>
          </cell>
          <cell r="I999" t="str">
            <v>44 TAHUN</v>
          </cell>
          <cell r="J999" t="str">
            <v>ISLAM</v>
          </cell>
          <cell r="K999" t="str">
            <v>NURSAIL</v>
          </cell>
          <cell r="L999">
            <v>3</v>
          </cell>
          <cell r="P999" t="str">
            <v>AKTIF</v>
          </cell>
          <cell r="R999" t="str">
            <v>PERAWATAN</v>
          </cell>
          <cell r="S999" t="str">
            <v>BORONGAN</v>
          </cell>
          <cell r="T999" t="str">
            <v>TUNAI</v>
          </cell>
          <cell r="U999" t="str">
            <v>6101050105760003</v>
          </cell>
          <cell r="V999" t="str">
            <v>AKAD</v>
          </cell>
        </row>
        <row r="1000">
          <cell r="B1000" t="str">
            <v>GM-01012</v>
          </cell>
          <cell r="C1000" t="str">
            <v>DEDI</v>
          </cell>
          <cell r="D1000" t="str">
            <v>BARAK G10 DIV 3</v>
          </cell>
          <cell r="E1000">
            <v>44123</v>
          </cell>
          <cell r="F1000" t="str">
            <v>L</v>
          </cell>
          <cell r="G1000" t="str">
            <v>PEMANGKAT</v>
          </cell>
          <cell r="H1000">
            <v>28440</v>
          </cell>
          <cell r="I1000" t="str">
            <v>43 TAHUN</v>
          </cell>
          <cell r="J1000" t="str">
            <v>ISLAM</v>
          </cell>
          <cell r="K1000" t="str">
            <v>NURSAIL</v>
          </cell>
          <cell r="L1000">
            <v>4</v>
          </cell>
          <cell r="P1000" t="str">
            <v>AKTIF</v>
          </cell>
          <cell r="R1000" t="str">
            <v>PERAWATAN</v>
          </cell>
          <cell r="S1000" t="str">
            <v>BORONGAN</v>
          </cell>
          <cell r="T1000" t="str">
            <v>TUNAI</v>
          </cell>
          <cell r="U1000" t="str">
            <v>6101171111700002</v>
          </cell>
          <cell r="V1000" t="str">
            <v>AKAD</v>
          </cell>
        </row>
        <row r="1001">
          <cell r="B1001" t="str">
            <v>GM-01013</v>
          </cell>
          <cell r="C1001" t="str">
            <v>SARNAH</v>
          </cell>
          <cell r="D1001" t="str">
            <v>BARAK G10 DIV 1</v>
          </cell>
          <cell r="E1001">
            <v>44123</v>
          </cell>
          <cell r="F1001" t="str">
            <v>P</v>
          </cell>
          <cell r="G1001" t="str">
            <v>BATU NGERENSENG</v>
          </cell>
          <cell r="H1001">
            <v>30921</v>
          </cell>
          <cell r="I1001" t="str">
            <v>36 TAHUN</v>
          </cell>
          <cell r="J1001" t="str">
            <v>ISLAM</v>
          </cell>
          <cell r="K1001" t="str">
            <v>NURSAIL</v>
          </cell>
          <cell r="L1001">
            <v>1</v>
          </cell>
          <cell r="P1001" t="str">
            <v>AKTIF</v>
          </cell>
          <cell r="R1001" t="str">
            <v>PERAWATAN</v>
          </cell>
          <cell r="S1001" t="str">
            <v>BORONGAN</v>
          </cell>
          <cell r="T1001" t="str">
            <v>TUNAI</v>
          </cell>
          <cell r="U1001" t="str">
            <v>5202126708840003</v>
          </cell>
          <cell r="V1001" t="str">
            <v>AKAD</v>
          </cell>
        </row>
        <row r="1002">
          <cell r="B1002" t="str">
            <v>GM-01014</v>
          </cell>
          <cell r="C1002" t="str">
            <v>PESAH</v>
          </cell>
          <cell r="D1002" t="str">
            <v>BARAK G10 DIV 1</v>
          </cell>
          <cell r="E1002">
            <v>44123</v>
          </cell>
          <cell r="F1002" t="str">
            <v>P</v>
          </cell>
          <cell r="G1002" t="str">
            <v>BANTIR</v>
          </cell>
          <cell r="H1002">
            <v>22463</v>
          </cell>
          <cell r="I1002" t="str">
            <v>59 TAHUN</v>
          </cell>
          <cell r="J1002" t="str">
            <v>ISLAM</v>
          </cell>
          <cell r="K1002" t="str">
            <v>NURSAIL</v>
          </cell>
          <cell r="L1002">
            <v>1</v>
          </cell>
          <cell r="P1002" t="str">
            <v>AKTIF</v>
          </cell>
          <cell r="R1002" t="str">
            <v>PERAWATAN</v>
          </cell>
          <cell r="S1002" t="str">
            <v>BORONGAN</v>
          </cell>
          <cell r="T1002" t="str">
            <v>TUNAI</v>
          </cell>
          <cell r="U1002" t="str">
            <v>5201014107810100</v>
          </cell>
          <cell r="V1002" t="str">
            <v>AKAD</v>
          </cell>
        </row>
        <row r="1003">
          <cell r="B1003" t="str">
            <v>GM-01015</v>
          </cell>
          <cell r="C1003" t="str">
            <v>SIBIR GUNAWAN</v>
          </cell>
          <cell r="D1003" t="str">
            <v>Ds. BEMBAN</v>
          </cell>
          <cell r="E1003">
            <v>44127</v>
          </cell>
          <cell r="F1003" t="str">
            <v>L</v>
          </cell>
          <cell r="G1003" t="str">
            <v>BEMBAN</v>
          </cell>
          <cell r="H1003">
            <v>34309</v>
          </cell>
          <cell r="I1003" t="str">
            <v>27 TAHUN</v>
          </cell>
          <cell r="J1003" t="str">
            <v>KRISTEN</v>
          </cell>
          <cell r="K1003" t="str">
            <v>NON KONTRAKTOR</v>
          </cell>
          <cell r="L1003">
            <v>3</v>
          </cell>
          <cell r="P1003" t="str">
            <v>AKTIF</v>
          </cell>
          <cell r="R1003" t="str">
            <v>PERAWATAN</v>
          </cell>
          <cell r="S1003" t="str">
            <v>BORONGAN</v>
          </cell>
          <cell r="T1003" t="str">
            <v>TUNAI</v>
          </cell>
          <cell r="U1003" t="str">
            <v>6109060612930002</v>
          </cell>
          <cell r="V1003" t="str">
            <v>LOKAL</v>
          </cell>
        </row>
        <row r="1004">
          <cell r="B1004" t="str">
            <v>GM-01016</v>
          </cell>
          <cell r="C1004" t="str">
            <v>BAIQ LASNIATI</v>
          </cell>
          <cell r="D1004" t="str">
            <v>BARAK G10 DIV 1</v>
          </cell>
          <cell r="E1004">
            <v>44110</v>
          </cell>
          <cell r="F1004" t="str">
            <v>P</v>
          </cell>
          <cell r="G1004" t="str">
            <v>JELATENG</v>
          </cell>
          <cell r="H1004">
            <v>33969</v>
          </cell>
          <cell r="I1004" t="str">
            <v>28 TAHUN</v>
          </cell>
          <cell r="J1004" t="str">
            <v>ISLAM</v>
          </cell>
          <cell r="K1004" t="str">
            <v>NURSAIL</v>
          </cell>
          <cell r="L1004">
            <v>1</v>
          </cell>
          <cell r="P1004" t="str">
            <v>AKTIF</v>
          </cell>
          <cell r="R1004" t="str">
            <v>PERAWATAN</v>
          </cell>
          <cell r="S1004" t="str">
            <v>BORONGAN</v>
          </cell>
          <cell r="T1004" t="str">
            <v>TUNAI</v>
          </cell>
          <cell r="U1004" t="str">
            <v>5201137112920057</v>
          </cell>
          <cell r="V1004" t="str">
            <v>AKAD</v>
          </cell>
        </row>
        <row r="1005">
          <cell r="B1005" t="str">
            <v>GM-01017</v>
          </cell>
          <cell r="C1005" t="str">
            <v>HABET</v>
          </cell>
          <cell r="F1005" t="str">
            <v>L</v>
          </cell>
          <cell r="G1005" t="str">
            <v>MUNTIK</v>
          </cell>
          <cell r="H1005">
            <v>36845</v>
          </cell>
          <cell r="I1005" t="str">
            <v>20 TAHUN</v>
          </cell>
          <cell r="J1005" t="str">
            <v>KATHOLIK</v>
          </cell>
          <cell r="K1005" t="str">
            <v>NON KONTRAKTOR</v>
          </cell>
          <cell r="L1005">
            <v>2</v>
          </cell>
          <cell r="P1005" t="str">
            <v>AKTIF</v>
          </cell>
          <cell r="R1005" t="str">
            <v>PERAWATAN</v>
          </cell>
          <cell r="S1005" t="str">
            <v>BORONGAN</v>
          </cell>
          <cell r="T1005" t="str">
            <v>TUNAI</v>
          </cell>
          <cell r="U1005" t="str">
            <v>6109071511000002</v>
          </cell>
          <cell r="V1005" t="str">
            <v>LOKAL</v>
          </cell>
        </row>
        <row r="1006">
          <cell r="B1006" t="str">
            <v>GM-01018</v>
          </cell>
          <cell r="C1006" t="str">
            <v>AGEK</v>
          </cell>
          <cell r="E1006">
            <v>44124</v>
          </cell>
          <cell r="F1006" t="str">
            <v>L</v>
          </cell>
          <cell r="G1006" t="str">
            <v>TABUK HILIR</v>
          </cell>
          <cell r="H1006">
            <v>29353</v>
          </cell>
          <cell r="I1006" t="str">
            <v>40 TAHUN</v>
          </cell>
          <cell r="J1006" t="str">
            <v>KRISTEN</v>
          </cell>
          <cell r="K1006" t="str">
            <v>NON KONTRAKTOR</v>
          </cell>
          <cell r="L1006">
            <v>5</v>
          </cell>
          <cell r="P1006" t="str">
            <v>AKTIF</v>
          </cell>
          <cell r="R1006" t="str">
            <v>PERAWATAN</v>
          </cell>
          <cell r="S1006" t="str">
            <v>BORONGAN</v>
          </cell>
          <cell r="T1006" t="str">
            <v>TUNAI</v>
          </cell>
          <cell r="U1006" t="str">
            <v>6109061205800004</v>
          </cell>
          <cell r="V1006" t="str">
            <v>LOKAL</v>
          </cell>
        </row>
        <row r="1007">
          <cell r="B1007" t="str">
            <v>GM-01019</v>
          </cell>
          <cell r="C1007" t="str">
            <v>LUTER</v>
          </cell>
          <cell r="E1007">
            <v>44135</v>
          </cell>
          <cell r="F1007" t="str">
            <v>L</v>
          </cell>
          <cell r="G1007" t="str">
            <v>NANGA SADUS</v>
          </cell>
          <cell r="H1007">
            <v>19525</v>
          </cell>
          <cell r="I1007" t="str">
            <v>67 TAHUN</v>
          </cell>
          <cell r="J1007" t="str">
            <v>KRISTEN</v>
          </cell>
          <cell r="K1007" t="str">
            <v>NON KONTRAKTOR</v>
          </cell>
          <cell r="L1007">
            <v>3</v>
          </cell>
          <cell r="P1007" t="str">
            <v>AKTIF</v>
          </cell>
          <cell r="R1007" t="str">
            <v>PERAWATAN</v>
          </cell>
          <cell r="S1007" t="str">
            <v>BORONGAN</v>
          </cell>
          <cell r="T1007" t="str">
            <v>TUNAI</v>
          </cell>
          <cell r="U1007" t="str">
            <v>6109061506530001</v>
          </cell>
          <cell r="V1007" t="str">
            <v>LOKAL</v>
          </cell>
        </row>
        <row r="1008">
          <cell r="B1008" t="str">
            <v>GM-01020</v>
          </cell>
          <cell r="C1008" t="str">
            <v>ELISER</v>
          </cell>
          <cell r="E1008">
            <v>44138</v>
          </cell>
          <cell r="F1008" t="str">
            <v>L</v>
          </cell>
          <cell r="G1008" t="str">
            <v>DANDI</v>
          </cell>
          <cell r="H1008">
            <v>29560</v>
          </cell>
          <cell r="I1008" t="str">
            <v>40 TAHUN</v>
          </cell>
          <cell r="J1008" t="str">
            <v>KRISTEN</v>
          </cell>
          <cell r="K1008" t="str">
            <v>NON KONTRAKTOR</v>
          </cell>
          <cell r="L1008">
            <v>3</v>
          </cell>
          <cell r="P1008" t="str">
            <v>AKTIF</v>
          </cell>
          <cell r="R1008" t="str">
            <v>PERAWATAN</v>
          </cell>
          <cell r="S1008" t="str">
            <v>BORONGAN</v>
          </cell>
          <cell r="T1008" t="str">
            <v>TUNAI</v>
          </cell>
          <cell r="U1008" t="str">
            <v>6109060512800002</v>
          </cell>
          <cell r="V1008" t="str">
            <v>LOKAL</v>
          </cell>
        </row>
        <row r="1009">
          <cell r="B1009" t="str">
            <v>GM-01021</v>
          </cell>
          <cell r="C1009" t="str">
            <v>PAIMAN</v>
          </cell>
          <cell r="D1009" t="str">
            <v>BARAK G10 DIV 1</v>
          </cell>
          <cell r="E1009">
            <v>44147</v>
          </cell>
          <cell r="F1009" t="str">
            <v>L</v>
          </cell>
          <cell r="G1009" t="str">
            <v>SANGGAU</v>
          </cell>
          <cell r="H1009">
            <v>33861</v>
          </cell>
          <cell r="I1009" t="str">
            <v>28 TAHUN</v>
          </cell>
          <cell r="J1009" t="str">
            <v>ISLAM</v>
          </cell>
          <cell r="K1009" t="str">
            <v>NURSAIL</v>
          </cell>
          <cell r="L1009">
            <v>1</v>
          </cell>
          <cell r="P1009" t="str">
            <v>AKTIF</v>
          </cell>
          <cell r="R1009" t="str">
            <v>PERAWATAN</v>
          </cell>
          <cell r="S1009" t="str">
            <v>BORONGAN</v>
          </cell>
          <cell r="T1009" t="str">
            <v>TUNAI</v>
          </cell>
          <cell r="U1009" t="str">
            <v>6103021409920001</v>
          </cell>
          <cell r="V1009" t="str">
            <v>AKAD</v>
          </cell>
        </row>
        <row r="1010">
          <cell r="B1010" t="str">
            <v>GM-01022</v>
          </cell>
          <cell r="C1010" t="str">
            <v>JHONY SYOLOCALY</v>
          </cell>
          <cell r="E1010">
            <v>44147</v>
          </cell>
          <cell r="F1010" t="str">
            <v>L</v>
          </cell>
          <cell r="G1010" t="str">
            <v>KUPANG</v>
          </cell>
          <cell r="H1010">
            <v>30301</v>
          </cell>
          <cell r="I1010" t="str">
            <v>38 TAHUN</v>
          </cell>
          <cell r="J1010" t="str">
            <v>KRISTEN</v>
          </cell>
          <cell r="K1010" t="str">
            <v>NON KONTRAKTOR</v>
          </cell>
          <cell r="L1010">
            <v>2</v>
          </cell>
          <cell r="M1010" t="str">
            <v>JHONI SYOLOCALY</v>
          </cell>
          <cell r="N1010">
            <v>1134100347</v>
          </cell>
          <cell r="O1010" t="str">
            <v>BNI</v>
          </cell>
          <cell r="P1010" t="str">
            <v>AKTIF</v>
          </cell>
          <cell r="R1010" t="str">
            <v>PERAWATAN</v>
          </cell>
          <cell r="S1010" t="str">
            <v>BORONGAN</v>
          </cell>
          <cell r="T1010" t="str">
            <v>TRANSFER</v>
          </cell>
          <cell r="U1010" t="str">
            <v>6110081612820001</v>
          </cell>
          <cell r="V1010" t="str">
            <v>LOKAL</v>
          </cell>
        </row>
        <row r="1011">
          <cell r="B1011" t="str">
            <v>GM-01023</v>
          </cell>
          <cell r="C1011" t="str">
            <v>NUNUK. S</v>
          </cell>
          <cell r="E1011">
            <v>44163</v>
          </cell>
          <cell r="F1011" t="str">
            <v>P</v>
          </cell>
          <cell r="G1011" t="str">
            <v>KAYU BUNGA</v>
          </cell>
          <cell r="H1011">
            <v>30877</v>
          </cell>
          <cell r="I1011" t="str">
            <v>36 TAHUN</v>
          </cell>
          <cell r="J1011" t="str">
            <v>KRISTEN</v>
          </cell>
          <cell r="K1011" t="str">
            <v>NON KONTRAKTOR</v>
          </cell>
          <cell r="L1011">
            <v>2</v>
          </cell>
          <cell r="P1011" t="str">
            <v>AKTIF</v>
          </cell>
          <cell r="R1011" t="str">
            <v>PERAWATAN</v>
          </cell>
          <cell r="S1011" t="str">
            <v>BORONGAN</v>
          </cell>
          <cell r="T1011" t="str">
            <v>TUNAI</v>
          </cell>
          <cell r="U1011" t="str">
            <v>6110084407840001</v>
          </cell>
          <cell r="V1011" t="str">
            <v>LOKAL</v>
          </cell>
        </row>
        <row r="1012">
          <cell r="B1012" t="str">
            <v>GM-01024</v>
          </cell>
          <cell r="C1012" t="str">
            <v>RIDWAN</v>
          </cell>
          <cell r="E1012">
            <v>44162</v>
          </cell>
          <cell r="F1012" t="str">
            <v>L</v>
          </cell>
          <cell r="G1012" t="str">
            <v>BASONG</v>
          </cell>
          <cell r="H1012">
            <v>30593</v>
          </cell>
          <cell r="I1012" t="str">
            <v>37 TAHUN</v>
          </cell>
          <cell r="J1012" t="str">
            <v>ISLAM</v>
          </cell>
          <cell r="K1012" t="str">
            <v>NON KONTRAKTOR</v>
          </cell>
          <cell r="L1012">
            <v>3</v>
          </cell>
          <cell r="P1012" t="str">
            <v>AKTIF</v>
          </cell>
          <cell r="R1012" t="str">
            <v>PERAWATAN</v>
          </cell>
          <cell r="S1012" t="str">
            <v>BORONGAN</v>
          </cell>
          <cell r="T1012" t="str">
            <v>TUNAI</v>
          </cell>
          <cell r="U1012" t="str">
            <v>6109060410830003</v>
          </cell>
          <cell r="V1012" t="str">
            <v>LOKAL</v>
          </cell>
        </row>
        <row r="1013">
          <cell r="B1013" t="str">
            <v>GM-01025</v>
          </cell>
          <cell r="C1013" t="str">
            <v>ERDI SUSANTO</v>
          </cell>
          <cell r="D1013" t="str">
            <v>Ds. BALAI SEPUAK</v>
          </cell>
          <cell r="E1013">
            <v>44167</v>
          </cell>
          <cell r="F1013" t="str">
            <v>L</v>
          </cell>
          <cell r="G1013" t="str">
            <v>BALAI SEPUAK</v>
          </cell>
          <cell r="H1013">
            <v>30900</v>
          </cell>
          <cell r="I1013" t="str">
            <v>36 TAHUN</v>
          </cell>
          <cell r="J1013" t="str">
            <v>ISLAM</v>
          </cell>
          <cell r="K1013" t="str">
            <v>NON KONTRAKTOR</v>
          </cell>
          <cell r="L1013">
            <v>1</v>
          </cell>
          <cell r="P1013" t="str">
            <v>AKTIF</v>
          </cell>
          <cell r="R1013" t="str">
            <v>PERAWATAN</v>
          </cell>
          <cell r="S1013" t="str">
            <v>BORONGAN</v>
          </cell>
          <cell r="T1013" t="str">
            <v>TUNAI</v>
          </cell>
          <cell r="U1013" t="str">
            <v>6109060608840003</v>
          </cell>
          <cell r="V1013" t="str">
            <v>LOKAL</v>
          </cell>
        </row>
        <row r="1014">
          <cell r="B1014" t="str">
            <v>GM-01026</v>
          </cell>
          <cell r="C1014" t="str">
            <v>SUKIRMAN</v>
          </cell>
          <cell r="D1014" t="str">
            <v>BARAK G10 DIV 1</v>
          </cell>
          <cell r="E1014">
            <v>44167</v>
          </cell>
          <cell r="F1014" t="str">
            <v>L</v>
          </cell>
          <cell r="G1014" t="str">
            <v>MUNANG UTARA</v>
          </cell>
          <cell r="H1014">
            <v>26115</v>
          </cell>
          <cell r="I1014" t="str">
            <v>49 TAHUN</v>
          </cell>
          <cell r="J1014" t="str">
            <v>ISLAM</v>
          </cell>
          <cell r="K1014" t="str">
            <v>NURSAIL</v>
          </cell>
          <cell r="L1014">
            <v>1</v>
          </cell>
          <cell r="P1014" t="str">
            <v>AKTIF</v>
          </cell>
          <cell r="R1014" t="str">
            <v>PERAWATAN</v>
          </cell>
          <cell r="S1014" t="str">
            <v>BORONGAN</v>
          </cell>
          <cell r="T1014" t="str">
            <v>TUNAI</v>
          </cell>
          <cell r="U1014" t="str">
            <v>5202070107710199</v>
          </cell>
          <cell r="V1014" t="str">
            <v>AKAD</v>
          </cell>
        </row>
        <row r="1015">
          <cell r="B1015" t="str">
            <v>GM-01027</v>
          </cell>
          <cell r="C1015" t="str">
            <v>YOSUA ANDREA</v>
          </cell>
          <cell r="D1015" t="str">
            <v>BARAK G10 DIV 1</v>
          </cell>
          <cell r="E1015">
            <v>44167</v>
          </cell>
          <cell r="F1015" t="str">
            <v>L</v>
          </cell>
          <cell r="G1015" t="str">
            <v>SANGGAU</v>
          </cell>
          <cell r="H1015">
            <v>37232</v>
          </cell>
          <cell r="I1015" t="str">
            <v>19 TAHUN</v>
          </cell>
          <cell r="J1015" t="str">
            <v>KRISTEN</v>
          </cell>
          <cell r="K1015" t="str">
            <v>NON KONTRAKTOR</v>
          </cell>
          <cell r="L1015">
            <v>1</v>
          </cell>
          <cell r="P1015" t="str">
            <v>AKTIF</v>
          </cell>
          <cell r="R1015" t="str">
            <v>PERAWATAN</v>
          </cell>
          <cell r="S1015" t="str">
            <v>BORONGAN</v>
          </cell>
          <cell r="T1015" t="str">
            <v>TUNAI</v>
          </cell>
          <cell r="U1015" t="str">
            <v>6109060712010004</v>
          </cell>
          <cell r="V1015" t="str">
            <v>LOKAL</v>
          </cell>
        </row>
        <row r="1016">
          <cell r="B1016" t="str">
            <v>GM-01028</v>
          </cell>
          <cell r="C1016" t="str">
            <v>NATALIA LIA</v>
          </cell>
          <cell r="E1016">
            <v>44168</v>
          </cell>
          <cell r="F1016" t="str">
            <v>P</v>
          </cell>
          <cell r="G1016" t="str">
            <v>KEDANG TEMILAH</v>
          </cell>
          <cell r="H1016">
            <v>30844</v>
          </cell>
          <cell r="I1016" t="str">
            <v>36 TAHUN</v>
          </cell>
          <cell r="J1016" t="str">
            <v>KATHOLIK</v>
          </cell>
          <cell r="K1016" t="str">
            <v>NON KONTRAKTOR</v>
          </cell>
          <cell r="L1016">
            <v>2</v>
          </cell>
          <cell r="P1016" t="str">
            <v>AKTIF</v>
          </cell>
          <cell r="R1016" t="str">
            <v>PERAWATAN</v>
          </cell>
          <cell r="S1016" t="str">
            <v>BORONGAN</v>
          </cell>
          <cell r="T1016" t="str">
            <v>TUNAI</v>
          </cell>
          <cell r="U1016" t="str">
            <v>6105055106840003</v>
          </cell>
          <cell r="V1016" t="str">
            <v>LOKAL</v>
          </cell>
        </row>
        <row r="1017">
          <cell r="B1017" t="str">
            <v>GM-01029</v>
          </cell>
          <cell r="C1017" t="str">
            <v>SISWANTO ARIS</v>
          </cell>
          <cell r="E1017">
            <v>44168</v>
          </cell>
          <cell r="F1017" t="str">
            <v>L</v>
          </cell>
          <cell r="G1017" t="str">
            <v>SEI ANTU PULAU</v>
          </cell>
          <cell r="H1017">
            <v>35335</v>
          </cell>
          <cell r="I1017" t="str">
            <v>24 TAHUN</v>
          </cell>
          <cell r="J1017" t="str">
            <v>KRISTEN</v>
          </cell>
          <cell r="K1017" t="str">
            <v>NON KONTRAKTOR</v>
          </cell>
          <cell r="L1017">
            <v>2</v>
          </cell>
          <cell r="P1017" t="str">
            <v>AKTIF</v>
          </cell>
          <cell r="R1017" t="str">
            <v>PERAWATAN</v>
          </cell>
          <cell r="S1017" t="str">
            <v>BORONGAN</v>
          </cell>
          <cell r="T1017" t="str">
            <v>TUNAI</v>
          </cell>
          <cell r="U1017" t="str">
            <v>6109062709960002</v>
          </cell>
          <cell r="V1017" t="str">
            <v>LOKAL</v>
          </cell>
        </row>
        <row r="1018">
          <cell r="B1018" t="str">
            <v>GM-01030</v>
          </cell>
          <cell r="C1018" t="str">
            <v>ATIT HERIYANTO</v>
          </cell>
          <cell r="E1018">
            <v>44180</v>
          </cell>
          <cell r="F1018" t="str">
            <v>L</v>
          </cell>
          <cell r="G1018" t="str">
            <v>KEDANG BUNGKANG</v>
          </cell>
          <cell r="H1018">
            <v>33055</v>
          </cell>
          <cell r="I1018" t="str">
            <v>30 TAHUN</v>
          </cell>
          <cell r="J1018" t="str">
            <v>KRISTEN</v>
          </cell>
          <cell r="K1018" t="str">
            <v>NON KONTRAKTOR</v>
          </cell>
          <cell r="L1018">
            <v>2</v>
          </cell>
          <cell r="P1018" t="str">
            <v>AKTIF</v>
          </cell>
          <cell r="R1018" t="str">
            <v>PERAWATAN</v>
          </cell>
          <cell r="S1018" t="str">
            <v>BORONGAN</v>
          </cell>
          <cell r="T1018" t="str">
            <v>TUNAI</v>
          </cell>
          <cell r="U1018" t="str">
            <v>6108100107900002</v>
          </cell>
          <cell r="V1018" t="str">
            <v>LOKAL</v>
          </cell>
        </row>
        <row r="1019">
          <cell r="B1019" t="str">
            <v>GM-01031</v>
          </cell>
          <cell r="C1019" t="str">
            <v>FRENGKI GOK SEMILANG</v>
          </cell>
          <cell r="D1019" t="str">
            <v>SEBETUNG</v>
          </cell>
          <cell r="E1019">
            <v>44181</v>
          </cell>
          <cell r="F1019" t="str">
            <v>L</v>
          </cell>
          <cell r="G1019" t="str">
            <v>Ds SEBETUNG</v>
          </cell>
          <cell r="H1019">
            <v>36040</v>
          </cell>
          <cell r="I1019" t="str">
            <v>22 TAHUN</v>
          </cell>
          <cell r="J1019" t="str">
            <v>KRISTEN</v>
          </cell>
          <cell r="K1019" t="str">
            <v>NON KONTRAKTOR</v>
          </cell>
          <cell r="L1019">
            <v>4</v>
          </cell>
          <cell r="M1019" t="str">
            <v>FRENGKI GOK SEMILANG</v>
          </cell>
          <cell r="N1019">
            <v>1156580869</v>
          </cell>
          <cell r="O1019" t="str">
            <v>BNI</v>
          </cell>
          <cell r="P1019" t="str">
            <v>AKTIF</v>
          </cell>
          <cell r="R1019" t="str">
            <v>PERAWATAN</v>
          </cell>
          <cell r="S1019" t="str">
            <v>BORONGAN</v>
          </cell>
          <cell r="T1019" t="str">
            <v>TRANSFER</v>
          </cell>
          <cell r="U1019" t="str">
            <v>610906209980005</v>
          </cell>
          <cell r="V1019" t="str">
            <v>LOKAL</v>
          </cell>
        </row>
        <row r="1020">
          <cell r="B1020" t="str">
            <v>GM-01032</v>
          </cell>
          <cell r="C1020" t="str">
            <v>MURUDIN</v>
          </cell>
          <cell r="D1020" t="str">
            <v>BARAK G10 DIV 1</v>
          </cell>
          <cell r="E1020">
            <v>44180</v>
          </cell>
          <cell r="F1020" t="str">
            <v>L</v>
          </cell>
          <cell r="G1020" t="str">
            <v>MUJUR</v>
          </cell>
          <cell r="H1020">
            <v>25933</v>
          </cell>
          <cell r="I1020" t="str">
            <v>50 TAHUN</v>
          </cell>
          <cell r="J1020" t="str">
            <v>ISLAM</v>
          </cell>
          <cell r="K1020" t="str">
            <v>NURSAIL</v>
          </cell>
          <cell r="L1020">
            <v>1</v>
          </cell>
          <cell r="P1020" t="str">
            <v>AKTIF</v>
          </cell>
          <cell r="R1020" t="str">
            <v>PERAWATAN</v>
          </cell>
          <cell r="S1020" t="str">
            <v>BORONGAN</v>
          </cell>
          <cell r="T1020" t="str">
            <v>TUNAI</v>
          </cell>
          <cell r="U1020" t="str">
            <v>5202070107800718</v>
          </cell>
          <cell r="V1020" t="str">
            <v>AKAD</v>
          </cell>
        </row>
        <row r="1021">
          <cell r="B1021" t="str">
            <v>GM-01033</v>
          </cell>
          <cell r="C1021" t="str">
            <v>SAHABUDIN</v>
          </cell>
          <cell r="D1021" t="str">
            <v>BARAK G10 DIV 1</v>
          </cell>
          <cell r="E1021">
            <v>44180</v>
          </cell>
          <cell r="F1021" t="str">
            <v>L</v>
          </cell>
          <cell r="G1021" t="str">
            <v>JELATENG</v>
          </cell>
          <cell r="H1021">
            <v>26298</v>
          </cell>
          <cell r="I1021" t="str">
            <v>49 TAHUN</v>
          </cell>
          <cell r="J1021" t="str">
            <v>ISLAM</v>
          </cell>
          <cell r="K1021" t="str">
            <v>NURSAIL</v>
          </cell>
          <cell r="L1021">
            <v>1</v>
          </cell>
          <cell r="P1021" t="str">
            <v>AKTIF</v>
          </cell>
          <cell r="R1021" t="str">
            <v>PERAWATAN</v>
          </cell>
          <cell r="S1021" t="str">
            <v>BORONGAN</v>
          </cell>
          <cell r="T1021" t="str">
            <v>TUNAI</v>
          </cell>
          <cell r="U1021" t="str">
            <v>5171043112710185</v>
          </cell>
          <cell r="V1021" t="str">
            <v>AKAD</v>
          </cell>
        </row>
        <row r="1022">
          <cell r="B1022" t="str">
            <v>GM-01034</v>
          </cell>
          <cell r="C1022" t="str">
            <v>MAHNEP</v>
          </cell>
          <cell r="D1022" t="str">
            <v>BARAK G10 DIV 1</v>
          </cell>
          <cell r="E1022">
            <v>44180</v>
          </cell>
          <cell r="F1022" t="str">
            <v>P</v>
          </cell>
          <cell r="G1022" t="str">
            <v>JELATENG</v>
          </cell>
          <cell r="H1022">
            <v>32142</v>
          </cell>
          <cell r="I1022" t="str">
            <v>33 TAHUN</v>
          </cell>
          <cell r="J1022" t="str">
            <v>ISLAM</v>
          </cell>
          <cell r="K1022" t="str">
            <v>NURSAIL</v>
          </cell>
          <cell r="L1022">
            <v>1</v>
          </cell>
          <cell r="P1022" t="str">
            <v>AKTIF</v>
          </cell>
          <cell r="R1022" t="str">
            <v>PERAWATAN</v>
          </cell>
          <cell r="S1022" t="str">
            <v>BORONGAN</v>
          </cell>
          <cell r="T1022" t="str">
            <v>TUNAI</v>
          </cell>
          <cell r="U1022" t="str">
            <v>5201137112870191</v>
          </cell>
          <cell r="V1022" t="str">
            <v>AKAD</v>
          </cell>
        </row>
        <row r="1023">
          <cell r="B1023" t="str">
            <v>GM-01035</v>
          </cell>
          <cell r="C1023" t="str">
            <v>WENNY</v>
          </cell>
          <cell r="D1023" t="str">
            <v>Ds. BEMBAN</v>
          </cell>
          <cell r="E1023">
            <v>44197</v>
          </cell>
          <cell r="F1023" t="str">
            <v>P</v>
          </cell>
          <cell r="G1023" t="str">
            <v>SEBELANTAU</v>
          </cell>
          <cell r="H1023">
            <v>31860</v>
          </cell>
          <cell r="I1023" t="str">
            <v>33 TAHUN</v>
          </cell>
          <cell r="J1023" t="str">
            <v>KRISTEN</v>
          </cell>
          <cell r="K1023" t="str">
            <v>NON KONTRAKTOR</v>
          </cell>
          <cell r="L1023">
            <v>3</v>
          </cell>
          <cell r="P1023" t="str">
            <v>AKTIF</v>
          </cell>
          <cell r="R1023" t="str">
            <v>PERAWATAN</v>
          </cell>
          <cell r="S1023" t="str">
            <v>BORONGAN</v>
          </cell>
          <cell r="T1023" t="str">
            <v>TUNAI</v>
          </cell>
          <cell r="U1023" t="str">
            <v>6109066403870003</v>
          </cell>
          <cell r="V1023" t="str">
            <v>LOKAL</v>
          </cell>
        </row>
        <row r="1024">
          <cell r="B1024" t="str">
            <v>GM-01036</v>
          </cell>
          <cell r="C1024" t="str">
            <v>YUANA</v>
          </cell>
          <cell r="D1024" t="str">
            <v>Ds. BEMBAN</v>
          </cell>
          <cell r="E1024">
            <v>44197</v>
          </cell>
          <cell r="F1024" t="str">
            <v>P</v>
          </cell>
          <cell r="G1024" t="str">
            <v>BALAU NYAWANG</v>
          </cell>
          <cell r="H1024">
            <v>27730</v>
          </cell>
          <cell r="I1024" t="str">
            <v>45 TAHUN</v>
          </cell>
          <cell r="J1024" t="str">
            <v>KRISTEN</v>
          </cell>
          <cell r="K1024" t="str">
            <v>NON KONTRAKTOR</v>
          </cell>
          <cell r="L1024">
            <v>3</v>
          </cell>
          <cell r="P1024" t="str">
            <v>AKTIF</v>
          </cell>
          <cell r="R1024" t="str">
            <v>PERAWATAN</v>
          </cell>
          <cell r="S1024" t="str">
            <v>BORONGAN</v>
          </cell>
          <cell r="T1024" t="str">
            <v>TUNAI</v>
          </cell>
          <cell r="U1024" t="str">
            <v>6109065202750003</v>
          </cell>
          <cell r="V1024" t="str">
            <v>LOKAL</v>
          </cell>
        </row>
        <row r="1025">
          <cell r="B1025" t="str">
            <v>GM-01037</v>
          </cell>
          <cell r="C1025" t="str">
            <v>YURINA DORES</v>
          </cell>
          <cell r="D1025" t="str">
            <v>Ds. BEMBAN</v>
          </cell>
          <cell r="E1025">
            <v>44197</v>
          </cell>
          <cell r="F1025" t="str">
            <v>P</v>
          </cell>
          <cell r="G1025" t="str">
            <v>SEDIOK</v>
          </cell>
          <cell r="H1025">
            <v>32638</v>
          </cell>
          <cell r="I1025" t="str">
            <v>31 TAHUN</v>
          </cell>
          <cell r="J1025" t="str">
            <v>KRISTEN</v>
          </cell>
          <cell r="K1025" t="str">
            <v>NON KONTRAKTOR</v>
          </cell>
          <cell r="L1025">
            <v>3</v>
          </cell>
          <cell r="P1025" t="str">
            <v>AKTIF</v>
          </cell>
          <cell r="R1025" t="str">
            <v>PERAWATAN</v>
          </cell>
          <cell r="S1025" t="str">
            <v>BORONGAN</v>
          </cell>
          <cell r="T1025" t="str">
            <v>TUNAI</v>
          </cell>
          <cell r="U1025" t="str">
            <v>6109064510890001</v>
          </cell>
          <cell r="V1025" t="str">
            <v>LOKAL</v>
          </cell>
        </row>
        <row r="1026">
          <cell r="B1026" t="str">
            <v>GM-01038</v>
          </cell>
          <cell r="C1026" t="str">
            <v>MAHMUD</v>
          </cell>
          <cell r="D1026" t="str">
            <v>Ds. BASONG</v>
          </cell>
          <cell r="E1026">
            <v>44197</v>
          </cell>
          <cell r="F1026" t="str">
            <v>L</v>
          </cell>
          <cell r="G1026" t="str">
            <v>BASONG</v>
          </cell>
          <cell r="H1026">
            <v>34143</v>
          </cell>
          <cell r="I1026" t="str">
            <v>27 TAHUN</v>
          </cell>
          <cell r="J1026" t="str">
            <v>ISLAM</v>
          </cell>
          <cell r="K1026" t="str">
            <v>NON KONTRAKTOR</v>
          </cell>
          <cell r="L1026">
            <v>3</v>
          </cell>
          <cell r="M1026" t="str">
            <v>MAHMUD</v>
          </cell>
          <cell r="N1026">
            <v>854815570</v>
          </cell>
          <cell r="O1026" t="str">
            <v>BNI</v>
          </cell>
          <cell r="P1026" t="str">
            <v>AKTIF</v>
          </cell>
          <cell r="R1026" t="str">
            <v>PERAWATAN</v>
          </cell>
          <cell r="S1026" t="str">
            <v>BORONGAN</v>
          </cell>
          <cell r="T1026" t="str">
            <v>TRANSFER</v>
          </cell>
          <cell r="U1026" t="str">
            <v>6105082306930003</v>
          </cell>
          <cell r="V1026" t="str">
            <v>LOKAL</v>
          </cell>
        </row>
        <row r="1027">
          <cell r="B1027" t="str">
            <v>GM-01039</v>
          </cell>
          <cell r="C1027" t="str">
            <v>KRISTIADI</v>
          </cell>
          <cell r="D1027" t="str">
            <v>BARAK G10 DIV 1</v>
          </cell>
          <cell r="E1027">
            <v>44217</v>
          </cell>
          <cell r="F1027" t="str">
            <v>L</v>
          </cell>
          <cell r="G1027" t="str">
            <v>MERTAWAI</v>
          </cell>
          <cell r="H1027" t="str">
            <v>06-11-1993</v>
          </cell>
          <cell r="I1027" t="str">
            <v>27 TAHUN</v>
          </cell>
          <cell r="J1027" t="str">
            <v>KRISTEN</v>
          </cell>
          <cell r="K1027" t="str">
            <v>NON KONTRAKTOR</v>
          </cell>
          <cell r="L1027">
            <v>4</v>
          </cell>
          <cell r="P1027" t="str">
            <v>AKTIF</v>
          </cell>
          <cell r="R1027" t="str">
            <v>PERAWATAN</v>
          </cell>
          <cell r="S1027" t="str">
            <v>BORONGAN</v>
          </cell>
          <cell r="T1027" t="str">
            <v>TUNAI</v>
          </cell>
          <cell r="U1027" t="str">
            <v>6105082306930003</v>
          </cell>
          <cell r="V1027" t="str">
            <v>LOKAL</v>
          </cell>
        </row>
        <row r="1028">
          <cell r="B1028" t="str">
            <v>GM-01040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i"/>
      <sheetName val="Februari"/>
      <sheetName val="Maret"/>
      <sheetName val="April"/>
      <sheetName val="Mei"/>
      <sheetName val="Juni"/>
      <sheetName val="Juli"/>
      <sheetName val="Agustus"/>
      <sheetName val="September"/>
      <sheetName val="Oktober"/>
      <sheetName val="November"/>
      <sheetName val="Desember"/>
      <sheetName val="absen"/>
    </sheetNames>
    <sheetDataSet>
      <sheetData sheetId="0">
        <row r="1">
          <cell r="B1" t="str">
            <v>Jadwal Absen Karyawan</v>
          </cell>
        </row>
        <row r="2">
          <cell r="D2" t="str">
            <v>L</v>
          </cell>
          <cell r="H2" t="str">
            <v>P</v>
          </cell>
          <cell r="L2" t="str">
            <v>S</v>
          </cell>
        </row>
        <row r="4">
          <cell r="AI4">
            <v>2019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87"/>
  <sheetViews>
    <sheetView tabSelected="1" zoomScale="70" zoomScaleNormal="70" zoomScaleSheetLayoutView="87" workbookViewId="0">
      <selection activeCell="E16" sqref="E16"/>
    </sheetView>
  </sheetViews>
  <sheetFormatPr defaultColWidth="8.85546875" defaultRowHeight="15.75" x14ac:dyDescent="0.25"/>
  <cols>
    <col min="1" max="1" width="1.7109375" style="1" bestFit="1" customWidth="1"/>
    <col min="2" max="2" width="4.42578125" style="1" bestFit="1" customWidth="1"/>
    <col min="3" max="3" width="39.5703125" style="1" bestFit="1" customWidth="1"/>
    <col min="4" max="4" width="9.7109375" style="1" bestFit="1" customWidth="1"/>
    <col min="5" max="5" width="11.5703125" style="157" bestFit="1" customWidth="1"/>
    <col min="6" max="6" width="20.28515625" style="158" bestFit="1" customWidth="1"/>
    <col min="7" max="7" width="19.140625" style="159" bestFit="1" customWidth="1"/>
    <col min="8" max="8" width="15.7109375" style="1" customWidth="1"/>
    <col min="9" max="9" width="19.140625" style="160" bestFit="1" customWidth="1"/>
    <col min="10" max="10" width="21.5703125" style="161" bestFit="1" customWidth="1"/>
    <col min="11" max="11" width="13.42578125" style="162" bestFit="1" customWidth="1"/>
    <col min="12" max="13" width="8.85546875" style="1"/>
    <col min="14" max="14" width="34.5703125" style="1" customWidth="1"/>
    <col min="15" max="16384" width="8.85546875" style="1"/>
  </cols>
  <sheetData>
    <row r="1" spans="1:13" x14ac:dyDescent="0.25">
      <c r="B1" s="2" t="s">
        <v>0</v>
      </c>
      <c r="C1" s="3"/>
      <c r="D1" s="4" t="s">
        <v>166</v>
      </c>
      <c r="E1" s="5"/>
      <c r="F1" s="5"/>
      <c r="G1" s="5"/>
      <c r="H1" s="2" t="s">
        <v>2</v>
      </c>
      <c r="I1" s="6"/>
      <c r="J1" s="7">
        <v>50</v>
      </c>
      <c r="K1" s="8"/>
    </row>
    <row r="2" spans="1:13" ht="16.5" thickBot="1" x14ac:dyDescent="0.3">
      <c r="B2" s="9"/>
      <c r="C2" s="10"/>
      <c r="D2" s="11"/>
      <c r="E2" s="12"/>
      <c r="F2" s="12"/>
      <c r="G2" s="12"/>
      <c r="H2" s="9"/>
      <c r="I2" s="13"/>
      <c r="J2" s="14"/>
      <c r="K2" s="15"/>
    </row>
    <row r="3" spans="1:13" s="20" customFormat="1" ht="8.25" customHeight="1" x14ac:dyDescent="0.25">
      <c r="A3" s="1"/>
      <c r="B3" s="16"/>
      <c r="C3" s="17"/>
      <c r="D3" s="17"/>
      <c r="E3" s="17"/>
      <c r="F3" s="17"/>
      <c r="G3" s="17"/>
      <c r="H3" s="17"/>
      <c r="I3" s="17"/>
      <c r="J3" s="18"/>
      <c r="K3" s="19"/>
    </row>
    <row r="4" spans="1:13" s="20" customFormat="1" x14ac:dyDescent="0.25">
      <c r="A4" s="1"/>
      <c r="B4" s="21" t="s">
        <v>3</v>
      </c>
      <c r="C4" s="22" t="s">
        <v>4</v>
      </c>
      <c r="D4" s="23" t="s">
        <v>5</v>
      </c>
      <c r="E4" s="23"/>
      <c r="F4" s="24" t="s">
        <v>6</v>
      </c>
      <c r="G4" s="25" t="s">
        <v>7</v>
      </c>
      <c r="H4" s="22" t="s">
        <v>8</v>
      </c>
      <c r="I4" s="23" t="s">
        <v>9</v>
      </c>
      <c r="J4" s="23" t="s">
        <v>10</v>
      </c>
      <c r="K4" s="26" t="s">
        <v>11</v>
      </c>
    </row>
    <row r="5" spans="1:13" s="20" customFormat="1" x14ac:dyDescent="0.25">
      <c r="A5" s="1"/>
      <c r="B5" s="21"/>
      <c r="C5" s="27"/>
      <c r="D5" s="24" t="s">
        <v>12</v>
      </c>
      <c r="E5" s="24" t="s">
        <v>13</v>
      </c>
      <c r="F5" s="24" t="s">
        <v>14</v>
      </c>
      <c r="G5" s="25" t="s">
        <v>14</v>
      </c>
      <c r="H5" s="22"/>
      <c r="I5" s="23"/>
      <c r="J5" s="28"/>
      <c r="K5" s="26"/>
    </row>
    <row r="6" spans="1:13" s="20" customFormat="1" ht="18" customHeight="1" x14ac:dyDescent="0.25">
      <c r="A6" s="1"/>
      <c r="B6" s="29" t="s">
        <v>15</v>
      </c>
      <c r="C6" s="30" t="s">
        <v>16</v>
      </c>
      <c r="D6" s="31"/>
      <c r="E6" s="31"/>
      <c r="F6" s="31"/>
      <c r="G6" s="31"/>
      <c r="H6" s="31"/>
      <c r="I6" s="32"/>
      <c r="J6" s="31"/>
      <c r="K6" s="33"/>
    </row>
    <row r="7" spans="1:13" s="20" customFormat="1" ht="18" customHeight="1" x14ac:dyDescent="0.25">
      <c r="A7" s="1"/>
      <c r="B7" s="34">
        <v>1</v>
      </c>
      <c r="C7" s="35" t="s">
        <v>17</v>
      </c>
      <c r="D7" s="36">
        <f>IFERROR(HLOOKUP($J$1,[1]DB!$C$1:$K$172,7,FALSE),"")</f>
        <v>12</v>
      </c>
      <c r="E7" s="36">
        <f>SUMIFS('[1]Rincian Keluar'!$G:$G,'[1]Rincian Keluar'!$E:$E,'PELANGI 02'!C7,'[1]Rincian Keluar'!$D:$D,'PELANGI 02'!$D$1,'[1]Rincian Keluar'!$H:$H,'PELANGI 02'!$J$1,'[1]Rincian Keluar'!$F:$F,'PELANGI 02'!M7)</f>
        <v>12</v>
      </c>
      <c r="F7" s="37">
        <v>21500</v>
      </c>
      <c r="G7" s="38">
        <f>E7*F7</f>
        <v>258000</v>
      </c>
      <c r="H7" s="39">
        <v>2000000</v>
      </c>
      <c r="I7" s="39">
        <f>IFERROR(VLOOKUP($C6,[1]HK!$B$5:$C$14,2,FALSE),"")*$J1</f>
        <v>2085000</v>
      </c>
      <c r="J7" s="40">
        <f>I7-H7</f>
        <v>85000</v>
      </c>
      <c r="K7" s="41">
        <v>1</v>
      </c>
      <c r="M7" s="20" t="str">
        <f>$C$6</f>
        <v>PONDASI</v>
      </c>
    </row>
    <row r="8" spans="1:13" s="20" customFormat="1" ht="18" customHeight="1" x14ac:dyDescent="0.25">
      <c r="A8" s="1"/>
      <c r="B8" s="34">
        <v>2</v>
      </c>
      <c r="C8" s="35" t="s">
        <v>18</v>
      </c>
      <c r="D8" s="36">
        <f>IFERROR(HLOOKUP($J$1,[1]DB!$C$1:$K$172,8,FALSE),"")</f>
        <v>41</v>
      </c>
      <c r="E8" s="36">
        <f>SUMIFS('[1]Rincian Keluar'!$G:$G,'[1]Rincian Keluar'!$E:$E,'PELANGI 02'!C8,'[1]Rincian Keluar'!$D:$D,'PELANGI 02'!$D$1,'[1]Rincian Keluar'!$H:$H,'PELANGI 02'!$J$1,'[1]Rincian Keluar'!$F:$F,'PELANGI 02'!M8)</f>
        <v>41</v>
      </c>
      <c r="F8" s="37">
        <v>49000</v>
      </c>
      <c r="G8" s="38">
        <f t="shared" ref="G8:G14" si="0">E8*F8</f>
        <v>2009000</v>
      </c>
      <c r="H8" s="42"/>
      <c r="I8" s="42"/>
      <c r="J8" s="43"/>
      <c r="K8" s="44"/>
      <c r="M8" s="20" t="str">
        <f t="shared" ref="M8:M14" si="1">$C$6</f>
        <v>PONDASI</v>
      </c>
    </row>
    <row r="9" spans="1:13" s="20" customFormat="1" ht="18" customHeight="1" x14ac:dyDescent="0.25">
      <c r="A9" s="1"/>
      <c r="B9" s="34">
        <v>3</v>
      </c>
      <c r="C9" s="45" t="s">
        <v>19</v>
      </c>
      <c r="D9" s="36">
        <f>IFERROR(HLOOKUP($J$1,[1]DB!$C$1:$K$172,9,FALSE),"")</f>
        <v>35</v>
      </c>
      <c r="E9" s="36">
        <f>SUMIFS('[1]Rincian Keluar'!$G:$G,'[1]Rincian Keluar'!$E:$E,'PELANGI 02'!C9,'[1]Rincian Keluar'!$D:$D,'PELANGI 02'!$D$1,'[1]Rincian Keluar'!$H:$H,'PELANGI 02'!$J$1,'[1]Rincian Keluar'!$F:$F,'PELANGI 02'!M9)</f>
        <v>35</v>
      </c>
      <c r="F9" s="46">
        <v>11000</v>
      </c>
      <c r="G9" s="38">
        <f t="shared" si="0"/>
        <v>385000</v>
      </c>
      <c r="H9" s="42"/>
      <c r="I9" s="42"/>
      <c r="J9" s="43"/>
      <c r="K9" s="44"/>
      <c r="M9" s="20" t="str">
        <f t="shared" si="1"/>
        <v>PONDASI</v>
      </c>
    </row>
    <row r="10" spans="1:13" s="20" customFormat="1" ht="18" customHeight="1" x14ac:dyDescent="0.25">
      <c r="A10" s="1"/>
      <c r="B10" s="34">
        <v>4</v>
      </c>
      <c r="C10" s="45" t="s">
        <v>20</v>
      </c>
      <c r="D10" s="36">
        <f>IFERROR(HLOOKUP($J$1,[1]DB!$C$1:$K$172,10,FALSE),"")</f>
        <v>74</v>
      </c>
      <c r="E10" s="36">
        <f>SUMIFS('[1]Rincian Keluar'!$G:$G,'[1]Rincian Keluar'!$E:$E,'PELANGI 02'!C10,'[1]Rincian Keluar'!$D:$D,'PELANGI 02'!$D$1,'[1]Rincian Keluar'!$H:$H,'PELANGI 02'!$J$1,'[1]Rincian Keluar'!$F:$F,'PELANGI 02'!M10)</f>
        <v>75</v>
      </c>
      <c r="F10" s="37">
        <v>8000</v>
      </c>
      <c r="G10" s="38">
        <f t="shared" si="0"/>
        <v>600000</v>
      </c>
      <c r="H10" s="42"/>
      <c r="I10" s="42"/>
      <c r="J10" s="43"/>
      <c r="K10" s="44"/>
      <c r="M10" s="20" t="str">
        <f t="shared" si="1"/>
        <v>PONDASI</v>
      </c>
    </row>
    <row r="11" spans="1:13" s="20" customFormat="1" ht="18" customHeight="1" x14ac:dyDescent="0.25">
      <c r="A11" s="1"/>
      <c r="B11" s="34">
        <v>5</v>
      </c>
      <c r="C11" s="45" t="s">
        <v>21</v>
      </c>
      <c r="D11" s="36">
        <f>IFERROR(HLOOKUP($J$1,[1]DB!$C$1:$K$172,11,FALSE),"")</f>
        <v>164</v>
      </c>
      <c r="E11" s="36">
        <f>SUMIFS('[1]Rincian Keluar'!$G:$G,'[1]Rincian Keluar'!$E:$E,'PELANGI 02'!C11,'[1]Rincian Keluar'!$D:$D,'PELANGI 02'!$D$1,'[1]Rincian Keluar'!$H:$H,'PELANGI 02'!$J$1,'[1]Rincian Keluar'!$F:$F,'PELANGI 02'!M11)</f>
        <v>23</v>
      </c>
      <c r="F11" s="37">
        <v>11000</v>
      </c>
      <c r="G11" s="38">
        <f t="shared" si="0"/>
        <v>253000</v>
      </c>
      <c r="H11" s="42"/>
      <c r="I11" s="42"/>
      <c r="J11" s="43"/>
      <c r="K11" s="44"/>
      <c r="M11" s="20" t="str">
        <f t="shared" si="1"/>
        <v>PONDASI</v>
      </c>
    </row>
    <row r="12" spans="1:13" s="20" customFormat="1" ht="18" customHeight="1" x14ac:dyDescent="0.25">
      <c r="A12" s="1"/>
      <c r="B12" s="34">
        <v>6</v>
      </c>
      <c r="C12" s="45" t="s">
        <v>22</v>
      </c>
      <c r="D12" s="36">
        <f>IFERROR(HLOOKUP($J$1,[1]DB!$C$1:$K$172,12,FALSE),"")</f>
        <v>13</v>
      </c>
      <c r="E12" s="36">
        <f>SUMIFS('[1]Rincian Keluar'!$G:$G,'[1]Rincian Keluar'!$E:$E,'PELANGI 02'!C12,'[1]Rincian Keluar'!$D:$D,'PELANGI 02'!$D$1,'[1]Rincian Keluar'!$H:$H,'PELANGI 02'!$J$1,'[1]Rincian Keluar'!$F:$F,'PELANGI 02'!M12)</f>
        <v>0</v>
      </c>
      <c r="F12" s="37">
        <v>150000</v>
      </c>
      <c r="G12" s="38">
        <f t="shared" si="0"/>
        <v>0</v>
      </c>
      <c r="H12" s="42"/>
      <c r="I12" s="42"/>
      <c r="J12" s="43"/>
      <c r="K12" s="44"/>
      <c r="M12" s="20" t="str">
        <f t="shared" si="1"/>
        <v>PONDASI</v>
      </c>
    </row>
    <row r="13" spans="1:13" s="20" customFormat="1" ht="18" customHeight="1" x14ac:dyDescent="0.25">
      <c r="A13" s="1"/>
      <c r="B13" s="34">
        <v>7</v>
      </c>
      <c r="C13" s="45" t="s">
        <v>23</v>
      </c>
      <c r="D13" s="36">
        <f>IFERROR(HLOOKUP($J$1,[1]DB!$C$1:$K$172,13,FALSE),"")</f>
        <v>2</v>
      </c>
      <c r="E13" s="36">
        <f>SUMIFS('[1]Rincian Keluar'!$G:$G,'[1]Rincian Keluar'!$E:$E,'PELANGI 02'!C13,'[1]Rincian Keluar'!$D:$D,'PELANGI 02'!$D$1,'[1]Rincian Keluar'!$H:$H,'PELANGI 02'!$J$1,'[1]Rincian Keluar'!$F:$F,'PELANGI 02'!M13)</f>
        <v>2</v>
      </c>
      <c r="F13" s="37">
        <v>500000</v>
      </c>
      <c r="G13" s="38">
        <f t="shared" si="0"/>
        <v>1000000</v>
      </c>
      <c r="H13" s="42"/>
      <c r="I13" s="42"/>
      <c r="J13" s="43"/>
      <c r="K13" s="44"/>
      <c r="M13" s="20" t="str">
        <f t="shared" si="1"/>
        <v>PONDASI</v>
      </c>
    </row>
    <row r="14" spans="1:13" s="20" customFormat="1" ht="18" customHeight="1" x14ac:dyDescent="0.25">
      <c r="A14" s="1"/>
      <c r="B14" s="34">
        <v>8</v>
      </c>
      <c r="C14" s="45" t="s">
        <v>24</v>
      </c>
      <c r="D14" s="36">
        <f>IFERROR(HLOOKUP($J$1,[1]DB!$C$1:$K$172,14,FALSE),"")</f>
        <v>38</v>
      </c>
      <c r="E14" s="36">
        <f>SUMIFS('[1]Rincian Keluar'!$G:$G,'[1]Rincian Keluar'!$E:$E,'PELANGI 02'!C14,'[1]Rincian Keluar'!$D:$D,'PELANGI 02'!$D$1,'[1]Rincian Keluar'!$H:$H,'PELANGI 02'!$J$1,'[1]Rincian Keluar'!$F:$F,'PELANGI 02'!M14)</f>
        <v>42</v>
      </c>
      <c r="F14" s="37">
        <v>60700</v>
      </c>
      <c r="G14" s="38">
        <f t="shared" si="0"/>
        <v>2549400</v>
      </c>
      <c r="H14" s="47"/>
      <c r="I14" s="47"/>
      <c r="J14" s="48"/>
      <c r="K14" s="49"/>
      <c r="M14" s="20" t="str">
        <f t="shared" si="1"/>
        <v>PONDASI</v>
      </c>
    </row>
    <row r="15" spans="1:13" ht="18" customHeight="1" x14ac:dyDescent="0.25">
      <c r="B15" s="91" t="s">
        <v>25</v>
      </c>
      <c r="C15" s="92" t="s">
        <v>26</v>
      </c>
      <c r="D15" s="93"/>
      <c r="E15" s="93"/>
      <c r="F15" s="93"/>
      <c r="G15" s="93"/>
      <c r="H15" s="93"/>
      <c r="I15" s="94"/>
      <c r="J15" s="93"/>
      <c r="K15" s="95"/>
    </row>
    <row r="16" spans="1:13" ht="18" customHeight="1" x14ac:dyDescent="0.25">
      <c r="B16" s="34">
        <v>1</v>
      </c>
      <c r="C16" s="35" t="s">
        <v>22</v>
      </c>
      <c r="D16" s="36">
        <f>IFERROR(HLOOKUP($J$1,[1]DB!$C$1:$K$172,16,FALSE),"")</f>
        <v>32</v>
      </c>
      <c r="E16" s="36">
        <f>SUMIFS('[1]Rincian Keluar'!$G:$G,'[1]Rincian Keluar'!$E:$E,'PELANGI 02'!C16,'[1]Rincian Keluar'!$D:$D,'PELANGI 02'!$D$1,'[1]Rincian Keluar'!$H:$H,'PELANGI 02'!$J$1,'[1]Rincian Keluar'!$F:$F,'PELANGI 02'!M16)</f>
        <v>14</v>
      </c>
      <c r="F16" s="37">
        <v>150000</v>
      </c>
      <c r="G16" s="38">
        <f>E16*F16</f>
        <v>2100000</v>
      </c>
      <c r="H16" s="51">
        <v>819000</v>
      </c>
      <c r="I16" s="39">
        <f>IFERROR(VLOOKUP($C15,[1]HK!$B$5:$C$14,2,FALSE),"")*$J1</f>
        <v>835000</v>
      </c>
      <c r="J16" s="52">
        <f>I16-H16</f>
        <v>16000</v>
      </c>
      <c r="K16" s="41">
        <v>1</v>
      </c>
      <c r="M16" s="20" t="str">
        <f>$C$15</f>
        <v>URUG</v>
      </c>
    </row>
    <row r="17" spans="2:13" ht="18" customHeight="1" x14ac:dyDescent="0.25">
      <c r="B17" s="34">
        <v>2</v>
      </c>
      <c r="C17" s="35" t="s">
        <v>27</v>
      </c>
      <c r="D17" s="36">
        <f>IFERROR(HLOOKUP($J$1,[1]DB!$C$1:$K$172,17,FALSE),"")</f>
        <v>2</v>
      </c>
      <c r="E17" s="36">
        <f>SUMIFS('[1]Rincian Keluar'!$G:$G,'[1]Rincian Keluar'!$E:$E,'PELANGI 02'!C17,'[1]Rincian Keluar'!$D:$D,'PELANGI 02'!$D$1,'[1]Rincian Keluar'!$H:$H,'PELANGI 02'!$J$1,'[1]Rincian Keluar'!$F:$F,'PELANGI 02'!M17)</f>
        <v>2</v>
      </c>
      <c r="F17" s="37">
        <v>133500</v>
      </c>
      <c r="G17" s="38">
        <f t="shared" ref="G17:G18" si="2">E17*F17</f>
        <v>267000</v>
      </c>
      <c r="H17" s="53"/>
      <c r="I17" s="42"/>
      <c r="J17" s="54"/>
      <c r="K17" s="44"/>
      <c r="M17" s="20" t="str">
        <f t="shared" ref="M17:M18" si="3">$C$15</f>
        <v>URUG</v>
      </c>
    </row>
    <row r="18" spans="2:13" ht="18" customHeight="1" x14ac:dyDescent="0.25">
      <c r="B18" s="34">
        <v>3</v>
      </c>
      <c r="C18" s="35" t="s">
        <v>28</v>
      </c>
      <c r="D18" s="36">
        <f>IFERROR(HLOOKUP($J$1,[1]DB!$C$1:$K$172,18,FALSE),"")</f>
        <v>2</v>
      </c>
      <c r="E18" s="36">
        <f>SUMIFS('[1]Rincian Keluar'!$G:$G,'[1]Rincian Keluar'!$E:$E,'PELANGI 02'!C18,'[1]Rincian Keluar'!$D:$D,'PELANGI 02'!$D$1,'[1]Rincian Keluar'!$H:$H,'PELANGI 02'!$J$1,'[1]Rincian Keluar'!$F:$F,'PELANGI 02'!M18)</f>
        <v>2</v>
      </c>
      <c r="F18" s="37">
        <v>48000</v>
      </c>
      <c r="G18" s="38">
        <f t="shared" si="2"/>
        <v>96000</v>
      </c>
      <c r="H18" s="55"/>
      <c r="I18" s="47"/>
      <c r="J18" s="56"/>
      <c r="K18" s="49"/>
      <c r="M18" s="20" t="str">
        <f t="shared" si="3"/>
        <v>URUG</v>
      </c>
    </row>
    <row r="19" spans="2:13" ht="18" customHeight="1" x14ac:dyDescent="0.25">
      <c r="B19" s="91" t="s">
        <v>29</v>
      </c>
      <c r="C19" s="92" t="s">
        <v>30</v>
      </c>
      <c r="D19" s="93"/>
      <c r="E19" s="93"/>
      <c r="F19" s="93"/>
      <c r="G19" s="93"/>
      <c r="H19" s="93"/>
      <c r="I19" s="94"/>
      <c r="J19" s="93"/>
      <c r="K19" s="95"/>
    </row>
    <row r="20" spans="2:13" ht="18" customHeight="1" x14ac:dyDescent="0.25">
      <c r="B20" s="34">
        <v>1</v>
      </c>
      <c r="C20" s="35" t="s">
        <v>17</v>
      </c>
      <c r="D20" s="36">
        <f>IFERROR(HLOOKUP($J$1,[1]DB!$C$1:$K$172,20,FALSE),"")</f>
        <v>15</v>
      </c>
      <c r="E20" s="36">
        <f>SUMIFS('[1]Rincian Keluar'!$G:$G,'[1]Rincian Keluar'!$E:$E,'PELANGI 02'!C20,'[1]Rincian Keluar'!$D:$D,'PELANGI 02'!$D$1,'[1]Rincian Keluar'!$H:$H,'PELANGI 02'!$J$1,'[1]Rincian Keluar'!$F:$F,'PELANGI 02'!M20)</f>
        <v>15</v>
      </c>
      <c r="F20" s="37">
        <v>22000</v>
      </c>
      <c r="G20" s="38">
        <f>E20*F20</f>
        <v>330000</v>
      </c>
      <c r="H20" s="51">
        <v>504000</v>
      </c>
      <c r="I20" s="39">
        <f>IFERROR(VLOOKUP($C19,[1]HK!$B$5:$C$14,2,FALSE),"")*$J1</f>
        <v>500000</v>
      </c>
      <c r="J20" s="164">
        <f>I20-H20</f>
        <v>-4000</v>
      </c>
      <c r="K20" s="41">
        <v>1</v>
      </c>
      <c r="M20" s="20" t="str">
        <f>$C$19</f>
        <v>COR LANTAI</v>
      </c>
    </row>
    <row r="21" spans="2:13" ht="18" customHeight="1" x14ac:dyDescent="0.25">
      <c r="B21" s="34">
        <v>2</v>
      </c>
      <c r="C21" s="35" t="s">
        <v>31</v>
      </c>
      <c r="D21" s="36">
        <f>IFERROR(HLOOKUP($J$1,[1]DB!$C$1:$K$172,21,FALSE),"")</f>
        <v>5</v>
      </c>
      <c r="E21" s="36">
        <f>SUMIFS('[1]Rincian Keluar'!$G:$G,'[1]Rincian Keluar'!$E:$E,'PELANGI 02'!C21,'[1]Rincian Keluar'!$D:$D,'PELANGI 02'!$D$1,'[1]Rincian Keluar'!$H:$H,'PELANGI 02'!$J$1,'[1]Rincian Keluar'!$F:$F,'PELANGI 02'!M21)</f>
        <v>2</v>
      </c>
      <c r="F21" s="37">
        <v>150000</v>
      </c>
      <c r="G21" s="38">
        <f t="shared" ref="G21:G23" si="4">E21*F21</f>
        <v>300000</v>
      </c>
      <c r="H21" s="53"/>
      <c r="I21" s="42"/>
      <c r="J21" s="165"/>
      <c r="K21" s="44"/>
      <c r="M21" s="20" t="str">
        <f t="shared" ref="M21:M23" si="5">$C$19</f>
        <v>COR LANTAI</v>
      </c>
    </row>
    <row r="22" spans="2:13" ht="18" customHeight="1" x14ac:dyDescent="0.25">
      <c r="B22" s="34">
        <v>3</v>
      </c>
      <c r="C22" s="45" t="s">
        <v>24</v>
      </c>
      <c r="D22" s="36">
        <f>IFERROR(HLOOKUP($J$1,[1]DB!$C$1:$K$172,22,FALSE),"")</f>
        <v>14</v>
      </c>
      <c r="E22" s="36">
        <f>SUMIFS('[1]Rincian Keluar'!$G:$G,'[1]Rincian Keluar'!$E:$E,'PELANGI 02'!C22,'[1]Rincian Keluar'!$D:$D,'PELANGI 02'!$D$1,'[1]Rincian Keluar'!$H:$H,'PELANGI 02'!$J$1,'[1]Rincian Keluar'!$F:$F,'PELANGI 02'!M22)</f>
        <v>9</v>
      </c>
      <c r="F22" s="37">
        <v>60700</v>
      </c>
      <c r="G22" s="38">
        <f t="shared" si="4"/>
        <v>546300</v>
      </c>
      <c r="H22" s="53"/>
      <c r="I22" s="42"/>
      <c r="J22" s="165"/>
      <c r="K22" s="44"/>
      <c r="M22" s="20" t="str">
        <f t="shared" si="5"/>
        <v>COR LANTAI</v>
      </c>
    </row>
    <row r="23" spans="2:13" ht="18" customHeight="1" x14ac:dyDescent="0.25">
      <c r="B23" s="34">
        <v>4</v>
      </c>
      <c r="C23" s="35" t="s">
        <v>32</v>
      </c>
      <c r="D23" s="36">
        <f>IFERROR(HLOOKUP($J$1,[1]DB!$C$1:$K$172,23,FALSE),"")</f>
        <v>6</v>
      </c>
      <c r="E23" s="36">
        <f>SUMIFS('[1]Rincian Keluar'!$G:$G,'[1]Rincian Keluar'!$E:$E,'PELANGI 02'!C23,'[1]Rincian Keluar'!$D:$D,'PELANGI 02'!$D$1,'[1]Rincian Keluar'!$H:$H,'PELANGI 02'!$J$1,'[1]Rincian Keluar'!$F:$F,'PELANGI 02'!M23)</f>
        <v>6</v>
      </c>
      <c r="F23" s="57">
        <v>15000</v>
      </c>
      <c r="G23" s="38">
        <f t="shared" si="4"/>
        <v>90000</v>
      </c>
      <c r="H23" s="55"/>
      <c r="I23" s="47"/>
      <c r="J23" s="166"/>
      <c r="K23" s="49"/>
      <c r="M23" s="20" t="str">
        <f t="shared" si="5"/>
        <v>COR LANTAI</v>
      </c>
    </row>
    <row r="24" spans="2:13" ht="18" customHeight="1" x14ac:dyDescent="0.25">
      <c r="B24" s="29" t="s">
        <v>33</v>
      </c>
      <c r="C24" s="58" t="s">
        <v>34</v>
      </c>
      <c r="D24" s="31"/>
      <c r="E24" s="31"/>
      <c r="F24" s="31"/>
      <c r="G24" s="31"/>
      <c r="H24" s="31"/>
      <c r="I24" s="32"/>
      <c r="J24" s="31"/>
      <c r="K24" s="33"/>
    </row>
    <row r="25" spans="2:13" ht="18" customHeight="1" x14ac:dyDescent="0.25">
      <c r="B25" s="34">
        <v>1</v>
      </c>
      <c r="C25" s="45" t="s">
        <v>35</v>
      </c>
      <c r="D25" s="36">
        <f>IFERROR(HLOOKUP($J$1,[1]DB!$C$1:$K$172,25,FALSE),"")</f>
        <v>1</v>
      </c>
      <c r="E25" s="36">
        <f>SUMIFS('[1]Rincian Keluar'!$G:$G,'[1]Rincian Keluar'!$E:$E,'PELANGI 02'!C25,'[1]Rincian Keluar'!$D:$D,'PELANGI 02'!$D$1,'[1]Rincian Keluar'!$H:$H,'PELANGI 02'!$J$1,'[1]Rincian Keluar'!$F:$F,'PELANGI 02'!M25)</f>
        <v>0</v>
      </c>
      <c r="F25" s="46">
        <v>1550000</v>
      </c>
      <c r="G25" s="59">
        <f>E25*F25</f>
        <v>0</v>
      </c>
      <c r="H25" s="60"/>
      <c r="I25" s="61" t="e">
        <f>IFERROR(VLOOKUP($C24,[1]HK!$B$5:$C$14,2,FALSE),"")*$J1</f>
        <v>#VALUE!</v>
      </c>
      <c r="J25" s="62"/>
      <c r="K25" s="63"/>
      <c r="M25" s="20" t="str">
        <f>$C$24</f>
        <v>PINTU</v>
      </c>
    </row>
    <row r="26" spans="2:13" ht="18" customHeight="1" x14ac:dyDescent="0.25">
      <c r="B26" s="34">
        <v>2</v>
      </c>
      <c r="C26" s="45" t="s">
        <v>36</v>
      </c>
      <c r="D26" s="36">
        <f>IFERROR(HLOOKUP($J$1,[1]DB!$C$1:$K$172,26,FALSE),"")</f>
        <v>3</v>
      </c>
      <c r="E26" s="36">
        <f>SUMIFS('[1]Rincian Keluar'!$G:$G,'[1]Rincian Keluar'!$E:$E,'PELANGI 02'!C26,'[1]Rincian Keluar'!$D:$D,'PELANGI 02'!$D$1,'[1]Rincian Keluar'!$H:$H,'PELANGI 02'!$J$1,'[1]Rincian Keluar'!$F:$F,'PELANGI 02'!M26)</f>
        <v>0</v>
      </c>
      <c r="F26" s="46">
        <v>775000</v>
      </c>
      <c r="G26" s="59">
        <f t="shared" ref="G26:G36" si="6">E26*F26</f>
        <v>0</v>
      </c>
      <c r="H26" s="60"/>
      <c r="I26" s="61"/>
      <c r="J26" s="62"/>
      <c r="K26" s="63"/>
      <c r="M26" s="20" t="str">
        <f t="shared" ref="M26:M36" si="7">$C$24</f>
        <v>PINTU</v>
      </c>
    </row>
    <row r="27" spans="2:13" ht="18" customHeight="1" x14ac:dyDescent="0.25">
      <c r="B27" s="34">
        <v>3</v>
      </c>
      <c r="C27" s="45" t="s">
        <v>37</v>
      </c>
      <c r="D27" s="36">
        <f>IFERROR(HLOOKUP($J$1,[1]DB!$C$1:$K$172,27,FALSE),"")</f>
        <v>2</v>
      </c>
      <c r="E27" s="36">
        <f>SUMIFS('[1]Rincian Keluar'!$G:$G,'[1]Rincian Keluar'!$E:$E,'PELANGI 02'!C27,'[1]Rincian Keluar'!$D:$D,'PELANGI 02'!$D$1,'[1]Rincian Keluar'!$H:$H,'PELANGI 02'!$J$1,'[1]Rincian Keluar'!$F:$F,'PELANGI 02'!M27)</f>
        <v>0</v>
      </c>
      <c r="F27" s="46">
        <v>260000</v>
      </c>
      <c r="G27" s="59">
        <f t="shared" si="6"/>
        <v>0</v>
      </c>
      <c r="H27" s="60"/>
      <c r="I27" s="61"/>
      <c r="J27" s="62"/>
      <c r="K27" s="63"/>
      <c r="M27" s="20" t="str">
        <f t="shared" si="7"/>
        <v>PINTU</v>
      </c>
    </row>
    <row r="28" spans="2:13" ht="18" customHeight="1" x14ac:dyDescent="0.25">
      <c r="B28" s="34">
        <v>4</v>
      </c>
      <c r="C28" s="45" t="s">
        <v>38</v>
      </c>
      <c r="D28" s="36">
        <f>IFERROR(HLOOKUP($J$1,[1]DB!$C$1:$K$172,28,FALSE),"")</f>
        <v>1</v>
      </c>
      <c r="E28" s="36">
        <f>SUMIFS('[1]Rincian Keluar'!$G:$G,'[1]Rincian Keluar'!$E:$E,'PELANGI 02'!C28,'[1]Rincian Keluar'!$D:$D,'PELANGI 02'!$D$1,'[1]Rincian Keluar'!$H:$H,'PELANGI 02'!$J$1,'[1]Rincian Keluar'!$F:$F,'PELANGI 02'!M28)</f>
        <v>0</v>
      </c>
      <c r="F28" s="46">
        <v>799000</v>
      </c>
      <c r="G28" s="59">
        <f t="shared" si="6"/>
        <v>0</v>
      </c>
      <c r="H28" s="60"/>
      <c r="I28" s="61"/>
      <c r="J28" s="62"/>
      <c r="K28" s="63"/>
      <c r="M28" s="20" t="str">
        <f t="shared" si="7"/>
        <v>PINTU</v>
      </c>
    </row>
    <row r="29" spans="2:13" ht="18" customHeight="1" x14ac:dyDescent="0.25">
      <c r="B29" s="34">
        <v>5</v>
      </c>
      <c r="C29" s="45" t="s">
        <v>39</v>
      </c>
      <c r="D29" s="36">
        <f>IFERROR(HLOOKUP($J$1,[1]DB!$C$1:$K$172,29,FALSE),"")</f>
        <v>15</v>
      </c>
      <c r="E29" s="36">
        <f>SUMIFS('[1]Rincian Keluar'!$G:$G,'[1]Rincian Keluar'!$E:$E,'PELANGI 02'!C29,'[1]Rincian Keluar'!$D:$D,'PELANGI 02'!$D$1,'[1]Rincian Keluar'!$H:$H,'PELANGI 02'!$J$1,'[1]Rincian Keluar'!$F:$F,'PELANGI 02'!M29)</f>
        <v>0</v>
      </c>
      <c r="F29" s="46">
        <v>15000</v>
      </c>
      <c r="G29" s="59">
        <f t="shared" si="6"/>
        <v>0</v>
      </c>
      <c r="H29" s="60"/>
      <c r="I29" s="61"/>
      <c r="J29" s="62"/>
      <c r="K29" s="63"/>
      <c r="M29" s="20" t="str">
        <f t="shared" si="7"/>
        <v>PINTU</v>
      </c>
    </row>
    <row r="30" spans="2:13" ht="18" customHeight="1" x14ac:dyDescent="0.25">
      <c r="B30" s="34">
        <v>6</v>
      </c>
      <c r="C30" s="45" t="s">
        <v>40</v>
      </c>
      <c r="D30" s="36">
        <f>IFERROR(HLOOKUP($J$1,[1]DB!$C$1:$K$172,30,FALSE),"")</f>
        <v>2</v>
      </c>
      <c r="E30" s="36">
        <f>SUMIFS('[1]Rincian Keluar'!$G:$G,'[1]Rincian Keluar'!$E:$E,'PELANGI 02'!C30,'[1]Rincian Keluar'!$D:$D,'PELANGI 02'!$D$1,'[1]Rincian Keluar'!$H:$H,'PELANGI 02'!$J$1,'[1]Rincian Keluar'!$F:$F,'PELANGI 02'!M30)</f>
        <v>0</v>
      </c>
      <c r="F30" s="46">
        <v>100000</v>
      </c>
      <c r="G30" s="59">
        <f t="shared" si="6"/>
        <v>0</v>
      </c>
      <c r="H30" s="60"/>
      <c r="I30" s="61"/>
      <c r="J30" s="62"/>
      <c r="K30" s="63"/>
      <c r="M30" s="20" t="str">
        <f t="shared" si="7"/>
        <v>PINTU</v>
      </c>
    </row>
    <row r="31" spans="2:13" ht="18" customHeight="1" x14ac:dyDescent="0.25">
      <c r="B31" s="34">
        <v>7</v>
      </c>
      <c r="C31" s="45" t="s">
        <v>41</v>
      </c>
      <c r="D31" s="36">
        <f>IFERROR(HLOOKUP($J$1,[1]DB!$C$1:$K$172,31,FALSE),"")</f>
        <v>1</v>
      </c>
      <c r="E31" s="36">
        <f>SUMIFS('[1]Rincian Keluar'!$G:$G,'[1]Rincian Keluar'!$E:$E,'PELANGI 02'!C31,'[1]Rincian Keluar'!$D:$D,'PELANGI 02'!$D$1,'[1]Rincian Keluar'!$H:$H,'PELANGI 02'!$J$1,'[1]Rincian Keluar'!$F:$F,'PELANGI 02'!M31)</f>
        <v>0</v>
      </c>
      <c r="F31" s="46">
        <v>60000</v>
      </c>
      <c r="G31" s="59">
        <f t="shared" si="6"/>
        <v>0</v>
      </c>
      <c r="H31" s="60"/>
      <c r="I31" s="61"/>
      <c r="J31" s="62"/>
      <c r="K31" s="63"/>
      <c r="M31" s="20" t="str">
        <f t="shared" si="7"/>
        <v>PINTU</v>
      </c>
    </row>
    <row r="32" spans="2:13" ht="18" customHeight="1" x14ac:dyDescent="0.25">
      <c r="B32" s="34">
        <v>8</v>
      </c>
      <c r="C32" s="45" t="s">
        <v>42</v>
      </c>
      <c r="D32" s="36">
        <f>IFERROR(HLOOKUP($J$1,[1]DB!$C$1:$K$172,32,FALSE),"")</f>
        <v>3</v>
      </c>
      <c r="E32" s="36">
        <f>SUMIFS('[1]Rincian Keluar'!$G:$G,'[1]Rincian Keluar'!$E:$E,'PELANGI 02'!C32,'[1]Rincian Keluar'!$D:$D,'PELANGI 02'!$D$1,'[1]Rincian Keluar'!$H:$H,'PELANGI 02'!$J$1,'[1]Rincian Keluar'!$F:$F,'PELANGI 02'!M32)</f>
        <v>0</v>
      </c>
      <c r="F32" s="46">
        <v>65000</v>
      </c>
      <c r="G32" s="59">
        <f t="shared" si="6"/>
        <v>0</v>
      </c>
      <c r="H32" s="60"/>
      <c r="I32" s="61"/>
      <c r="J32" s="62"/>
      <c r="K32" s="63"/>
      <c r="M32" s="20" t="str">
        <f t="shared" si="7"/>
        <v>PINTU</v>
      </c>
    </row>
    <row r="33" spans="1:13" ht="18" customHeight="1" x14ac:dyDescent="0.25">
      <c r="B33" s="34">
        <v>9</v>
      </c>
      <c r="C33" s="35" t="s">
        <v>43</v>
      </c>
      <c r="D33" s="36">
        <f>IFERROR(HLOOKUP($J$1,[1]DB!$C$1:$K$172,33,FALSE),"")</f>
        <v>4</v>
      </c>
      <c r="E33" s="36">
        <f>SUMIFS('[1]Rincian Keluar'!$G:$G,'[1]Rincian Keluar'!$E:$E,'PELANGI 02'!C33,'[1]Rincian Keluar'!$D:$D,'PELANGI 02'!$D$1,'[1]Rincian Keluar'!$H:$H,'PELANGI 02'!$J$1,'[1]Rincian Keluar'!$F:$F,'PELANGI 02'!M33)</f>
        <v>0</v>
      </c>
      <c r="F33" s="64">
        <v>83000</v>
      </c>
      <c r="G33" s="59">
        <f t="shared" si="6"/>
        <v>0</v>
      </c>
      <c r="H33" s="60"/>
      <c r="I33" s="61"/>
      <c r="J33" s="62"/>
      <c r="K33" s="63"/>
      <c r="M33" s="20" t="str">
        <f t="shared" si="7"/>
        <v>PINTU</v>
      </c>
    </row>
    <row r="34" spans="1:13" ht="18" customHeight="1" x14ac:dyDescent="0.25">
      <c r="B34" s="34">
        <v>10</v>
      </c>
      <c r="C34" s="35" t="s">
        <v>44</v>
      </c>
      <c r="D34" s="36">
        <f>IFERROR(HLOOKUP($J$1,[1]DB!$C$1:$K$172,34,FALSE),"")</f>
        <v>2</v>
      </c>
      <c r="E34" s="36">
        <f>SUMIFS('[1]Rincian Keluar'!$G:$G,'[1]Rincian Keluar'!$E:$E,'PELANGI 02'!C34,'[1]Rincian Keluar'!$D:$D,'PELANGI 02'!$D$1,'[1]Rincian Keluar'!$H:$H,'PELANGI 02'!$J$1,'[1]Rincian Keluar'!$F:$F,'PELANGI 02'!M34)</f>
        <v>0</v>
      </c>
      <c r="F34" s="64">
        <v>23000</v>
      </c>
      <c r="G34" s="59">
        <f t="shared" si="6"/>
        <v>0</v>
      </c>
      <c r="H34" s="60"/>
      <c r="I34" s="61"/>
      <c r="J34" s="62"/>
      <c r="K34" s="63"/>
      <c r="M34" s="20" t="str">
        <f t="shared" si="7"/>
        <v>PINTU</v>
      </c>
    </row>
    <row r="35" spans="1:13" ht="18" customHeight="1" x14ac:dyDescent="0.25">
      <c r="B35" s="34">
        <v>11</v>
      </c>
      <c r="C35" s="35" t="s">
        <v>45</v>
      </c>
      <c r="D35" s="36">
        <f>IFERROR(HLOOKUP($J$1,[1]DB!$C$1:$K$172,35,FALSE),"")</f>
        <v>1</v>
      </c>
      <c r="E35" s="36">
        <f>SUMIFS('[1]Rincian Keluar'!$G:$G,'[1]Rincian Keluar'!$E:$E,'PELANGI 02'!C35,'[1]Rincian Keluar'!$D:$D,'PELANGI 02'!$D$1,'[1]Rincian Keluar'!$H:$H,'PELANGI 02'!$J$1,'[1]Rincian Keluar'!$F:$F,'PELANGI 02'!M35)</f>
        <v>0</v>
      </c>
      <c r="F35" s="64">
        <v>17000</v>
      </c>
      <c r="G35" s="59">
        <f t="shared" si="6"/>
        <v>0</v>
      </c>
      <c r="H35" s="60"/>
      <c r="I35" s="61"/>
      <c r="J35" s="62"/>
      <c r="K35" s="63"/>
      <c r="M35" s="20" t="str">
        <f t="shared" si="7"/>
        <v>PINTU</v>
      </c>
    </row>
    <row r="36" spans="1:13" ht="18" customHeight="1" x14ac:dyDescent="0.25">
      <c r="B36" s="34">
        <v>12</v>
      </c>
      <c r="C36" s="35" t="s">
        <v>46</v>
      </c>
      <c r="D36" s="36">
        <f>IFERROR(HLOOKUP($J$1,[1]DB!$C$1:$K$172,36,FALSE),"")</f>
        <v>1</v>
      </c>
      <c r="E36" s="36">
        <f>SUMIFS('[1]Rincian Keluar'!$G:$G,'[1]Rincian Keluar'!$E:$E,'PELANGI 02'!C36,'[1]Rincian Keluar'!$D:$D,'PELANGI 02'!$D$1,'[1]Rincian Keluar'!$H:$H,'PELANGI 02'!$J$1,'[1]Rincian Keluar'!$F:$F,'PELANGI 02'!M36)</f>
        <v>0</v>
      </c>
      <c r="F36" s="64">
        <v>11000</v>
      </c>
      <c r="G36" s="59">
        <f t="shared" si="6"/>
        <v>0</v>
      </c>
      <c r="H36" s="60"/>
      <c r="I36" s="61"/>
      <c r="J36" s="62"/>
      <c r="K36" s="63"/>
      <c r="M36" s="20" t="str">
        <f t="shared" si="7"/>
        <v>PINTU</v>
      </c>
    </row>
    <row r="37" spans="1:13" ht="18" customHeight="1" x14ac:dyDescent="0.25">
      <c r="B37" s="91" t="s">
        <v>47</v>
      </c>
      <c r="C37" s="182" t="s">
        <v>48</v>
      </c>
      <c r="D37" s="93"/>
      <c r="E37" s="93"/>
      <c r="F37" s="93"/>
      <c r="G37" s="93"/>
      <c r="H37" s="93"/>
      <c r="I37" s="94"/>
      <c r="J37" s="93"/>
      <c r="K37" s="95"/>
      <c r="M37" s="20"/>
    </row>
    <row r="38" spans="1:13" s="66" customFormat="1" ht="18" customHeight="1" x14ac:dyDescent="0.25">
      <c r="B38" s="34">
        <v>1</v>
      </c>
      <c r="C38" s="45" t="s">
        <v>49</v>
      </c>
      <c r="D38" s="36">
        <f>IFERROR(HLOOKUP($J$1,[1]DB!$C$1:$K$172,38,FALSE),"")</f>
        <v>24</v>
      </c>
      <c r="E38" s="36">
        <f>SUMIFS('[1]Rincian Keluar'!$G:$G,'[1]Rincian Keluar'!$E:$E,'PELANGI 02'!C38,'[1]Rincian Keluar'!$D:$D,'PELANGI 02'!$D$1,'[1]Rincian Keluar'!$H:$H,'PELANGI 02'!$J$1,'[1]Rincian Keluar'!$F:$F,'PELANGI 02'!M38)</f>
        <v>34</v>
      </c>
      <c r="F38" s="37">
        <v>11000</v>
      </c>
      <c r="G38" s="67">
        <f>E38*F38</f>
        <v>374000</v>
      </c>
      <c r="H38" s="68">
        <v>720000</v>
      </c>
      <c r="I38" s="61">
        <f>IFERROR(VLOOKUP($C37,[1]HK!$B$5:$C$14,2,FALSE),"")*$J1</f>
        <v>3475000</v>
      </c>
      <c r="J38" s="69">
        <f>I38-H38</f>
        <v>2755000</v>
      </c>
      <c r="K38" s="70">
        <v>0.2</v>
      </c>
      <c r="M38" s="20" t="str">
        <f>$C$37</f>
        <v>BATA</v>
      </c>
    </row>
    <row r="39" spans="1:13" s="66" customFormat="1" ht="18" customHeight="1" x14ac:dyDescent="0.25">
      <c r="B39" s="34">
        <v>2</v>
      </c>
      <c r="C39" s="45" t="s">
        <v>19</v>
      </c>
      <c r="D39" s="36">
        <f>IFERROR(HLOOKUP($J$1,[1]DB!$C$1:$K$172,39,FALSE),"")</f>
        <v>25</v>
      </c>
      <c r="E39" s="36">
        <f>SUMIFS('[1]Rincian Keluar'!$G:$G,'[1]Rincian Keluar'!$E:$E,'PELANGI 02'!C39,'[1]Rincian Keluar'!$D:$D,'PELANGI 02'!$D$1,'[1]Rincian Keluar'!$H:$H,'PELANGI 02'!$J$1,'[1]Rincian Keluar'!$F:$F,'PELANGI 02'!M39)</f>
        <v>36</v>
      </c>
      <c r="F39" s="46">
        <v>11000</v>
      </c>
      <c r="G39" s="67">
        <f t="shared" ref="G39:G59" si="8">E39*F39</f>
        <v>396000</v>
      </c>
      <c r="H39" s="68"/>
      <c r="I39" s="61"/>
      <c r="J39" s="71"/>
      <c r="K39" s="70"/>
      <c r="M39" s="20" t="str">
        <f t="shared" ref="M39:M59" si="9">$C$37</f>
        <v>BATA</v>
      </c>
    </row>
    <row r="40" spans="1:13" ht="18" customHeight="1" x14ac:dyDescent="0.25">
      <c r="B40" s="34">
        <v>3</v>
      </c>
      <c r="C40" s="45" t="s">
        <v>17</v>
      </c>
      <c r="D40" s="36">
        <f>IFERROR(HLOOKUP($J$1,[1]DB!$C$1:$K$172,40,FALSE),"")</f>
        <v>5</v>
      </c>
      <c r="E40" s="36">
        <f>SUMIFS('[1]Rincian Keluar'!$G:$G,'[1]Rincian Keluar'!$E:$E,'PELANGI 02'!C40,'[1]Rincian Keluar'!$D:$D,'PELANGI 02'!$D$1,'[1]Rincian Keluar'!$H:$H,'PELANGI 02'!$J$1,'[1]Rincian Keluar'!$F:$F,'PELANGI 02'!M40)</f>
        <v>5</v>
      </c>
      <c r="F40" s="37">
        <v>22000</v>
      </c>
      <c r="G40" s="67">
        <f t="shared" si="8"/>
        <v>110000</v>
      </c>
      <c r="H40" s="68"/>
      <c r="I40" s="61"/>
      <c r="J40" s="71"/>
      <c r="K40" s="70"/>
      <c r="M40" s="20" t="str">
        <f t="shared" si="9"/>
        <v>BATA</v>
      </c>
    </row>
    <row r="41" spans="1:13" ht="18" customHeight="1" x14ac:dyDescent="0.25">
      <c r="B41" s="34">
        <v>4</v>
      </c>
      <c r="C41" s="45" t="s">
        <v>50</v>
      </c>
      <c r="D41" s="36">
        <f>IFERROR(HLOOKUP($J$1,[1]DB!$C$1:$K$172,41,FALSE),"")</f>
        <v>8</v>
      </c>
      <c r="E41" s="36">
        <f>SUMIFS('[1]Rincian Keluar'!$G:$G,'[1]Rincian Keluar'!$E:$E,'PELANGI 02'!C41,'[1]Rincian Keluar'!$D:$D,'PELANGI 02'!$D$1,'[1]Rincian Keluar'!$H:$H,'PELANGI 02'!$J$1,'[1]Rincian Keluar'!$F:$F,'PELANGI 02'!M41)</f>
        <v>8</v>
      </c>
      <c r="F41" s="37">
        <v>35000</v>
      </c>
      <c r="G41" s="67">
        <f t="shared" si="8"/>
        <v>280000</v>
      </c>
      <c r="H41" s="68"/>
      <c r="I41" s="61"/>
      <c r="J41" s="71"/>
      <c r="K41" s="70"/>
      <c r="M41" s="20" t="str">
        <f t="shared" si="9"/>
        <v>BATA</v>
      </c>
    </row>
    <row r="42" spans="1:13" ht="18" customHeight="1" x14ac:dyDescent="0.25">
      <c r="B42" s="34">
        <v>5</v>
      </c>
      <c r="C42" s="45" t="s">
        <v>51</v>
      </c>
      <c r="D42" s="36">
        <f>IFERROR(HLOOKUP($J$1,[1]DB!$C$1:$K$172,42,FALSE),"")</f>
        <v>2</v>
      </c>
      <c r="E42" s="36">
        <f>SUMIFS('[1]Rincian Keluar'!$G:$G,'[1]Rincian Keluar'!$E:$E,'PELANGI 02'!C42,'[1]Rincian Keluar'!$D:$D,'PELANGI 02'!$D$1,'[1]Rincian Keluar'!$H:$H,'PELANGI 02'!$J$1,'[1]Rincian Keluar'!$F:$F,'PELANGI 02'!M42)</f>
        <v>2</v>
      </c>
      <c r="F42" s="37">
        <f>F40</f>
        <v>22000</v>
      </c>
      <c r="G42" s="67">
        <f t="shared" si="8"/>
        <v>44000</v>
      </c>
      <c r="H42" s="68"/>
      <c r="I42" s="61"/>
      <c r="J42" s="71"/>
      <c r="K42" s="70"/>
      <c r="M42" s="20" t="str">
        <f t="shared" si="9"/>
        <v>BATA</v>
      </c>
    </row>
    <row r="43" spans="1:13" ht="18" customHeight="1" x14ac:dyDescent="0.25">
      <c r="B43" s="34">
        <v>6</v>
      </c>
      <c r="C43" s="45" t="s">
        <v>52</v>
      </c>
      <c r="D43" s="36">
        <f>IFERROR(HLOOKUP($J$1,[1]DB!$C$1:$K$172,43,FALSE),"")</f>
        <v>1</v>
      </c>
      <c r="E43" s="36">
        <f>SUMIFS('[1]Rincian Keluar'!$G:$G,'[1]Rincian Keluar'!$E:$E,'PELANGI 02'!C43,'[1]Rincian Keluar'!$D:$D,'PELANGI 02'!$D$1,'[1]Rincian Keluar'!$H:$H,'PELANGI 02'!$J$1,'[1]Rincian Keluar'!$F:$F,'PELANGI 02'!M43)</f>
        <v>1</v>
      </c>
      <c r="F43" s="46">
        <v>363250</v>
      </c>
      <c r="G43" s="67">
        <f t="shared" si="8"/>
        <v>363250</v>
      </c>
      <c r="H43" s="68"/>
      <c r="I43" s="61"/>
      <c r="J43" s="71"/>
      <c r="K43" s="70"/>
      <c r="M43" s="20" t="str">
        <f t="shared" si="9"/>
        <v>BATA</v>
      </c>
    </row>
    <row r="44" spans="1:13" ht="18" customHeight="1" x14ac:dyDescent="0.25">
      <c r="B44" s="34">
        <v>7</v>
      </c>
      <c r="C44" s="45" t="s">
        <v>53</v>
      </c>
      <c r="D44" s="36">
        <f>IFERROR(HLOOKUP($J$1,[1]DB!$C$1:$K$172,44,FALSE),"")</f>
        <v>3</v>
      </c>
      <c r="E44" s="36">
        <f>SUMIFS('[1]Rincian Keluar'!$G:$G,'[1]Rincian Keluar'!$E:$E,'PELANGI 02'!C44,'[1]Rincian Keluar'!$D:$D,'PELANGI 02'!$D$1,'[1]Rincian Keluar'!$H:$H,'PELANGI 02'!$J$1,'[1]Rincian Keluar'!$F:$F,'PELANGI 02'!M44)</f>
        <v>3</v>
      </c>
      <c r="F44" s="46">
        <v>337050</v>
      </c>
      <c r="G44" s="67">
        <f t="shared" si="8"/>
        <v>1011150</v>
      </c>
      <c r="H44" s="68"/>
      <c r="I44" s="61"/>
      <c r="J44" s="71"/>
      <c r="K44" s="70"/>
      <c r="M44" s="20" t="str">
        <f t="shared" si="9"/>
        <v>BATA</v>
      </c>
    </row>
    <row r="45" spans="1:13" ht="18" customHeight="1" x14ac:dyDescent="0.25">
      <c r="B45" s="34">
        <v>8</v>
      </c>
      <c r="C45" s="72" t="s">
        <v>54</v>
      </c>
      <c r="D45" s="36">
        <f>IFERROR(HLOOKUP($J$1,[1]DB!$C$1:$K$172,45,FALSE),"")</f>
        <v>2329</v>
      </c>
      <c r="E45" s="36">
        <f>SUMIFS('[1]Rincian Keluar'!$G:$G,'[1]Rincian Keluar'!$E:$E,'PELANGI 02'!C45,'[1]Rincian Keluar'!$D:$D,'PELANGI 02'!$D$1,'[1]Rincian Keluar'!$H:$H,'PELANGI 02'!$J$1,'[1]Rincian Keluar'!$F:$F,'PELANGI 02'!M45)</f>
        <v>0</v>
      </c>
      <c r="F45" s="37">
        <v>1850</v>
      </c>
      <c r="G45" s="67">
        <f t="shared" si="8"/>
        <v>0</v>
      </c>
      <c r="H45" s="68"/>
      <c r="I45" s="61"/>
      <c r="J45" s="71"/>
      <c r="K45" s="70"/>
      <c r="M45" s="20" t="str">
        <f t="shared" si="9"/>
        <v>BATA</v>
      </c>
    </row>
    <row r="46" spans="1:13" ht="18" customHeight="1" x14ac:dyDescent="0.25">
      <c r="B46" s="34">
        <v>9</v>
      </c>
      <c r="C46" s="45" t="s">
        <v>24</v>
      </c>
      <c r="D46" s="36">
        <f>IFERROR(HLOOKUP($J$1,[1]DB!$C$1:$K$172,46,FALSE),"")</f>
        <v>19</v>
      </c>
      <c r="E46" s="36">
        <f>SUMIFS('[1]Rincian Keluar'!$G:$G,'[1]Rincian Keluar'!$E:$E,'PELANGI 02'!C46,'[1]Rincian Keluar'!$D:$D,'PELANGI 02'!$D$1,'[1]Rincian Keluar'!$H:$H,'PELANGI 02'!$J$1,'[1]Rincian Keluar'!$F:$F,'PELANGI 02'!M46)</f>
        <v>2</v>
      </c>
      <c r="F46" s="37">
        <v>60700</v>
      </c>
      <c r="G46" s="67">
        <f t="shared" si="8"/>
        <v>121400</v>
      </c>
      <c r="H46" s="68"/>
      <c r="I46" s="61"/>
      <c r="J46" s="71"/>
      <c r="K46" s="70"/>
      <c r="M46" s="20" t="str">
        <f t="shared" si="9"/>
        <v>BATA</v>
      </c>
    </row>
    <row r="47" spans="1:13" ht="18" customHeight="1" x14ac:dyDescent="0.25">
      <c r="B47" s="34">
        <v>10</v>
      </c>
      <c r="C47" s="72" t="s">
        <v>31</v>
      </c>
      <c r="D47" s="36">
        <f>IFERROR(HLOOKUP($J$1,[1]DB!$C$1:$K$172,47,FALSE),"")</f>
        <v>5</v>
      </c>
      <c r="E47" s="36">
        <f>SUMIFS('[1]Rincian Keluar'!$G:$G,'[1]Rincian Keluar'!$E:$E,'PELANGI 02'!C47,'[1]Rincian Keluar'!$D:$D,'PELANGI 02'!$D$1,'[1]Rincian Keluar'!$H:$H,'PELANGI 02'!$J$1,'[1]Rincian Keluar'!$F:$F,'PELANGI 02'!M47)</f>
        <v>1</v>
      </c>
      <c r="F47" s="37">
        <v>150000</v>
      </c>
      <c r="G47" s="67">
        <f t="shared" si="8"/>
        <v>150000</v>
      </c>
      <c r="H47" s="68"/>
      <c r="I47" s="61"/>
      <c r="J47" s="71"/>
      <c r="K47" s="70"/>
      <c r="M47" s="20" t="str">
        <f t="shared" si="9"/>
        <v>BATA</v>
      </c>
    </row>
    <row r="48" spans="1:13" s="20" customFormat="1" ht="18" customHeight="1" x14ac:dyDescent="0.25">
      <c r="A48" s="1"/>
      <c r="B48" s="34">
        <v>11</v>
      </c>
      <c r="C48" s="72" t="s">
        <v>17</v>
      </c>
      <c r="D48" s="36">
        <f>IFERROR(HLOOKUP($J$1,[1]DB!$C$1:$K$172,48,FALSE),"")</f>
        <v>5</v>
      </c>
      <c r="E48" s="36">
        <f>SUMIFS('[1]Rincian Keluar'!$G:$G,'[1]Rincian Keluar'!$E:$E,'PELANGI 02'!C48,'[1]Rincian Keluar'!$D:$D,'PELANGI 02'!$D$1,'[1]Rincian Keluar'!$H:$H,'PELANGI 02'!$J$1,'[1]Rincian Keluar'!$F:$F,'PELANGI 02'!M48)</f>
        <v>5</v>
      </c>
      <c r="F48" s="64">
        <f>F7</f>
        <v>21500</v>
      </c>
      <c r="G48" s="67">
        <f t="shared" si="8"/>
        <v>107500</v>
      </c>
      <c r="H48" s="68"/>
      <c r="I48" s="61"/>
      <c r="J48" s="71"/>
      <c r="K48" s="70"/>
      <c r="M48" s="20" t="str">
        <f t="shared" si="9"/>
        <v>BATA</v>
      </c>
    </row>
    <row r="49" spans="1:15" s="20" customFormat="1" ht="18" customHeight="1" x14ac:dyDescent="0.25">
      <c r="A49" s="1"/>
      <c r="B49" s="29" t="s">
        <v>55</v>
      </c>
      <c r="C49" s="65" t="s">
        <v>56</v>
      </c>
      <c r="D49" s="73"/>
      <c r="E49" s="73"/>
      <c r="F49" s="73"/>
      <c r="G49" s="74"/>
      <c r="H49" s="68"/>
      <c r="I49" s="61"/>
      <c r="J49" s="71"/>
      <c r="K49" s="70"/>
      <c r="M49" s="20" t="str">
        <f t="shared" si="9"/>
        <v>BATA</v>
      </c>
    </row>
    <row r="50" spans="1:15" s="20" customFormat="1" ht="18" customHeight="1" x14ac:dyDescent="0.25">
      <c r="A50" s="1"/>
      <c r="B50" s="34">
        <v>1</v>
      </c>
      <c r="C50" s="45" t="s">
        <v>24</v>
      </c>
      <c r="D50" s="36">
        <f>IFERROR(HLOOKUP($J$1,[1]DB!$C$1:$K$172,50,FALSE),"")</f>
        <v>5</v>
      </c>
      <c r="E50" s="36">
        <f>SUMIFS('[1]Rincian Keluar'!$G:$G,'[1]Rincian Keluar'!$E:$E,'PELANGI 02'!C50,'[1]Rincian Keluar'!$D:$D,'PELANGI 02'!$D$1,'[1]Rincian Keluar'!$H:$H,'PELANGI 02'!$J$1,'[1]Rincian Keluar'!$F:$F,'PELANGI 02'!M50)</f>
        <v>2</v>
      </c>
      <c r="F50" s="37">
        <v>60700</v>
      </c>
      <c r="G50" s="67">
        <f t="shared" si="8"/>
        <v>121400</v>
      </c>
      <c r="H50" s="68"/>
      <c r="I50" s="61"/>
      <c r="J50" s="71"/>
      <c r="K50" s="70"/>
      <c r="M50" s="20" t="str">
        <f t="shared" si="9"/>
        <v>BATA</v>
      </c>
    </row>
    <row r="51" spans="1:15" s="20" customFormat="1" ht="18" customHeight="1" x14ac:dyDescent="0.25">
      <c r="A51" s="1"/>
      <c r="B51" s="34">
        <v>2</v>
      </c>
      <c r="C51" s="72" t="s">
        <v>31</v>
      </c>
      <c r="D51" s="36">
        <f>IFERROR(HLOOKUP($J$1,[1]DB!$C$1:$K$172,51,FALSE),"")</f>
        <v>1</v>
      </c>
      <c r="E51" s="36">
        <f>SUMIFS('[1]Rincian Keluar'!$G:$G,'[1]Rincian Keluar'!$E:$E,'PELANGI 02'!C51,'[1]Rincian Keluar'!$D:$D,'PELANGI 02'!$D$1,'[1]Rincian Keluar'!$H:$H,'PELANGI 02'!$J$1,'[1]Rincian Keluar'!$F:$F,'PELANGI 02'!M51)</f>
        <v>1</v>
      </c>
      <c r="F51" s="37">
        <v>150000</v>
      </c>
      <c r="G51" s="67">
        <f t="shared" si="8"/>
        <v>150000</v>
      </c>
      <c r="H51" s="68"/>
      <c r="I51" s="61"/>
      <c r="J51" s="71"/>
      <c r="K51" s="70"/>
      <c r="M51" s="20" t="str">
        <f t="shared" si="9"/>
        <v>BATA</v>
      </c>
    </row>
    <row r="52" spans="1:15" s="20" customFormat="1" ht="18" customHeight="1" x14ac:dyDescent="0.25">
      <c r="A52" s="1"/>
      <c r="B52" s="34">
        <v>3</v>
      </c>
      <c r="C52" s="72" t="s">
        <v>23</v>
      </c>
      <c r="D52" s="36">
        <f>IFERROR(HLOOKUP($J$1,[1]DB!$C$1:$K$172,52,FALSE),"")</f>
        <v>2</v>
      </c>
      <c r="E52" s="36">
        <f>SUMIFS('[1]Rincian Keluar'!$G:$G,'[1]Rincian Keluar'!$E:$E,'PELANGI 02'!C52,'[1]Rincian Keluar'!$D:$D,'PELANGI 02'!$D$1,'[1]Rincian Keluar'!$H:$H,'PELANGI 02'!$J$1,'[1]Rincian Keluar'!$F:$F,'PELANGI 02'!M52)</f>
        <v>0</v>
      </c>
      <c r="F52" s="37"/>
      <c r="G52" s="67">
        <f t="shared" si="8"/>
        <v>0</v>
      </c>
      <c r="H52" s="68"/>
      <c r="I52" s="61"/>
      <c r="J52" s="71"/>
      <c r="K52" s="70"/>
      <c r="M52" s="20" t="str">
        <f t="shared" si="9"/>
        <v>BATA</v>
      </c>
    </row>
    <row r="53" spans="1:15" s="20" customFormat="1" ht="18" customHeight="1" x14ac:dyDescent="0.25">
      <c r="A53" s="1"/>
      <c r="B53" s="34">
        <v>4</v>
      </c>
      <c r="C53" s="45" t="s">
        <v>51</v>
      </c>
      <c r="D53" s="36">
        <f>IFERROR(HLOOKUP($J$1,[1]DB!$C$1:$K$172,53,FALSE),"")</f>
        <v>3</v>
      </c>
      <c r="E53" s="36">
        <f>SUMIFS('[1]Rincian Keluar'!$G:$G,'[1]Rincian Keluar'!$E:$E,'PELANGI 02'!C53,'[1]Rincian Keluar'!$D:$D,'PELANGI 02'!$D$1,'[1]Rincian Keluar'!$H:$H,'PELANGI 02'!$J$1,'[1]Rincian Keluar'!$F:$F,'PELANGI 02'!M53)</f>
        <v>2</v>
      </c>
      <c r="F53" s="37">
        <v>22000</v>
      </c>
      <c r="G53" s="67">
        <f t="shared" si="8"/>
        <v>44000</v>
      </c>
      <c r="H53" s="68"/>
      <c r="I53" s="61"/>
      <c r="J53" s="71"/>
      <c r="K53" s="70"/>
      <c r="M53" s="20" t="str">
        <f t="shared" si="9"/>
        <v>BATA</v>
      </c>
    </row>
    <row r="54" spans="1:15" s="20" customFormat="1" ht="18" customHeight="1" x14ac:dyDescent="0.25">
      <c r="A54" s="1"/>
      <c r="B54" s="34">
        <v>5</v>
      </c>
      <c r="C54" s="45" t="s">
        <v>57</v>
      </c>
      <c r="D54" s="36">
        <f>IFERROR(HLOOKUP($J$1,[1]DB!$C$1:$K$172,54,FALSE),"")</f>
        <v>4</v>
      </c>
      <c r="E54" s="36">
        <f>SUMIFS('[1]Rincian Keluar'!$G:$G,'[1]Rincian Keluar'!$E:$E,'PELANGI 02'!C54,'[1]Rincian Keluar'!$D:$D,'PELANGI 02'!$D$1,'[1]Rincian Keluar'!$H:$H,'PELANGI 02'!$J$1,'[1]Rincian Keluar'!$F:$F,'PELANGI 02'!M54)</f>
        <v>0</v>
      </c>
      <c r="F54" s="37">
        <v>35000</v>
      </c>
      <c r="G54" s="67">
        <f t="shared" si="8"/>
        <v>0</v>
      </c>
      <c r="H54" s="68"/>
      <c r="I54" s="61"/>
      <c r="J54" s="71"/>
      <c r="K54" s="70"/>
      <c r="M54" s="20" t="str">
        <f t="shared" si="9"/>
        <v>BATA</v>
      </c>
    </row>
    <row r="55" spans="1:15" s="20" customFormat="1" ht="18" customHeight="1" x14ac:dyDescent="0.25">
      <c r="A55" s="1"/>
      <c r="B55" s="34">
        <v>6</v>
      </c>
      <c r="C55" s="45" t="s">
        <v>58</v>
      </c>
      <c r="D55" s="36">
        <f>IFERROR(HLOOKUP($J$1,[1]DB!$C$1:$K$172,55,FALSE),"")</f>
        <v>1</v>
      </c>
      <c r="E55" s="36">
        <f>SUMIFS('[1]Rincian Keluar'!$G:$G,'[1]Rincian Keluar'!$E:$E,'PELANGI 02'!C55,'[1]Rincian Keluar'!$D:$D,'PELANGI 02'!$D$1,'[1]Rincian Keluar'!$H:$H,'PELANGI 02'!$J$1,'[1]Rincian Keluar'!$F:$F,'PELANGI 02'!M55)</f>
        <v>0</v>
      </c>
      <c r="F55" s="37">
        <v>130000</v>
      </c>
      <c r="G55" s="67">
        <f t="shared" si="8"/>
        <v>0</v>
      </c>
      <c r="H55" s="68"/>
      <c r="I55" s="61"/>
      <c r="J55" s="71"/>
      <c r="K55" s="70"/>
      <c r="M55" s="20" t="str">
        <f t="shared" si="9"/>
        <v>BATA</v>
      </c>
    </row>
    <row r="56" spans="1:15" s="20" customFormat="1" ht="18" customHeight="1" x14ac:dyDescent="0.25">
      <c r="A56" s="1"/>
      <c r="B56" s="34">
        <v>7</v>
      </c>
      <c r="C56" s="45" t="s">
        <v>19</v>
      </c>
      <c r="D56" s="36">
        <f>IFERROR(HLOOKUP($J$1,[1]DB!$C$1:$K$172,56,FALSE),"")</f>
        <v>20</v>
      </c>
      <c r="E56" s="36">
        <f>SUMIFS('[1]Rincian Keluar'!$G:$G,'[1]Rincian Keluar'!$E:$E,'PELANGI 02'!C56,'[1]Rincian Keluar'!$D:$D,'PELANGI 02'!$D$1,'[1]Rincian Keluar'!$H:$H,'PELANGI 02'!$J$1,'[1]Rincian Keluar'!$F:$F,'PELANGI 02'!M56)</f>
        <v>36</v>
      </c>
      <c r="F56" s="46">
        <v>11000</v>
      </c>
      <c r="G56" s="67">
        <f t="shared" si="8"/>
        <v>396000</v>
      </c>
      <c r="H56" s="68"/>
      <c r="I56" s="61"/>
      <c r="J56" s="71"/>
      <c r="K56" s="70"/>
      <c r="M56" s="20" t="str">
        <f t="shared" si="9"/>
        <v>BATA</v>
      </c>
    </row>
    <row r="57" spans="1:15" s="20" customFormat="1" ht="18" customHeight="1" x14ac:dyDescent="0.25">
      <c r="A57" s="1"/>
      <c r="B57" s="34">
        <v>8</v>
      </c>
      <c r="C57" s="45" t="s">
        <v>54</v>
      </c>
      <c r="D57" s="36">
        <f>IFERROR(HLOOKUP($J$1,[1]DB!$C$1:$K$172,57,FALSE),"")</f>
        <v>74</v>
      </c>
      <c r="E57" s="36">
        <f>SUMIFS('[1]Rincian Keluar'!$G:$G,'[1]Rincian Keluar'!$E:$E,'PELANGI 02'!C57,'[1]Rincian Keluar'!$D:$D,'PELANGI 02'!$D$1,'[1]Rincian Keluar'!$H:$H,'PELANGI 02'!$J$1,'[1]Rincian Keluar'!$F:$F,'PELANGI 02'!M57)</f>
        <v>0</v>
      </c>
      <c r="F57" s="37">
        <v>1850</v>
      </c>
      <c r="G57" s="67">
        <f t="shared" si="8"/>
        <v>0</v>
      </c>
      <c r="H57" s="68"/>
      <c r="I57" s="61"/>
      <c r="J57" s="71"/>
      <c r="K57" s="70"/>
      <c r="M57" s="20" t="str">
        <f t="shared" si="9"/>
        <v>BATA</v>
      </c>
    </row>
    <row r="58" spans="1:15" s="20" customFormat="1" ht="18" customHeight="1" x14ac:dyDescent="0.25">
      <c r="A58" s="1"/>
      <c r="B58" s="34">
        <v>9</v>
      </c>
      <c r="C58" s="45" t="s">
        <v>20</v>
      </c>
      <c r="D58" s="36">
        <f>IFERROR(HLOOKUP($J$1,[1]DB!$C$1:$K$172,58,FALSE),"")</f>
        <v>7</v>
      </c>
      <c r="E58" s="36">
        <f>SUMIFS('[1]Rincian Keluar'!$G:$G,'[1]Rincian Keluar'!$E:$E,'PELANGI 02'!C58,'[1]Rincian Keluar'!$D:$D,'PELANGI 02'!$D$1,'[1]Rincian Keluar'!$H:$H,'PELANGI 02'!$J$1,'[1]Rincian Keluar'!$F:$F,'PELANGI 02'!M58)</f>
        <v>0</v>
      </c>
      <c r="F58" s="37">
        <v>8000</v>
      </c>
      <c r="G58" s="67">
        <f t="shared" si="8"/>
        <v>0</v>
      </c>
      <c r="H58" s="68"/>
      <c r="I58" s="61"/>
      <c r="J58" s="71"/>
      <c r="K58" s="70"/>
      <c r="M58" s="20" t="str">
        <f t="shared" si="9"/>
        <v>BATA</v>
      </c>
    </row>
    <row r="59" spans="1:15" s="20" customFormat="1" ht="18" customHeight="1" x14ac:dyDescent="0.25">
      <c r="A59" s="1"/>
      <c r="B59" s="34">
        <v>10</v>
      </c>
      <c r="C59" s="45" t="s">
        <v>21</v>
      </c>
      <c r="D59" s="36">
        <f>IFERROR(HLOOKUP($J$1,[1]DB!$C$1:$K$172,59,FALSE),"")</f>
        <v>6</v>
      </c>
      <c r="E59" s="36">
        <f>SUMIFS('[1]Rincian Keluar'!$G:$G,'[1]Rincian Keluar'!$E:$E,'PELANGI 02'!C59,'[1]Rincian Keluar'!$D:$D,'PELANGI 02'!$D$1,'[1]Rincian Keluar'!$H:$H,'PELANGI 02'!$J$1,'[1]Rincian Keluar'!$F:$F,'PELANGI 02'!M59)</f>
        <v>0</v>
      </c>
      <c r="F59" s="37">
        <v>11000</v>
      </c>
      <c r="G59" s="67">
        <f t="shared" si="8"/>
        <v>0</v>
      </c>
      <c r="H59" s="68"/>
      <c r="I59" s="61"/>
      <c r="J59" s="71"/>
      <c r="K59" s="70"/>
      <c r="M59" s="20" t="str">
        <f t="shared" si="9"/>
        <v>BATA</v>
      </c>
    </row>
    <row r="60" spans="1:15" s="20" customFormat="1" ht="18" customHeight="1" x14ac:dyDescent="0.25">
      <c r="A60" s="1"/>
      <c r="B60" s="29" t="s">
        <v>59</v>
      </c>
      <c r="C60" s="65" t="s">
        <v>60</v>
      </c>
      <c r="D60" s="31"/>
      <c r="E60" s="31"/>
      <c r="F60" s="31"/>
      <c r="G60" s="31"/>
      <c r="H60" s="31"/>
      <c r="I60" s="32"/>
      <c r="J60" s="31"/>
      <c r="K60" s="33"/>
    </row>
    <row r="61" spans="1:15" s="20" customFormat="1" ht="18" customHeight="1" x14ac:dyDescent="0.25">
      <c r="A61" s="1"/>
      <c r="B61" s="34">
        <v>1</v>
      </c>
      <c r="C61" s="45" t="s">
        <v>24</v>
      </c>
      <c r="D61" s="36">
        <f>IFERROR(HLOOKUP($J$1,[1]DB!$C$1:$K$172,61,FALSE),"")</f>
        <v>35</v>
      </c>
      <c r="E61" s="36">
        <f>SUMIFS('[1]Rincian Keluar'!$G:$G,'[1]Rincian Keluar'!$E:$E,'PELANGI 02'!C61,'[1]Rincian Keluar'!$D:$D,'PELANGI 02'!$D$1,'[1]Rincian Keluar'!$H:$H,'PELANGI 02'!$J$1,'[1]Rincian Keluar'!$F:$F,'PELANGI 02'!M61)</f>
        <v>0</v>
      </c>
      <c r="F61" s="37">
        <v>60700</v>
      </c>
      <c r="G61" s="75">
        <f>E61*F61</f>
        <v>0</v>
      </c>
      <c r="H61" s="136"/>
      <c r="I61" s="76">
        <f>IFERROR(VLOOKUP($C60,[1]HK!$B$5:$C$14,2,FALSE),"")*$J1</f>
        <v>3125000</v>
      </c>
      <c r="J61" s="169">
        <f>E61*F61</f>
        <v>0</v>
      </c>
      <c r="K61" s="41">
        <v>0.68</v>
      </c>
      <c r="M61" s="20" t="str">
        <f>$C$60</f>
        <v>PLASTER</v>
      </c>
      <c r="O61" s="20" t="s">
        <v>61</v>
      </c>
    </row>
    <row r="62" spans="1:15" s="20" customFormat="1" ht="18" customHeight="1" x14ac:dyDescent="0.25">
      <c r="A62" s="1"/>
      <c r="B62" s="34">
        <v>2</v>
      </c>
      <c r="C62" s="72" t="s">
        <v>31</v>
      </c>
      <c r="D62" s="36">
        <f>IFERROR(HLOOKUP($J$1,[1]DB!$C$1:$K$172,62,FALSE),"")</f>
        <v>7</v>
      </c>
      <c r="E62" s="36">
        <f>SUMIFS('[1]Rincian Keluar'!$G:$G,'[1]Rincian Keluar'!$E:$E,'PELANGI 02'!C62,'[1]Rincian Keluar'!$D:$D,'PELANGI 02'!$D$1,'[1]Rincian Keluar'!$H:$H,'PELANGI 02'!$J$1,'[1]Rincian Keluar'!$F:$F,'PELANGI 02'!M62)</f>
        <v>0</v>
      </c>
      <c r="F62" s="37">
        <v>150000</v>
      </c>
      <c r="G62" s="75">
        <f t="shared" ref="G62:G63" si="10">E62*F62</f>
        <v>0</v>
      </c>
      <c r="H62" s="138"/>
      <c r="I62" s="78"/>
      <c r="J62" s="170"/>
      <c r="K62" s="44"/>
      <c r="M62" s="20" t="str">
        <f t="shared" ref="M62:M63" si="11">$C$60</f>
        <v>PLASTER</v>
      </c>
    </row>
    <row r="63" spans="1:15" ht="18" customHeight="1" x14ac:dyDescent="0.25">
      <c r="B63" s="34">
        <v>3</v>
      </c>
      <c r="C63" s="72" t="s">
        <v>62</v>
      </c>
      <c r="D63" s="36">
        <f>IFERROR(HLOOKUP($J$1,[1]DB!$C$1:$K$172,63,FALSE),"")</f>
        <v>6</v>
      </c>
      <c r="E63" s="36">
        <f>SUMIFS('[1]Rincian Keluar'!$G:$G,'[1]Rincian Keluar'!$E:$E,'PELANGI 02'!C63,'[1]Rincian Keluar'!$D:$D,'PELANGI 02'!$D$1,'[1]Rincian Keluar'!$H:$H,'PELANGI 02'!$J$1,'[1]Rincian Keluar'!$F:$F,'PELANGI 02'!M63)</f>
        <v>0</v>
      </c>
      <c r="F63" s="57">
        <v>8600</v>
      </c>
      <c r="G63" s="75">
        <f t="shared" si="10"/>
        <v>0</v>
      </c>
      <c r="H63" s="140"/>
      <c r="I63" s="80"/>
      <c r="J63" s="171"/>
      <c r="K63" s="49"/>
      <c r="M63" s="20" t="str">
        <f t="shared" si="11"/>
        <v>PLASTER</v>
      </c>
    </row>
    <row r="64" spans="1:15" ht="18" customHeight="1" x14ac:dyDescent="0.25">
      <c r="B64" s="29" t="s">
        <v>63</v>
      </c>
      <c r="C64" s="50" t="s">
        <v>64</v>
      </c>
      <c r="D64" s="31"/>
      <c r="E64" s="31"/>
      <c r="F64" s="31"/>
      <c r="G64" s="31"/>
      <c r="H64" s="31"/>
      <c r="I64" s="32"/>
      <c r="J64" s="31"/>
      <c r="K64" s="33"/>
      <c r="M64" s="20"/>
    </row>
    <row r="65" spans="1:13" ht="18" customHeight="1" x14ac:dyDescent="0.25">
      <c r="B65" s="34">
        <v>1</v>
      </c>
      <c r="C65" s="45" t="s">
        <v>19</v>
      </c>
      <c r="D65" s="36">
        <f>IFERROR(HLOOKUP($J$1,[1]DB!$C$1:$K$172,65,FALSE),"")</f>
        <v>60</v>
      </c>
      <c r="E65" s="36">
        <f>SUMIFS('[1]Rincian Keluar'!$G:$G,'[1]Rincian Keluar'!$E:$E,'PELANGI 02'!C65,'[1]Rincian Keluar'!$D:$D,'PELANGI 02'!$D$1,'[1]Rincian Keluar'!$H:$H,'PELANGI 02'!$J$1,'[1]Rincian Keluar'!$F:$F,'PELANGI 02'!M65)</f>
        <v>0</v>
      </c>
      <c r="F65" s="46">
        <v>11000</v>
      </c>
      <c r="G65" s="82">
        <f>E65*F65</f>
        <v>0</v>
      </c>
      <c r="H65" s="136"/>
      <c r="I65" s="39">
        <f>IFERROR(VLOOKUP($C64,[1]HK!$B$5:$C$14,2,FALSE),"")*$J1</f>
        <v>1670000</v>
      </c>
      <c r="J65" s="137"/>
      <c r="K65" s="84"/>
      <c r="M65" s="20" t="str">
        <f>$C$64</f>
        <v>ATAP</v>
      </c>
    </row>
    <row r="66" spans="1:13" ht="18" customHeight="1" x14ac:dyDescent="0.25">
      <c r="B66" s="34">
        <v>2</v>
      </c>
      <c r="C66" s="45" t="s">
        <v>65</v>
      </c>
      <c r="D66" s="36">
        <f>IFERROR(HLOOKUP($J$1,[1]DB!$C$1:$K$172,66,FALSE),"")</f>
        <v>40</v>
      </c>
      <c r="E66" s="36">
        <f>SUMIFS('[1]Rincian Keluar'!$G:$G,'[1]Rincian Keluar'!$E:$E,'PELANGI 02'!C66,'[1]Rincian Keluar'!$D:$D,'PELANGI 02'!$D$1,'[1]Rincian Keluar'!$H:$H,'PELANGI 02'!$J$1,'[1]Rincian Keluar'!$F:$F,'PELANGI 02'!M66)</f>
        <v>0</v>
      </c>
      <c r="F66" s="85">
        <v>15000</v>
      </c>
      <c r="G66" s="82">
        <f t="shared" ref="G66:G74" si="12">E66*F66</f>
        <v>0</v>
      </c>
      <c r="H66" s="138"/>
      <c r="I66" s="42"/>
      <c r="J66" s="104"/>
      <c r="K66" s="87"/>
      <c r="M66" s="20" t="str">
        <f t="shared" ref="M66:M74" si="13">$C$64</f>
        <v>ATAP</v>
      </c>
    </row>
    <row r="67" spans="1:13" ht="18" customHeight="1" x14ac:dyDescent="0.25">
      <c r="B67" s="34">
        <v>3</v>
      </c>
      <c r="C67" s="45" t="s">
        <v>66</v>
      </c>
      <c r="D67" s="36">
        <f>IFERROR(HLOOKUP($J$1,[1]DB!$C$1:$K$172,67,FALSE),"")</f>
        <v>29</v>
      </c>
      <c r="E67" s="36">
        <f>SUMIFS('[1]Rincian Keluar'!$G:$G,'[1]Rincian Keluar'!$E:$E,'PELANGI 02'!C67,'[1]Rincian Keluar'!$D:$D,'PELANGI 02'!$D$1,'[1]Rincian Keluar'!$H:$H,'PELANGI 02'!$J$1,'[1]Rincian Keluar'!$F:$F,'PELANGI 02'!M67)</f>
        <v>0</v>
      </c>
      <c r="F67" s="85">
        <v>30000</v>
      </c>
      <c r="G67" s="82">
        <f t="shared" si="12"/>
        <v>0</v>
      </c>
      <c r="H67" s="138"/>
      <c r="I67" s="42"/>
      <c r="J67" s="104"/>
      <c r="K67" s="87"/>
      <c r="M67" s="20" t="str">
        <f t="shared" si="13"/>
        <v>ATAP</v>
      </c>
    </row>
    <row r="68" spans="1:13" ht="18" customHeight="1" x14ac:dyDescent="0.25">
      <c r="B68" s="34">
        <v>4</v>
      </c>
      <c r="C68" s="35" t="s">
        <v>67</v>
      </c>
      <c r="D68" s="36">
        <f>IFERROR(HLOOKUP($J$1,[1]DB!$C$1:$K$172,68,FALSE),"")</f>
        <v>9</v>
      </c>
      <c r="E68" s="36">
        <f>SUMIFS('[1]Rincian Keluar'!$G:$G,'[1]Rincian Keluar'!$E:$E,'PELANGI 02'!C68,'[1]Rincian Keluar'!$D:$D,'PELANGI 02'!$D$1,'[1]Rincian Keluar'!$H:$H,'PELANGI 02'!$J$1,'[1]Rincian Keluar'!$F:$F,'PELANGI 02'!M68)</f>
        <v>0</v>
      </c>
      <c r="F68" s="88">
        <v>60000</v>
      </c>
      <c r="G68" s="82">
        <f t="shared" si="12"/>
        <v>0</v>
      </c>
      <c r="H68" s="138"/>
      <c r="I68" s="42"/>
      <c r="J68" s="104"/>
      <c r="K68" s="87"/>
      <c r="M68" s="20" t="str">
        <f t="shared" si="13"/>
        <v>ATAP</v>
      </c>
    </row>
    <row r="69" spans="1:13" ht="18" customHeight="1" x14ac:dyDescent="0.25">
      <c r="B69" s="34">
        <v>5</v>
      </c>
      <c r="C69" s="35" t="s">
        <v>68</v>
      </c>
      <c r="D69" s="36">
        <f>IFERROR(HLOOKUP($J$1,[1]DB!$C$1:$K$172,69,FALSE),"")</f>
        <v>68</v>
      </c>
      <c r="E69" s="36">
        <f>SUMIFS('[1]Rincian Keluar'!$G:$G,'[1]Rincian Keluar'!$E:$E,'PELANGI 02'!C69,'[1]Rincian Keluar'!$D:$D,'PELANGI 02'!$D$1,'[1]Rincian Keluar'!$H:$H,'PELANGI 02'!$J$1,'[1]Rincian Keluar'!$F:$F,'PELANGI 02'!M69)</f>
        <v>0</v>
      </c>
      <c r="F69" s="88">
        <v>52000</v>
      </c>
      <c r="G69" s="82">
        <f t="shared" si="12"/>
        <v>0</v>
      </c>
      <c r="H69" s="138"/>
      <c r="I69" s="42"/>
      <c r="J69" s="104"/>
      <c r="K69" s="87"/>
      <c r="M69" s="20" t="str">
        <f t="shared" si="13"/>
        <v>ATAP</v>
      </c>
    </row>
    <row r="70" spans="1:13" ht="18" customHeight="1" x14ac:dyDescent="0.25">
      <c r="B70" s="34">
        <v>6</v>
      </c>
      <c r="C70" s="35" t="s">
        <v>69</v>
      </c>
      <c r="D70" s="36">
        <f>IFERROR(HLOOKUP($J$1,[1]DB!$C$1:$K$172,70,FALSE),"")</f>
        <v>0</v>
      </c>
      <c r="E70" s="36">
        <f>SUMIFS('[1]Rincian Keluar'!$G:$G,'[1]Rincian Keluar'!$E:$E,'PELANGI 02'!C70,'[1]Rincian Keluar'!$D:$D,'PELANGI 02'!$D$1,'[1]Rincian Keluar'!$H:$H,'PELANGI 02'!$J$1,'[1]Rincian Keluar'!$F:$F,'PELANGI 02'!M70)</f>
        <v>0</v>
      </c>
      <c r="F70" s="88">
        <v>36000</v>
      </c>
      <c r="G70" s="82">
        <f t="shared" si="12"/>
        <v>0</v>
      </c>
      <c r="H70" s="138"/>
      <c r="I70" s="42"/>
      <c r="J70" s="104"/>
      <c r="K70" s="87"/>
      <c r="M70" s="20" t="str">
        <f t="shared" si="13"/>
        <v>ATAP</v>
      </c>
    </row>
    <row r="71" spans="1:13" ht="18" customHeight="1" x14ac:dyDescent="0.25">
      <c r="B71" s="34">
        <v>7</v>
      </c>
      <c r="C71" s="35" t="s">
        <v>70</v>
      </c>
      <c r="D71" s="36">
        <f>IFERROR(HLOOKUP($J$1,[1]DB!$C$1:$K$172,71,FALSE),"")</f>
        <v>0</v>
      </c>
      <c r="E71" s="36">
        <f>SUMIFS('[1]Rincian Keluar'!$G:$G,'[1]Rincian Keluar'!$E:$E,'PELANGI 02'!C71,'[1]Rincian Keluar'!$D:$D,'PELANGI 02'!$D$1,'[1]Rincian Keluar'!$H:$H,'PELANGI 02'!$J$1,'[1]Rincian Keluar'!$F:$F,'PELANGI 02'!M71)</f>
        <v>0</v>
      </c>
      <c r="F71" s="88">
        <v>50000</v>
      </c>
      <c r="G71" s="82">
        <f t="shared" si="12"/>
        <v>0</v>
      </c>
      <c r="H71" s="138"/>
      <c r="I71" s="42"/>
      <c r="J71" s="104"/>
      <c r="K71" s="87"/>
      <c r="M71" s="20" t="str">
        <f t="shared" si="13"/>
        <v>ATAP</v>
      </c>
    </row>
    <row r="72" spans="1:13" ht="18" customHeight="1" x14ac:dyDescent="0.25">
      <c r="B72" s="34">
        <v>8</v>
      </c>
      <c r="C72" s="35" t="s">
        <v>71</v>
      </c>
      <c r="D72" s="36">
        <f>IFERROR(HLOOKUP($J$1,[1]DB!$C$1:$K$172,72,FALSE),"")</f>
        <v>1.5</v>
      </c>
      <c r="E72" s="36">
        <f>SUMIFS('[1]Rincian Keluar'!$G:$G,'[1]Rincian Keluar'!$E:$E,'PELANGI 02'!C72,'[1]Rincian Keluar'!$D:$D,'PELANGI 02'!$D$1,'[1]Rincian Keluar'!$H:$H,'PELANGI 02'!$J$1,'[1]Rincian Keluar'!$F:$F,'PELANGI 02'!M72)</f>
        <v>0</v>
      </c>
      <c r="F72" s="88">
        <v>650000</v>
      </c>
      <c r="G72" s="82">
        <f t="shared" si="12"/>
        <v>0</v>
      </c>
      <c r="H72" s="138"/>
      <c r="I72" s="42"/>
      <c r="J72" s="104"/>
      <c r="K72" s="87"/>
      <c r="M72" s="20" t="str">
        <f t="shared" si="13"/>
        <v>ATAP</v>
      </c>
    </row>
    <row r="73" spans="1:13" ht="18" customHeight="1" x14ac:dyDescent="0.25">
      <c r="B73" s="34">
        <v>9</v>
      </c>
      <c r="C73" s="35" t="s">
        <v>72</v>
      </c>
      <c r="D73" s="36">
        <f>IFERROR(HLOOKUP($J$1,[1]DB!$C$1:$K$172,73,FALSE),"")</f>
        <v>1</v>
      </c>
      <c r="E73" s="36">
        <f>SUMIFS('[1]Rincian Keluar'!$G:$G,'[1]Rincian Keluar'!$E:$E,'PELANGI 02'!C73,'[1]Rincian Keluar'!$D:$D,'PELANGI 02'!$D$1,'[1]Rincian Keluar'!$H:$H,'PELANGI 02'!$J$1,'[1]Rincian Keluar'!$F:$F,'PELANGI 02'!M73)</f>
        <v>0</v>
      </c>
      <c r="F73" s="88">
        <v>130000</v>
      </c>
      <c r="G73" s="82">
        <f t="shared" si="12"/>
        <v>0</v>
      </c>
      <c r="H73" s="138"/>
      <c r="I73" s="42"/>
      <c r="J73" s="104"/>
      <c r="K73" s="87"/>
      <c r="M73" s="20" t="str">
        <f t="shared" si="13"/>
        <v>ATAP</v>
      </c>
    </row>
    <row r="74" spans="1:13" ht="18" customHeight="1" x14ac:dyDescent="0.25">
      <c r="B74" s="34">
        <v>10</v>
      </c>
      <c r="C74" s="35" t="s">
        <v>73</v>
      </c>
      <c r="D74" s="36">
        <f>IFERROR(HLOOKUP($J$1,[1]DB!$C$1:$K$172,74,FALSE),"")</f>
        <v>1</v>
      </c>
      <c r="E74" s="36">
        <f>SUMIFS('[1]Rincian Keluar'!$G:$G,'[1]Rincian Keluar'!$E:$E,'PELANGI 02'!C74,'[1]Rincian Keluar'!$D:$D,'PELANGI 02'!$D$1,'[1]Rincian Keluar'!$H:$H,'PELANGI 02'!$J$1,'[1]Rincian Keluar'!$F:$F,'PELANGI 02'!M74)</f>
        <v>0</v>
      </c>
      <c r="F74" s="88">
        <v>130000</v>
      </c>
      <c r="G74" s="82">
        <f t="shared" si="12"/>
        <v>0</v>
      </c>
      <c r="H74" s="140"/>
      <c r="I74" s="47"/>
      <c r="J74" s="106"/>
      <c r="K74" s="90"/>
      <c r="M74" s="20" t="str">
        <f t="shared" si="13"/>
        <v>ATAP</v>
      </c>
    </row>
    <row r="75" spans="1:13" ht="18" customHeight="1" x14ac:dyDescent="0.25">
      <c r="B75" s="29" t="s">
        <v>74</v>
      </c>
      <c r="C75" s="50" t="s">
        <v>75</v>
      </c>
      <c r="D75" s="31"/>
      <c r="E75" s="31"/>
      <c r="F75" s="31"/>
      <c r="G75" s="31"/>
      <c r="H75" s="31"/>
      <c r="I75" s="32"/>
      <c r="J75" s="31"/>
      <c r="K75" s="33"/>
      <c r="M75" s="20"/>
    </row>
    <row r="76" spans="1:13" ht="18" customHeight="1" x14ac:dyDescent="0.25">
      <c r="B76" s="96">
        <v>1</v>
      </c>
      <c r="C76" s="97" t="s">
        <v>19</v>
      </c>
      <c r="D76" s="36">
        <f>IFERROR(HLOOKUP($J$1,[1]DB!$C$1:$K$172,76,FALSE),"")</f>
        <v>86</v>
      </c>
      <c r="E76" s="36">
        <f>SUMIFS('[1]Rincian Keluar'!$G:$G,'[1]Rincian Keluar'!$E:$E,'PELANGI 02'!C76,'[1]Rincian Keluar'!$D:$D,'PELANGI 02'!$D$1,'[1]Rincian Keluar'!$H:$H,'PELANGI 02'!$J$1,'[1]Rincian Keluar'!$F:$F,'PELANGI 02'!M76)</f>
        <v>0</v>
      </c>
      <c r="F76" s="46">
        <v>11000</v>
      </c>
      <c r="G76" s="98">
        <f>E76*F76</f>
        <v>0</v>
      </c>
      <c r="H76" s="172"/>
      <c r="I76" s="39">
        <f>IFERROR(VLOOKUP($C75,[1]HK!$B$5:$C$14,2,FALSE),"")*$J1</f>
        <v>975000</v>
      </c>
      <c r="J76" s="173"/>
      <c r="K76" s="103"/>
      <c r="M76" s="20" t="str">
        <f>$C$75</f>
        <v>DEK</v>
      </c>
    </row>
    <row r="77" spans="1:13" ht="18" customHeight="1" x14ac:dyDescent="0.25">
      <c r="B77" s="96">
        <v>2</v>
      </c>
      <c r="C77" s="97" t="s">
        <v>76</v>
      </c>
      <c r="D77" s="36">
        <f>IFERROR(HLOOKUP($J$1,[1]DB!$C$1:$K$172,77,FALSE),"")</f>
        <v>23</v>
      </c>
      <c r="E77" s="36">
        <f>SUMIFS('[1]Rincian Keluar'!$G:$G,'[1]Rincian Keluar'!$E:$E,'PELANGI 02'!C77,'[1]Rincian Keluar'!$D:$D,'PELANGI 02'!$D$1,'[1]Rincian Keluar'!$H:$H,'PELANGI 02'!$J$1,'[1]Rincian Keluar'!$F:$F,'PELANGI 02'!M77)</f>
        <v>0</v>
      </c>
      <c r="F77" s="57">
        <v>60000</v>
      </c>
      <c r="G77" s="98">
        <f t="shared" ref="G77:G81" si="14">E77*F77</f>
        <v>0</v>
      </c>
      <c r="H77" s="119"/>
      <c r="I77" s="42"/>
      <c r="J77" s="111"/>
      <c r="K77" s="105"/>
      <c r="M77" s="20" t="str">
        <f t="shared" ref="M77:M81" si="15">$C$75</f>
        <v>DEK</v>
      </c>
    </row>
    <row r="78" spans="1:13" ht="18" customHeight="1" x14ac:dyDescent="0.25">
      <c r="B78" s="96">
        <v>3</v>
      </c>
      <c r="C78" s="97" t="s">
        <v>77</v>
      </c>
      <c r="D78" s="36">
        <f>IFERROR(HLOOKUP($J$1,[1]DB!$C$1:$K$172,78,FALSE),"")</f>
        <v>4</v>
      </c>
      <c r="E78" s="36">
        <f>SUMIFS('[1]Rincian Keluar'!$G:$G,'[1]Rincian Keluar'!$E:$E,'PELANGI 02'!C78,'[1]Rincian Keluar'!$D:$D,'PELANGI 02'!$D$1,'[1]Rincian Keluar'!$H:$H,'PELANGI 02'!$J$1,'[1]Rincian Keluar'!$F:$F,'PELANGI 02'!M78)</f>
        <v>0</v>
      </c>
      <c r="F78" s="57">
        <v>37000</v>
      </c>
      <c r="G78" s="98">
        <f t="shared" si="14"/>
        <v>0</v>
      </c>
      <c r="H78" s="119"/>
      <c r="I78" s="42"/>
      <c r="J78" s="111"/>
      <c r="K78" s="105"/>
      <c r="M78" s="20" t="str">
        <f t="shared" si="15"/>
        <v>DEK</v>
      </c>
    </row>
    <row r="79" spans="1:13" s="20" customFormat="1" ht="18" customHeight="1" x14ac:dyDescent="0.25">
      <c r="A79" s="1"/>
      <c r="B79" s="96">
        <v>4</v>
      </c>
      <c r="C79" s="97" t="s">
        <v>78</v>
      </c>
      <c r="D79" s="36">
        <f>IFERROR(HLOOKUP($J$1,[1]DB!$C$1:$K$172,79,FALSE),"")</f>
        <v>1</v>
      </c>
      <c r="E79" s="36">
        <f>SUMIFS('[1]Rincian Keluar'!$G:$G,'[1]Rincian Keluar'!$E:$E,'PELANGI 02'!C79,'[1]Rincian Keluar'!$D:$D,'PELANGI 02'!$D$1,'[1]Rincian Keluar'!$H:$H,'PELANGI 02'!$J$1,'[1]Rincian Keluar'!$F:$F,'PELANGI 02'!M79)</f>
        <v>0</v>
      </c>
      <c r="F79" s="57">
        <v>5000</v>
      </c>
      <c r="G79" s="98">
        <f t="shared" si="14"/>
        <v>0</v>
      </c>
      <c r="H79" s="119"/>
      <c r="I79" s="42"/>
      <c r="J79" s="111"/>
      <c r="K79" s="105"/>
      <c r="M79" s="20" t="str">
        <f t="shared" si="15"/>
        <v>DEK</v>
      </c>
    </row>
    <row r="80" spans="1:13" s="20" customFormat="1" ht="18" customHeight="1" x14ac:dyDescent="0.25">
      <c r="A80" s="1"/>
      <c r="B80" s="96">
        <v>5</v>
      </c>
      <c r="C80" s="97" t="s">
        <v>79</v>
      </c>
      <c r="D80" s="36">
        <f>IFERROR(HLOOKUP($J$1,[1]DB!$C$1:$K$172,80,FALSE),"")</f>
        <v>1</v>
      </c>
      <c r="E80" s="36">
        <f>SUMIFS('[1]Rincian Keluar'!$G:$G,'[1]Rincian Keluar'!$E:$E,'PELANGI 02'!C80,'[1]Rincian Keluar'!$D:$D,'PELANGI 02'!$D$1,'[1]Rincian Keluar'!$H:$H,'PELANGI 02'!$J$1,'[1]Rincian Keluar'!$F:$F,'PELANGI 02'!M80)</f>
        <v>0</v>
      </c>
      <c r="F80" s="57">
        <v>130000</v>
      </c>
      <c r="G80" s="98">
        <f t="shared" si="14"/>
        <v>0</v>
      </c>
      <c r="H80" s="119"/>
      <c r="I80" s="42"/>
      <c r="J80" s="111"/>
      <c r="K80" s="105"/>
      <c r="M80" s="20" t="str">
        <f t="shared" si="15"/>
        <v>DEK</v>
      </c>
    </row>
    <row r="81" spans="1:13" s="20" customFormat="1" ht="18" customHeight="1" x14ac:dyDescent="0.25">
      <c r="A81" s="1"/>
      <c r="B81" s="96">
        <v>6</v>
      </c>
      <c r="C81" s="97" t="s">
        <v>80</v>
      </c>
      <c r="D81" s="36">
        <f>IFERROR(HLOOKUP($J$1,[1]DB!$C$1:$K$172,81,FALSE),"")</f>
        <v>1</v>
      </c>
      <c r="E81" s="36">
        <f>SUMIFS('[1]Rincian Keluar'!$G:$G,'[1]Rincian Keluar'!$E:$E,'PELANGI 02'!C81,'[1]Rincian Keluar'!$D:$D,'PELANGI 02'!$D$1,'[1]Rincian Keluar'!$H:$H,'PELANGI 02'!$J$1,'[1]Rincian Keluar'!$F:$F,'PELANGI 02'!M81)</f>
        <v>0</v>
      </c>
      <c r="F81" s="57">
        <v>130000</v>
      </c>
      <c r="G81" s="98">
        <f t="shared" si="14"/>
        <v>0</v>
      </c>
      <c r="H81" s="122"/>
      <c r="I81" s="47"/>
      <c r="J81" s="113"/>
      <c r="K81" s="107"/>
      <c r="M81" s="20" t="str">
        <f t="shared" si="15"/>
        <v>DEK</v>
      </c>
    </row>
    <row r="82" spans="1:13" s="20" customFormat="1" ht="18" customHeight="1" x14ac:dyDescent="0.25">
      <c r="A82" s="1"/>
      <c r="B82" s="29" t="s">
        <v>81</v>
      </c>
      <c r="C82" s="50" t="s">
        <v>82</v>
      </c>
      <c r="D82" s="31"/>
      <c r="E82" s="31"/>
      <c r="F82" s="31"/>
      <c r="G82" s="31"/>
      <c r="H82" s="31"/>
      <c r="I82" s="32"/>
      <c r="J82" s="31"/>
      <c r="K82" s="33"/>
    </row>
    <row r="83" spans="1:13" s="20" customFormat="1" ht="18" customHeight="1" x14ac:dyDescent="0.25">
      <c r="A83" s="1"/>
      <c r="B83" s="96">
        <v>1</v>
      </c>
      <c r="C83" s="97" t="s">
        <v>54</v>
      </c>
      <c r="D83" s="36">
        <f>IFERROR(HLOOKUP($J$1,[1]DB!$C$1:$K$172,83,FALSE),"")</f>
        <v>109</v>
      </c>
      <c r="E83" s="36">
        <f>SUMIFS('[1]Rincian Keluar'!$G:$G,'[1]Rincian Keluar'!$E:$E,'PELANGI 02'!C83,'[1]Rincian Keluar'!$D:$D,'PELANGI 02'!$D$1,'[1]Rincian Keluar'!$H:$H,'PELANGI 02'!$J$1,'[1]Rincian Keluar'!$F:$F,'PELANGI 02'!M83)</f>
        <v>0</v>
      </c>
      <c r="F83" s="37">
        <v>1850</v>
      </c>
      <c r="G83" s="98">
        <f>E83*F83</f>
        <v>0</v>
      </c>
      <c r="H83" s="172"/>
      <c r="I83" s="39">
        <f>IFERROR(VLOOKUP($C82,[1]HK!$B$5:$C$20,2,FALSE),"")*$J1</f>
        <v>630000</v>
      </c>
      <c r="J83" s="173"/>
      <c r="K83" s="103"/>
      <c r="M83" s="20" t="str">
        <f>$C$82</f>
        <v>MINIMALIS</v>
      </c>
    </row>
    <row r="84" spans="1:13" s="20" customFormat="1" ht="18" customHeight="1" x14ac:dyDescent="0.25">
      <c r="A84" s="1"/>
      <c r="B84" s="96">
        <v>2</v>
      </c>
      <c r="C84" s="97" t="s">
        <v>31</v>
      </c>
      <c r="D84" s="36">
        <f>IFERROR(HLOOKUP($J$1,[1]DB!$C$1:$K$172,84,FALSE),"")</f>
        <v>3</v>
      </c>
      <c r="E84" s="36">
        <f>SUMIFS('[1]Rincian Keluar'!$G:$G,'[1]Rincian Keluar'!$E:$E,'PELANGI 02'!C84,'[1]Rincian Keluar'!$D:$D,'PELANGI 02'!$D$1,'[1]Rincian Keluar'!$H:$H,'PELANGI 02'!$J$1,'[1]Rincian Keluar'!$F:$F,'PELANGI 02'!M84)</f>
        <v>0</v>
      </c>
      <c r="F84" s="37">
        <v>150000</v>
      </c>
      <c r="G84" s="98">
        <f t="shared" ref="G84:G86" si="16">E84*F84</f>
        <v>0</v>
      </c>
      <c r="H84" s="119"/>
      <c r="I84" s="42"/>
      <c r="J84" s="111"/>
      <c r="K84" s="105"/>
      <c r="M84" s="20" t="str">
        <f t="shared" ref="M84:M86" si="17">$C$82</f>
        <v>MINIMALIS</v>
      </c>
    </row>
    <row r="85" spans="1:13" s="20" customFormat="1" ht="18" customHeight="1" x14ac:dyDescent="0.25">
      <c r="A85" s="1"/>
      <c r="B85" s="96">
        <v>3</v>
      </c>
      <c r="C85" s="45" t="s">
        <v>24</v>
      </c>
      <c r="D85" s="36">
        <f>IFERROR(HLOOKUP($J$1,[1]DB!$C$1:$K$172,85,FALSE),"")</f>
        <v>9</v>
      </c>
      <c r="E85" s="36">
        <f>SUMIFS('[1]Rincian Keluar'!$G:$G,'[1]Rincian Keluar'!$E:$E,'PELANGI 02'!C85,'[1]Rincian Keluar'!$D:$D,'PELANGI 02'!$D$1,'[1]Rincian Keluar'!$H:$H,'PELANGI 02'!$J$1,'[1]Rincian Keluar'!$F:$F,'PELANGI 02'!M85)</f>
        <v>0</v>
      </c>
      <c r="F85" s="37">
        <v>60700</v>
      </c>
      <c r="G85" s="98">
        <f t="shared" si="16"/>
        <v>0</v>
      </c>
      <c r="H85" s="119"/>
      <c r="I85" s="42"/>
      <c r="J85" s="111"/>
      <c r="K85" s="105"/>
      <c r="M85" s="20" t="str">
        <f t="shared" si="17"/>
        <v>MINIMALIS</v>
      </c>
    </row>
    <row r="86" spans="1:13" s="20" customFormat="1" ht="18" customHeight="1" x14ac:dyDescent="0.25">
      <c r="A86" s="1"/>
      <c r="B86" s="96">
        <v>4</v>
      </c>
      <c r="C86" s="45" t="s">
        <v>83</v>
      </c>
      <c r="D86" s="36">
        <f>IFERROR(HLOOKUP($J$1,[1]DB!$C$1:$K$172,86,FALSE),"")</f>
        <v>7</v>
      </c>
      <c r="E86" s="36">
        <f>SUMIFS('[1]Rincian Keluar'!$G:$G,'[1]Rincian Keluar'!$E:$E,'PELANGI 02'!C86,'[1]Rincian Keluar'!$D:$D,'PELANGI 02'!$D$1,'[1]Rincian Keluar'!$H:$H,'PELANGI 02'!$J$1,'[1]Rincian Keluar'!$F:$F,'PELANGI 02'!M86)</f>
        <v>0</v>
      </c>
      <c r="F86" s="37">
        <v>165000</v>
      </c>
      <c r="G86" s="98">
        <f t="shared" si="16"/>
        <v>0</v>
      </c>
      <c r="H86" s="122"/>
      <c r="I86" s="47"/>
      <c r="J86" s="113"/>
      <c r="K86" s="107"/>
      <c r="M86" s="20" t="str">
        <f t="shared" si="17"/>
        <v>MINIMALIS</v>
      </c>
    </row>
    <row r="87" spans="1:13" s="20" customFormat="1" ht="18" customHeight="1" x14ac:dyDescent="0.25">
      <c r="A87" s="1"/>
      <c r="B87" s="91" t="s">
        <v>84</v>
      </c>
      <c r="C87" s="92" t="s">
        <v>85</v>
      </c>
      <c r="D87" s="93"/>
      <c r="E87" s="93"/>
      <c r="F87" s="93"/>
      <c r="G87" s="93"/>
      <c r="H87" s="93"/>
      <c r="I87" s="94"/>
      <c r="J87" s="93"/>
      <c r="K87" s="95"/>
    </row>
    <row r="88" spans="1:13" s="20" customFormat="1" ht="18" customHeight="1" x14ac:dyDescent="0.25">
      <c r="A88" s="1"/>
      <c r="B88" s="34">
        <v>1</v>
      </c>
      <c r="C88" s="45" t="s">
        <v>24</v>
      </c>
      <c r="D88" s="36">
        <f>IFERROR(HLOOKUP($J$1,[1]DB!$C$1:$K$172,88,FALSE),"")</f>
        <v>22</v>
      </c>
      <c r="E88" s="36">
        <f>SUMIFS('[1]Rincian Keluar'!$G:$G,'[1]Rincian Keluar'!$E:$E,'PELANGI 02'!C88,'[1]Rincian Keluar'!$D:$D,'PELANGI 02'!$D$1,'[1]Rincian Keluar'!$H:$H,'PELANGI 02'!$J$1,'[1]Rincian Keluar'!$F:$F,'PELANGI 02'!M88)</f>
        <v>14</v>
      </c>
      <c r="F88" s="37">
        <v>60700</v>
      </c>
      <c r="G88" s="98">
        <f>E88*F88</f>
        <v>849800</v>
      </c>
      <c r="H88" s="108">
        <v>504000</v>
      </c>
      <c r="I88" s="39">
        <f>IFERROR(VLOOKUP($C87,[1]HK!$B$5:$C$20,2,FALSE),"")*$J1</f>
        <v>835000</v>
      </c>
      <c r="J88" s="109">
        <f>I88-H88</f>
        <v>331000</v>
      </c>
      <c r="K88" s="103">
        <v>1</v>
      </c>
      <c r="M88" s="20" t="str">
        <f>$C$87</f>
        <v>CARPORT</v>
      </c>
    </row>
    <row r="89" spans="1:13" s="20" customFormat="1" ht="18" customHeight="1" x14ac:dyDescent="0.25">
      <c r="A89" s="1"/>
      <c r="B89" s="34">
        <v>2</v>
      </c>
      <c r="C89" s="35" t="s">
        <v>19</v>
      </c>
      <c r="D89" s="36">
        <f>IFERROR(HLOOKUP($J$1,[1]DB!$C$1:$K$172,89,FALSE),"")</f>
        <v>8</v>
      </c>
      <c r="E89" s="36">
        <f>SUMIFS('[1]Rincian Keluar'!$G:$G,'[1]Rincian Keluar'!$E:$E,'PELANGI 02'!C89,'[1]Rincian Keluar'!$D:$D,'PELANGI 02'!$D$1,'[1]Rincian Keluar'!$H:$H,'PELANGI 02'!$J$1,'[1]Rincian Keluar'!$F:$F,'PELANGI 02'!M89)</f>
        <v>5</v>
      </c>
      <c r="F89" s="46">
        <v>11000</v>
      </c>
      <c r="G89" s="98">
        <f t="shared" ref="G89:G95" si="18">E89*F89</f>
        <v>55000</v>
      </c>
      <c r="H89" s="110"/>
      <c r="I89" s="42"/>
      <c r="J89" s="111"/>
      <c r="K89" s="105"/>
      <c r="M89" s="20" t="str">
        <f t="shared" ref="M89:M96" si="19">$C$87</f>
        <v>CARPORT</v>
      </c>
    </row>
    <row r="90" spans="1:13" s="20" customFormat="1" ht="18" customHeight="1" x14ac:dyDescent="0.25">
      <c r="A90" s="1"/>
      <c r="B90" s="34">
        <v>3</v>
      </c>
      <c r="C90" s="35" t="s">
        <v>20</v>
      </c>
      <c r="D90" s="36">
        <f>IFERROR(HLOOKUP($J$1,[1]DB!$C$1:$K$172,90,FALSE),"")</f>
        <v>5</v>
      </c>
      <c r="E90" s="36">
        <f>SUMIFS('[1]Rincian Keluar'!$G:$G,'[1]Rincian Keluar'!$E:$E,'PELANGI 02'!C90,'[1]Rincian Keluar'!$D:$D,'PELANGI 02'!$D$1,'[1]Rincian Keluar'!$H:$H,'PELANGI 02'!$J$1,'[1]Rincian Keluar'!$F:$F,'PELANGI 02'!M90)</f>
        <v>5</v>
      </c>
      <c r="F90" s="37">
        <v>8000</v>
      </c>
      <c r="G90" s="98">
        <f t="shared" si="18"/>
        <v>40000</v>
      </c>
      <c r="H90" s="110"/>
      <c r="I90" s="42"/>
      <c r="J90" s="111"/>
      <c r="K90" s="105"/>
      <c r="M90" s="20" t="str">
        <f t="shared" si="19"/>
        <v>CARPORT</v>
      </c>
    </row>
    <row r="91" spans="1:13" s="20" customFormat="1" ht="18" customHeight="1" x14ac:dyDescent="0.25">
      <c r="A91" s="1"/>
      <c r="B91" s="34">
        <v>4</v>
      </c>
      <c r="C91" s="35" t="s">
        <v>21</v>
      </c>
      <c r="D91" s="36">
        <f>IFERROR(HLOOKUP($J$1,[1]DB!$C$1:$K$172,91,FALSE),"")</f>
        <v>10</v>
      </c>
      <c r="E91" s="36">
        <f>SUMIFS('[1]Rincian Keluar'!$G:$G,'[1]Rincian Keluar'!$E:$E,'PELANGI 02'!C91,'[1]Rincian Keluar'!$D:$D,'PELANGI 02'!$D$1,'[1]Rincian Keluar'!$H:$H,'PELANGI 02'!$J$1,'[1]Rincian Keluar'!$F:$F,'PELANGI 02'!M91)</f>
        <v>10</v>
      </c>
      <c r="F91" s="37">
        <v>11000</v>
      </c>
      <c r="G91" s="98">
        <f t="shared" si="18"/>
        <v>110000</v>
      </c>
      <c r="H91" s="110"/>
      <c r="I91" s="42"/>
      <c r="J91" s="111"/>
      <c r="K91" s="105"/>
      <c r="M91" s="20" t="str">
        <f t="shared" si="19"/>
        <v>CARPORT</v>
      </c>
    </row>
    <row r="92" spans="1:13" s="20" customFormat="1" ht="18" customHeight="1" x14ac:dyDescent="0.25">
      <c r="A92" s="1"/>
      <c r="B92" s="34">
        <v>5</v>
      </c>
      <c r="C92" s="35" t="s">
        <v>32</v>
      </c>
      <c r="D92" s="36">
        <f>IFERROR(HLOOKUP($J$1,[1]DB!$C$1:$K$172,92,FALSE),"")</f>
        <v>7</v>
      </c>
      <c r="E92" s="36">
        <f>SUMIFS('[1]Rincian Keluar'!$G:$G,'[1]Rincian Keluar'!$E:$E,'PELANGI 02'!C92,'[1]Rincian Keluar'!$D:$D,'PELANGI 02'!$D$1,'[1]Rincian Keluar'!$H:$H,'PELANGI 02'!$J$1,'[1]Rincian Keluar'!$F:$F,'PELANGI 02'!M92)</f>
        <v>7</v>
      </c>
      <c r="F92" s="57">
        <v>15000</v>
      </c>
      <c r="G92" s="98">
        <f t="shared" si="18"/>
        <v>105000</v>
      </c>
      <c r="H92" s="110"/>
      <c r="I92" s="42"/>
      <c r="J92" s="111"/>
      <c r="K92" s="105"/>
      <c r="M92" s="20" t="str">
        <f t="shared" si="19"/>
        <v>CARPORT</v>
      </c>
    </row>
    <row r="93" spans="1:13" s="20" customFormat="1" ht="18" customHeight="1" x14ac:dyDescent="0.25">
      <c r="A93" s="1"/>
      <c r="B93" s="34">
        <v>6</v>
      </c>
      <c r="C93" s="45" t="s">
        <v>17</v>
      </c>
      <c r="D93" s="36">
        <f>IFERROR(HLOOKUP($J$1,[1]DB!$C$1:$K$172,93,FALSE),"")</f>
        <v>2</v>
      </c>
      <c r="E93" s="36">
        <f>SUMIFS('[1]Rincian Keluar'!$G:$G,'[1]Rincian Keluar'!$E:$E,'PELANGI 02'!C93,'[1]Rincian Keluar'!$D:$D,'PELANGI 02'!$D$1,'[1]Rincian Keluar'!$H:$H,'PELANGI 02'!$J$1,'[1]Rincian Keluar'!$F:$F,'PELANGI 02'!M93)</f>
        <v>2</v>
      </c>
      <c r="F93" s="37">
        <v>22000</v>
      </c>
      <c r="G93" s="98">
        <f t="shared" si="18"/>
        <v>44000</v>
      </c>
      <c r="H93" s="110"/>
      <c r="I93" s="42"/>
      <c r="J93" s="111"/>
      <c r="K93" s="105"/>
      <c r="M93" s="20" t="str">
        <f t="shared" si="19"/>
        <v>CARPORT</v>
      </c>
    </row>
    <row r="94" spans="1:13" s="20" customFormat="1" ht="18" customHeight="1" x14ac:dyDescent="0.25">
      <c r="A94" s="1"/>
      <c r="B94" s="34">
        <v>7</v>
      </c>
      <c r="C94" s="45" t="s">
        <v>57</v>
      </c>
      <c r="D94" s="36">
        <f>IFERROR(HLOOKUP($J$1,[1]DB!$C$1:$K$172,94,FALSE),"")</f>
        <v>15</v>
      </c>
      <c r="E94" s="36">
        <f>SUMIFS('[1]Rincian Keluar'!$G:$G,'[1]Rincian Keluar'!$E:$E,'PELANGI 02'!C94,'[1]Rincian Keluar'!$D:$D,'PELANGI 02'!$D$1,'[1]Rincian Keluar'!$H:$H,'PELANGI 02'!$J$1,'[1]Rincian Keluar'!$F:$F,'PELANGI 02'!M94)</f>
        <v>4</v>
      </c>
      <c r="F94" s="37">
        <v>35000</v>
      </c>
      <c r="G94" s="98">
        <f t="shared" si="18"/>
        <v>140000</v>
      </c>
      <c r="H94" s="110"/>
      <c r="I94" s="42"/>
      <c r="J94" s="111"/>
      <c r="K94" s="105"/>
      <c r="M94" s="20" t="str">
        <f t="shared" si="19"/>
        <v>CARPORT</v>
      </c>
    </row>
    <row r="95" spans="1:13" s="20" customFormat="1" ht="18" customHeight="1" x14ac:dyDescent="0.25">
      <c r="A95" s="1"/>
      <c r="B95" s="34">
        <v>8</v>
      </c>
      <c r="C95" s="45" t="s">
        <v>23</v>
      </c>
      <c r="D95" s="36">
        <f>IFERROR(HLOOKUP($J$1,[1]DB!$C$1:$K$172,95,FALSE),"")</f>
        <v>1</v>
      </c>
      <c r="E95" s="36">
        <f>SUMIFS('[1]Rincian Keluar'!$G:$G,'[1]Rincian Keluar'!$E:$E,'PELANGI 02'!C95,'[1]Rincian Keluar'!$D:$D,'PELANGI 02'!$D$1,'[1]Rincian Keluar'!$H:$H,'PELANGI 02'!$J$1,'[1]Rincian Keluar'!$F:$F,'PELANGI 02'!M95)</f>
        <v>0.5</v>
      </c>
      <c r="F95" s="37">
        <v>500000</v>
      </c>
      <c r="G95" s="98">
        <f t="shared" si="18"/>
        <v>250000</v>
      </c>
      <c r="H95" s="110"/>
      <c r="I95" s="42"/>
      <c r="J95" s="111"/>
      <c r="K95" s="105"/>
      <c r="M95" s="20" t="str">
        <f t="shared" si="19"/>
        <v>CARPORT</v>
      </c>
    </row>
    <row r="96" spans="1:13" s="20" customFormat="1" ht="18" customHeight="1" x14ac:dyDescent="0.25">
      <c r="A96" s="1"/>
      <c r="B96" s="34">
        <v>9</v>
      </c>
      <c r="C96" s="45" t="s">
        <v>31</v>
      </c>
      <c r="D96" s="36">
        <f>IFERROR(HLOOKUP($J$1,[1]DB!$C$1:$K$172,96,FALSE),"")</f>
        <v>6</v>
      </c>
      <c r="E96" s="36">
        <f>SUMIFS('[1]Rincian Keluar'!$G:$G,'[1]Rincian Keluar'!$E:$E,'PELANGI 02'!C96,'[1]Rincian Keluar'!$D:$D,'PELANGI 02'!$D$1,'[1]Rincian Keluar'!$H:$H,'PELANGI 02'!$J$1,'[1]Rincian Keluar'!$F:$F,'PELANGI 02'!M96)</f>
        <v>6</v>
      </c>
      <c r="F96" s="37">
        <v>150000</v>
      </c>
      <c r="G96" s="98">
        <f>E96*F96</f>
        <v>900000</v>
      </c>
      <c r="H96" s="112"/>
      <c r="I96" s="47"/>
      <c r="J96" s="113"/>
      <c r="K96" s="107"/>
      <c r="M96" s="20" t="str">
        <f t="shared" si="19"/>
        <v>CARPORT</v>
      </c>
    </row>
    <row r="97" spans="1:13" s="20" customFormat="1" ht="18" customHeight="1" x14ac:dyDescent="0.25">
      <c r="A97" s="1"/>
      <c r="B97" s="34">
        <v>10</v>
      </c>
      <c r="C97" s="45" t="s">
        <v>83</v>
      </c>
      <c r="D97" s="36">
        <f>IFERROR(HLOOKUP($J$1,[1]DB!$C$1:$K$172,97,FALSE),"")</f>
        <v>31</v>
      </c>
      <c r="E97" s="36">
        <f>SUMIFS('[1]Rincian Keluar'!$G:$G,'[1]Rincian Keluar'!$E:$E,'PELANGI 02'!C97,'[1]Rincian Keluar'!$D:$D,'PELANGI 02'!$D$1,'[1]Rincian Keluar'!$H:$H,'PELANGI 02'!$J$1,'[1]Rincian Keluar'!$F:$F,'PELANGI 02'!M97)</f>
        <v>0</v>
      </c>
      <c r="F97" s="37">
        <v>165000</v>
      </c>
      <c r="G97" s="98">
        <f>E97*F97</f>
        <v>0</v>
      </c>
      <c r="H97" s="114"/>
      <c r="I97" s="115"/>
      <c r="J97" s="116"/>
      <c r="K97" s="117"/>
    </row>
    <row r="98" spans="1:13" s="20" customFormat="1" ht="18" customHeight="1" x14ac:dyDescent="0.25">
      <c r="A98" s="1"/>
      <c r="B98" s="29" t="s">
        <v>86</v>
      </c>
      <c r="C98" s="50" t="s">
        <v>87</v>
      </c>
      <c r="D98" s="31"/>
      <c r="E98" s="31"/>
      <c r="F98" s="31"/>
      <c r="G98" s="31"/>
      <c r="H98" s="31"/>
      <c r="I98" s="32"/>
      <c r="J98" s="31"/>
      <c r="K98" s="33"/>
    </row>
    <row r="99" spans="1:13" s="20" customFormat="1" ht="18" customHeight="1" x14ac:dyDescent="0.25">
      <c r="A99" s="1"/>
      <c r="B99" s="34">
        <v>1</v>
      </c>
      <c r="C99" s="45" t="s">
        <v>88</v>
      </c>
      <c r="D99" s="36">
        <f>IFERROR(HLOOKUP($J$1,[1]DB!$C$1:$K$172,99,FALSE),"")</f>
        <v>32</v>
      </c>
      <c r="E99" s="36">
        <f>SUMIFS('[1]Rincian Keluar'!$G:$G,'[1]Rincian Keluar'!$E:$E,'PELANGI 02'!C99,'[1]Rincian Keluar'!$D:$D,'PELANGI 02'!$D$1,'[1]Rincian Keluar'!$H:$H,'PELANGI 02'!$J$1,'[1]Rincian Keluar'!$F:$F,'PELANGI 02'!M99)</f>
        <v>0</v>
      </c>
      <c r="F99" s="37">
        <v>118000</v>
      </c>
      <c r="G99" s="98">
        <f>E99*F99</f>
        <v>0</v>
      </c>
      <c r="H99" s="172"/>
      <c r="I99" s="39">
        <f>IFERROR(VLOOKUP($C98,[1]HK!$B$5:$C$20,2,FALSE),"")*$J1</f>
        <v>1390000</v>
      </c>
      <c r="J99" s="172"/>
      <c r="K99" s="174"/>
      <c r="M99" s="20" t="str">
        <f>$C$98</f>
        <v>KERAMIK</v>
      </c>
    </row>
    <row r="100" spans="1:13" s="20" customFormat="1" ht="18" customHeight="1" x14ac:dyDescent="0.25">
      <c r="A100" s="1"/>
      <c r="B100" s="34">
        <v>2</v>
      </c>
      <c r="C100" s="45" t="s">
        <v>83</v>
      </c>
      <c r="D100" s="36">
        <f>IFERROR(HLOOKUP($J$1,[1]DB!$C$1:$K$172,100,FALSE),"")</f>
        <v>13</v>
      </c>
      <c r="E100" s="36">
        <f>SUMIFS('[1]Rincian Keluar'!$G:$G,'[1]Rincian Keluar'!$E:$E,'PELANGI 02'!C100,'[1]Rincian Keluar'!$D:$D,'PELANGI 02'!$D$1,'[1]Rincian Keluar'!$H:$H,'PELANGI 02'!$J$1,'[1]Rincian Keluar'!$F:$F,'PELANGI 02'!M100)</f>
        <v>0</v>
      </c>
      <c r="F100" s="37">
        <v>165000</v>
      </c>
      <c r="G100" s="98">
        <f t="shared" ref="G100:G103" si="20">E100*F100</f>
        <v>0</v>
      </c>
      <c r="H100" s="119"/>
      <c r="I100" s="42"/>
      <c r="J100" s="119"/>
      <c r="K100" s="175"/>
      <c r="M100" s="20" t="str">
        <f t="shared" ref="M100:M103" si="21">$C$98</f>
        <v>KERAMIK</v>
      </c>
    </row>
    <row r="101" spans="1:13" s="20" customFormat="1" ht="18" customHeight="1" x14ac:dyDescent="0.25">
      <c r="A101" s="1"/>
      <c r="B101" s="34">
        <v>3</v>
      </c>
      <c r="C101" s="45" t="s">
        <v>31</v>
      </c>
      <c r="D101" s="36">
        <f>IFERROR(HLOOKUP($J$1,[1]DB!$C$1:$K$172,101,FALSE),"")</f>
        <v>5</v>
      </c>
      <c r="E101" s="36">
        <f>SUMIFS('[1]Rincian Keluar'!$G:$G,'[1]Rincian Keluar'!$E:$E,'PELANGI 02'!C101,'[1]Rincian Keluar'!$D:$D,'PELANGI 02'!$D$1,'[1]Rincian Keluar'!$H:$H,'PELANGI 02'!$J$1,'[1]Rincian Keluar'!$F:$F,'PELANGI 02'!M101)</f>
        <v>0</v>
      </c>
      <c r="F101" s="37">
        <v>150000</v>
      </c>
      <c r="G101" s="98">
        <f t="shared" si="20"/>
        <v>0</v>
      </c>
      <c r="H101" s="119"/>
      <c r="I101" s="42"/>
      <c r="J101" s="119"/>
      <c r="K101" s="175"/>
      <c r="M101" s="20" t="str">
        <f t="shared" si="21"/>
        <v>KERAMIK</v>
      </c>
    </row>
    <row r="102" spans="1:13" s="20" customFormat="1" ht="18" customHeight="1" x14ac:dyDescent="0.25">
      <c r="A102" s="1"/>
      <c r="B102" s="34">
        <v>4</v>
      </c>
      <c r="C102" s="45" t="s">
        <v>24</v>
      </c>
      <c r="D102" s="36">
        <f>IFERROR(HLOOKUP($J$1,[1]DB!$C$1:$K$172,102,FALSE),"")</f>
        <v>22</v>
      </c>
      <c r="E102" s="36">
        <f>SUMIFS('[1]Rincian Keluar'!$G:$G,'[1]Rincian Keluar'!$E:$E,'PELANGI 02'!C102,'[1]Rincian Keluar'!$D:$D,'PELANGI 02'!$D$1,'[1]Rincian Keluar'!$H:$H,'PELANGI 02'!$J$1,'[1]Rincian Keluar'!$F:$F,'PELANGI 02'!M102)</f>
        <v>0</v>
      </c>
      <c r="F102" s="37">
        <v>60700</v>
      </c>
      <c r="G102" s="98">
        <f t="shared" si="20"/>
        <v>0</v>
      </c>
      <c r="H102" s="119"/>
      <c r="I102" s="42"/>
      <c r="J102" s="119"/>
      <c r="K102" s="175"/>
      <c r="M102" s="20" t="str">
        <f t="shared" si="21"/>
        <v>KERAMIK</v>
      </c>
    </row>
    <row r="103" spans="1:13" s="20" customFormat="1" ht="18" customHeight="1" x14ac:dyDescent="0.25">
      <c r="A103" s="1"/>
      <c r="B103" s="34">
        <v>5</v>
      </c>
      <c r="C103" s="45" t="s">
        <v>89</v>
      </c>
      <c r="D103" s="36">
        <f>IFERROR(HLOOKUP($J$1,[1]DB!$C$1:$K$172,103,FALSE),"")</f>
        <v>5</v>
      </c>
      <c r="E103" s="36">
        <v>0</v>
      </c>
      <c r="F103" s="121">
        <v>15000</v>
      </c>
      <c r="G103" s="98">
        <f t="shared" si="20"/>
        <v>0</v>
      </c>
      <c r="H103" s="176"/>
      <c r="I103" s="47"/>
      <c r="J103" s="122"/>
      <c r="K103" s="177"/>
      <c r="M103" s="20" t="str">
        <f t="shared" si="21"/>
        <v>KERAMIK</v>
      </c>
    </row>
    <row r="104" spans="1:13" s="20" customFormat="1" ht="18" customHeight="1" x14ac:dyDescent="0.25">
      <c r="A104" s="1"/>
      <c r="B104" s="29" t="s">
        <v>90</v>
      </c>
      <c r="C104" s="50" t="s">
        <v>91</v>
      </c>
      <c r="D104" s="31"/>
      <c r="E104" s="31"/>
      <c r="F104" s="31"/>
      <c r="G104" s="31"/>
      <c r="H104" s="31"/>
      <c r="I104" s="32"/>
      <c r="J104" s="31"/>
      <c r="K104" s="33"/>
    </row>
    <row r="105" spans="1:13" s="20" customFormat="1" ht="18" customHeight="1" x14ac:dyDescent="0.25">
      <c r="A105" s="1"/>
      <c r="B105" s="34">
        <v>1</v>
      </c>
      <c r="C105" s="45" t="s">
        <v>92</v>
      </c>
      <c r="D105" s="36">
        <f>IFERROR(HLOOKUP($J$1,[1]DB!$C$1:$K$172,105,FALSE),"")</f>
        <v>3</v>
      </c>
      <c r="E105" s="36">
        <f>SUMIFS('[1]Rincian Keluar'!$G:$G,'[1]Rincian Keluar'!$E:$E,'PELANGI 02'!C105,'[1]Rincian Keluar'!$D:$D,'PELANGI 02'!$D$1,'[1]Rincian Keluar'!$H:$H,'PELANGI 02'!$J$1,'[1]Rincian Keluar'!$F:$F,'PELANGI 02'!M105)</f>
        <v>0</v>
      </c>
      <c r="F105" s="57">
        <v>60000</v>
      </c>
      <c r="G105" s="98">
        <f>E105*F105</f>
        <v>0</v>
      </c>
      <c r="H105" s="172"/>
      <c r="I105" s="39">
        <f>IFERROR(VLOOKUP($C104,[1]HK!$B$5:$C$27,2,FALSE),"")*$J1</f>
        <v>225000</v>
      </c>
      <c r="J105" s="173"/>
      <c r="K105" s="103"/>
      <c r="M105" s="20" t="str">
        <f t="shared" ref="M105:M116" si="22">$C$104</f>
        <v>WC</v>
      </c>
    </row>
    <row r="106" spans="1:13" s="20" customFormat="1" ht="18" customHeight="1" x14ac:dyDescent="0.25">
      <c r="A106" s="1"/>
      <c r="B106" s="34">
        <v>2</v>
      </c>
      <c r="C106" s="45" t="s">
        <v>93</v>
      </c>
      <c r="D106" s="36">
        <f>IFERROR(HLOOKUP($J$1,[1]DB!$C$1:$K$172,106,FALSE),"")</f>
        <v>11</v>
      </c>
      <c r="E106" s="36">
        <f>SUMIFS('[1]Rincian Keluar'!$G:$G,'[1]Rincian Keluar'!$E:$E,'PELANGI 02'!C106,'[1]Rincian Keluar'!$D:$D,'PELANGI 02'!$D$1,'[1]Rincian Keluar'!$H:$H,'PELANGI 02'!$J$1,'[1]Rincian Keluar'!$F:$F,'PELANGI 02'!M106)</f>
        <v>0</v>
      </c>
      <c r="F106" s="57">
        <v>60000</v>
      </c>
      <c r="G106" s="98">
        <f t="shared" ref="G106:G116" si="23">E106*F106</f>
        <v>0</v>
      </c>
      <c r="H106" s="119"/>
      <c r="I106" s="42"/>
      <c r="J106" s="111"/>
      <c r="K106" s="105"/>
      <c r="M106" s="20" t="str">
        <f t="shared" si="22"/>
        <v>WC</v>
      </c>
    </row>
    <row r="107" spans="1:13" s="20" customFormat="1" ht="18" customHeight="1" x14ac:dyDescent="0.25">
      <c r="A107" s="1"/>
      <c r="B107" s="34">
        <v>3</v>
      </c>
      <c r="C107" s="45" t="s">
        <v>94</v>
      </c>
      <c r="D107" s="36">
        <f>IFERROR(HLOOKUP($J$1,[1]DB!$C$1:$K$172,107,FALSE),"")</f>
        <v>2</v>
      </c>
      <c r="E107" s="36">
        <f>SUMIFS('[1]Rincian Keluar'!$G:$G,'[1]Rincian Keluar'!$E:$E,'PELANGI 02'!C107,'[1]Rincian Keluar'!$D:$D,'PELANGI 02'!$D$1,'[1]Rincian Keluar'!$H:$H,'PELANGI 02'!$J$1,'[1]Rincian Keluar'!$F:$F,'PELANGI 02'!M107)</f>
        <v>0</v>
      </c>
      <c r="F107" s="57">
        <v>270000</v>
      </c>
      <c r="G107" s="98">
        <f t="shared" si="23"/>
        <v>0</v>
      </c>
      <c r="H107" s="119"/>
      <c r="I107" s="42"/>
      <c r="J107" s="111"/>
      <c r="K107" s="105"/>
      <c r="M107" s="20" t="str">
        <f t="shared" si="22"/>
        <v>WC</v>
      </c>
    </row>
    <row r="108" spans="1:13" s="20" customFormat="1" ht="18" customHeight="1" x14ac:dyDescent="0.25">
      <c r="A108" s="1"/>
      <c r="B108" s="34">
        <v>4</v>
      </c>
      <c r="C108" s="45" t="s">
        <v>95</v>
      </c>
      <c r="D108" s="36">
        <f>IFERROR(HLOOKUP($J$1,[1]DB!$C$1:$K$172,108,FALSE),"")</f>
        <v>1</v>
      </c>
      <c r="E108" s="36">
        <f>SUMIFS('[1]Rincian Keluar'!$G:$G,'[1]Rincian Keluar'!$E:$E,'PELANGI 02'!C108,'[1]Rincian Keluar'!$D:$D,'PELANGI 02'!$D$1,'[1]Rincian Keluar'!$H:$H,'PELANGI 02'!$J$1,'[1]Rincian Keluar'!$F:$F,'PELANGI 02'!M108)</f>
        <v>0</v>
      </c>
      <c r="F108" s="57">
        <v>780000</v>
      </c>
      <c r="G108" s="98">
        <f t="shared" si="23"/>
        <v>0</v>
      </c>
      <c r="H108" s="119"/>
      <c r="I108" s="42"/>
      <c r="J108" s="111"/>
      <c r="K108" s="105"/>
      <c r="M108" s="20" t="str">
        <f t="shared" si="22"/>
        <v>WC</v>
      </c>
    </row>
    <row r="109" spans="1:13" s="20" customFormat="1" ht="18" customHeight="1" x14ac:dyDescent="0.25">
      <c r="A109" s="1"/>
      <c r="B109" s="34">
        <v>5</v>
      </c>
      <c r="C109" s="45" t="s">
        <v>96</v>
      </c>
      <c r="D109" s="36">
        <f>IFERROR(HLOOKUP($J$1,[1]DB!$C$1:$K$172,109,FALSE),"")</f>
        <v>2</v>
      </c>
      <c r="E109" s="36">
        <f>SUMIFS('[1]Rincian Keluar'!$G:$G,'[1]Rincian Keluar'!$E:$E,'PELANGI 02'!C109,'[1]Rincian Keluar'!$D:$D,'PELANGI 02'!$D$1,'[1]Rincian Keluar'!$H:$H,'PELANGI 02'!$J$1,'[1]Rincian Keluar'!$F:$F,'PELANGI 02'!M109)</f>
        <v>0</v>
      </c>
      <c r="F109" s="57">
        <v>5000</v>
      </c>
      <c r="G109" s="98">
        <f t="shared" si="23"/>
        <v>0</v>
      </c>
      <c r="H109" s="119"/>
      <c r="I109" s="42"/>
      <c r="J109" s="111"/>
      <c r="K109" s="105"/>
      <c r="M109" s="20" t="str">
        <f t="shared" si="22"/>
        <v>WC</v>
      </c>
    </row>
    <row r="110" spans="1:13" s="20" customFormat="1" ht="18" customHeight="1" x14ac:dyDescent="0.25">
      <c r="A110" s="1"/>
      <c r="B110" s="34">
        <v>6</v>
      </c>
      <c r="C110" s="45" t="s">
        <v>31</v>
      </c>
      <c r="D110" s="36">
        <f>IFERROR(HLOOKUP($J$1,[1]DB!$C$1:$K$172,110,FALSE),"")</f>
        <v>1</v>
      </c>
      <c r="E110" s="36">
        <f>SUMIFS('[1]Rincian Keluar'!$G:$G,'[1]Rincian Keluar'!$E:$E,'PELANGI 02'!C110,'[1]Rincian Keluar'!$D:$D,'PELANGI 02'!$D$1,'[1]Rincian Keluar'!$H:$H,'PELANGI 02'!$J$1,'[1]Rincian Keluar'!$F:$F,'PELANGI 02'!M110)</f>
        <v>0</v>
      </c>
      <c r="F110" s="57">
        <v>150000</v>
      </c>
      <c r="G110" s="98">
        <f t="shared" si="23"/>
        <v>0</v>
      </c>
      <c r="H110" s="119"/>
      <c r="I110" s="42"/>
      <c r="J110" s="111"/>
      <c r="K110" s="105"/>
      <c r="M110" s="20" t="str">
        <f t="shared" si="22"/>
        <v>WC</v>
      </c>
    </row>
    <row r="111" spans="1:13" s="20" customFormat="1" ht="18" customHeight="1" x14ac:dyDescent="0.25">
      <c r="A111" s="1"/>
      <c r="B111" s="34">
        <v>7</v>
      </c>
      <c r="C111" s="45" t="s">
        <v>24</v>
      </c>
      <c r="D111" s="36">
        <f>IFERROR(HLOOKUP($J$1,[1]DB!$C$1:$K$172,111,FALSE),"")</f>
        <v>4</v>
      </c>
      <c r="E111" s="36">
        <f>SUMIFS('[1]Rincian Keluar'!$G:$G,'[1]Rincian Keluar'!$E:$E,'PELANGI 02'!C111,'[1]Rincian Keluar'!$D:$D,'PELANGI 02'!$D$1,'[1]Rincian Keluar'!$H:$H,'PELANGI 02'!$J$1,'[1]Rincian Keluar'!$F:$F,'PELANGI 02'!M111)</f>
        <v>0</v>
      </c>
      <c r="F111" s="37">
        <v>60700</v>
      </c>
      <c r="G111" s="98">
        <f t="shared" si="23"/>
        <v>0</v>
      </c>
      <c r="H111" s="119"/>
      <c r="I111" s="42"/>
      <c r="J111" s="111"/>
      <c r="K111" s="105"/>
      <c r="M111" s="20" t="str">
        <f t="shared" si="22"/>
        <v>WC</v>
      </c>
    </row>
    <row r="112" spans="1:13" s="20" customFormat="1" ht="18" customHeight="1" x14ac:dyDescent="0.25">
      <c r="A112" s="1"/>
      <c r="B112" s="34">
        <v>8</v>
      </c>
      <c r="C112" s="45" t="s">
        <v>97</v>
      </c>
      <c r="D112" s="36">
        <f>IFERROR(HLOOKUP($J$1,[1]DB!$C$1:$K$172,112,FALSE),"")</f>
        <v>2</v>
      </c>
      <c r="E112" s="36">
        <f>SUMIFS('[1]Rincian Keluar'!$G:$G,'[1]Rincian Keluar'!$E:$E,'PELANGI 02'!C112,'[1]Rincian Keluar'!$D:$D,'PELANGI 02'!$D$1,'[1]Rincian Keluar'!$H:$H,'PELANGI 02'!$J$1,'[1]Rincian Keluar'!$F:$F,'PELANGI 02'!M112)</f>
        <v>0</v>
      </c>
      <c r="F112" s="57">
        <v>140000</v>
      </c>
      <c r="G112" s="98">
        <f t="shared" si="23"/>
        <v>0</v>
      </c>
      <c r="H112" s="119"/>
      <c r="I112" s="42"/>
      <c r="J112" s="111"/>
      <c r="K112" s="105"/>
      <c r="M112" s="20" t="str">
        <f t="shared" si="22"/>
        <v>WC</v>
      </c>
    </row>
    <row r="113" spans="1:13" s="20" customFormat="1" ht="18" customHeight="1" x14ac:dyDescent="0.25">
      <c r="A113" s="1"/>
      <c r="B113" s="34">
        <v>9</v>
      </c>
      <c r="C113" s="45" t="s">
        <v>98</v>
      </c>
      <c r="D113" s="36">
        <f>IFERROR(HLOOKUP($J$1,[1]DB!$C$1:$K$172,113,FALSE),"")</f>
        <v>2</v>
      </c>
      <c r="E113" s="36">
        <f>SUMIFS('[1]Rincian Keluar'!$G:$G,'[1]Rincian Keluar'!$E:$E,'PELANGI 02'!C113,'[1]Rincian Keluar'!$D:$D,'PELANGI 02'!$D$1,'[1]Rincian Keluar'!$H:$H,'PELANGI 02'!$J$1,'[1]Rincian Keluar'!$F:$F,'PELANGI 02'!M113)</f>
        <v>0</v>
      </c>
      <c r="F113" s="57">
        <v>18000</v>
      </c>
      <c r="G113" s="98">
        <f t="shared" si="23"/>
        <v>0</v>
      </c>
      <c r="H113" s="119"/>
      <c r="I113" s="42"/>
      <c r="J113" s="111"/>
      <c r="K113" s="105"/>
      <c r="M113" s="20" t="str">
        <f t="shared" si="22"/>
        <v>WC</v>
      </c>
    </row>
    <row r="114" spans="1:13" s="20" customFormat="1" ht="18" customHeight="1" x14ac:dyDescent="0.25">
      <c r="A114" s="1"/>
      <c r="B114" s="34">
        <v>10</v>
      </c>
      <c r="C114" s="45" t="s">
        <v>99</v>
      </c>
      <c r="D114" s="36">
        <f>IFERROR(HLOOKUP($J$1,[1]DB!$C$1:$K$172,114,FALSE),"")</f>
        <v>6</v>
      </c>
      <c r="E114" s="36">
        <f>SUMIFS('[1]Rincian Keluar'!$G:$G,'[1]Rincian Keluar'!$E:$E,'PELANGI 02'!C114,'[1]Rincian Keluar'!$D:$D,'PELANGI 02'!$D$1,'[1]Rincian Keluar'!$H:$H,'PELANGI 02'!$J$1,'[1]Rincian Keluar'!$F:$F,'PELANGI 02'!M114)</f>
        <v>0</v>
      </c>
      <c r="F114" s="57">
        <v>2500</v>
      </c>
      <c r="G114" s="98">
        <f t="shared" si="23"/>
        <v>0</v>
      </c>
      <c r="H114" s="119"/>
      <c r="I114" s="42"/>
      <c r="J114" s="111"/>
      <c r="K114" s="105"/>
      <c r="M114" s="20" t="str">
        <f t="shared" si="22"/>
        <v>WC</v>
      </c>
    </row>
    <row r="115" spans="1:13" s="20" customFormat="1" ht="18" customHeight="1" x14ac:dyDescent="0.25">
      <c r="A115" s="1"/>
      <c r="B115" s="34">
        <v>11</v>
      </c>
      <c r="C115" s="45" t="s">
        <v>100</v>
      </c>
      <c r="D115" s="36">
        <f>IFERROR(HLOOKUP($J$1,[1]DB!$C$1:$K$172,115,FALSE),"")</f>
        <v>3</v>
      </c>
      <c r="E115" s="36">
        <f>SUMIFS('[1]Rincian Keluar'!$G:$G,'[1]Rincian Keluar'!$E:$E,'PELANGI 02'!C115,'[1]Rincian Keluar'!$D:$D,'PELANGI 02'!$D$1,'[1]Rincian Keluar'!$H:$H,'PELANGI 02'!$J$1,'[1]Rincian Keluar'!$F:$F,'PELANGI 02'!M115)</f>
        <v>0</v>
      </c>
      <c r="F115" s="57">
        <v>10000</v>
      </c>
      <c r="G115" s="98">
        <f t="shared" si="23"/>
        <v>0</v>
      </c>
      <c r="H115" s="119"/>
      <c r="I115" s="42"/>
      <c r="J115" s="111"/>
      <c r="K115" s="105"/>
      <c r="M115" s="20" t="str">
        <f t="shared" si="22"/>
        <v>WC</v>
      </c>
    </row>
    <row r="116" spans="1:13" ht="18" customHeight="1" x14ac:dyDescent="0.25">
      <c r="B116" s="34">
        <v>12</v>
      </c>
      <c r="C116" s="45" t="s">
        <v>101</v>
      </c>
      <c r="D116" s="36">
        <f>IFERROR(HLOOKUP($J$1,[1]DB!$C$1:$K$172,116,FALSE),"")</f>
        <v>1</v>
      </c>
      <c r="E116" s="36">
        <f>SUMIFS('[1]Rincian Keluar'!$G:$G,'[1]Rincian Keluar'!$E:$E,'PELANGI 02'!C116,'[1]Rincian Keluar'!$D:$D,'PELANGI 02'!$D$1,'[1]Rincian Keluar'!$H:$H,'PELANGI 02'!$J$1,'[1]Rincian Keluar'!$F:$F,'PELANGI 02'!M116)</f>
        <v>0</v>
      </c>
      <c r="F116" s="57">
        <v>5000</v>
      </c>
      <c r="G116" s="98">
        <f t="shared" si="23"/>
        <v>0</v>
      </c>
      <c r="H116" s="122"/>
      <c r="I116" s="47"/>
      <c r="J116" s="113"/>
      <c r="K116" s="107"/>
      <c r="M116" s="20" t="str">
        <f t="shared" si="22"/>
        <v>WC</v>
      </c>
    </row>
    <row r="117" spans="1:13" ht="18" customHeight="1" x14ac:dyDescent="0.25">
      <c r="B117" s="29" t="s">
        <v>102</v>
      </c>
      <c r="C117" s="124" t="s">
        <v>103</v>
      </c>
      <c r="D117" s="31"/>
      <c r="E117" s="31"/>
      <c r="F117" s="31"/>
      <c r="G117" s="31"/>
      <c r="H117" s="31"/>
      <c r="I117" s="32"/>
      <c r="J117" s="31"/>
      <c r="K117" s="33"/>
      <c r="M117" s="20"/>
    </row>
    <row r="118" spans="1:13" ht="18" customHeight="1" x14ac:dyDescent="0.25">
      <c r="B118" s="34">
        <v>1</v>
      </c>
      <c r="C118" s="72" t="s">
        <v>104</v>
      </c>
      <c r="D118" s="36">
        <f>IFERROR(HLOOKUP($J$1,[1]DB!$C$1:$K$172,118,FALSE),"")</f>
        <v>3</v>
      </c>
      <c r="E118" s="36">
        <f>SUMIFS('[1]Rincian Keluar'!$G:$G,'[1]Rincian Keluar'!$E:$E,'PELANGI 02'!C118,'[1]Rincian Keluar'!$D:$D,'PELANGI 02'!$D$1,'[1]Rincian Keluar'!$H:$H,'PELANGI 02'!$J$1,'[1]Rincian Keluar'!$F:$F,'PELANGI 02'!M118)</f>
        <v>0</v>
      </c>
      <c r="F118" s="57">
        <v>124500</v>
      </c>
      <c r="G118" s="98">
        <f>E118*F118</f>
        <v>0</v>
      </c>
      <c r="H118" s="36"/>
      <c r="I118" s="126">
        <f>IFERROR(VLOOKUP($C117,[1]HK!$B$5:$C$20,2,FALSE),"")*$J1</f>
        <v>542500</v>
      </c>
      <c r="J118" s="127"/>
      <c r="K118" s="178"/>
      <c r="M118" s="20" t="str">
        <f>$C$117</f>
        <v>ACI MINIMALIS</v>
      </c>
    </row>
    <row r="119" spans="1:13" ht="18" customHeight="1" x14ac:dyDescent="0.25">
      <c r="B119" s="29" t="s">
        <v>105</v>
      </c>
      <c r="C119" s="124" t="s">
        <v>106</v>
      </c>
      <c r="D119" s="31"/>
      <c r="E119" s="31"/>
      <c r="F119" s="31"/>
      <c r="G119" s="31"/>
      <c r="H119" s="31"/>
      <c r="I119" s="32"/>
      <c r="J119" s="31"/>
      <c r="K119" s="33"/>
      <c r="M119" s="20"/>
    </row>
    <row r="120" spans="1:13" ht="18" customHeight="1" x14ac:dyDescent="0.25">
      <c r="B120" s="34">
        <v>1</v>
      </c>
      <c r="C120" s="35" t="s">
        <v>107</v>
      </c>
      <c r="D120" s="36">
        <f>IFERROR(HLOOKUP($J$1,[1]DB!$C$1:$K$172,120,FALSE),"")</f>
        <v>1</v>
      </c>
      <c r="E120" s="36">
        <f>SUMIFS('[1]Rincian Keluar'!$G:$G,'[1]Rincian Keluar'!$E:$E,'PELANGI 02'!C120,'[1]Rincian Keluar'!$D:$D,'PELANGI 02'!$D$1,'[1]Rincian Keluar'!$H:$H,'PELANGI 02'!$J$1,'[1]Rincian Keluar'!$F:$F,'PELANGI 02'!M120)</f>
        <v>0</v>
      </c>
      <c r="F120" s="64">
        <v>2434900</v>
      </c>
      <c r="G120" s="98">
        <f>E120*F120</f>
        <v>0</v>
      </c>
      <c r="H120" s="172"/>
      <c r="I120" s="39">
        <f>IFERROR(VLOOKUP($C119,[1]HK!$B$5:$C$20,2,FALSE),"")*$J1</f>
        <v>1737500</v>
      </c>
      <c r="J120" s="173"/>
      <c r="K120" s="103"/>
      <c r="M120" s="20" t="str">
        <f>$C$119</f>
        <v>CAT</v>
      </c>
    </row>
    <row r="121" spans="1:13" ht="18" customHeight="1" x14ac:dyDescent="0.25">
      <c r="B121" s="34">
        <v>2</v>
      </c>
      <c r="C121" s="35" t="s">
        <v>108</v>
      </c>
      <c r="D121" s="36">
        <f>IFERROR(HLOOKUP($J$1,[1]DB!$C$1:$K$172,121,FALSE),"")</f>
        <v>3</v>
      </c>
      <c r="E121" s="36">
        <f>SUMIFS('[1]Rincian Keluar'!$G:$G,'[1]Rincian Keluar'!$E:$E,'PELANGI 02'!C121,'[1]Rincian Keluar'!$D:$D,'PELANGI 02'!$D$1,'[1]Rincian Keluar'!$H:$H,'PELANGI 02'!$J$1,'[1]Rincian Keluar'!$F:$F,'PELANGI 02'!M121)</f>
        <v>0</v>
      </c>
      <c r="F121" s="64">
        <v>275000</v>
      </c>
      <c r="G121" s="98">
        <f t="shared" ref="G121:G123" si="24">E121*F121</f>
        <v>0</v>
      </c>
      <c r="H121" s="119"/>
      <c r="I121" s="42"/>
      <c r="J121" s="111"/>
      <c r="K121" s="105"/>
      <c r="M121" s="20" t="str">
        <f>$C$119</f>
        <v>CAT</v>
      </c>
    </row>
    <row r="122" spans="1:13" ht="18" customHeight="1" x14ac:dyDescent="0.25">
      <c r="B122" s="34">
        <v>3</v>
      </c>
      <c r="C122" s="72" t="s">
        <v>104</v>
      </c>
      <c r="D122" s="36">
        <f>IFERROR(HLOOKUP($J$1,[1]DB!$C$1:$K$172,122,FALSE),"")</f>
        <v>12</v>
      </c>
      <c r="E122" s="36">
        <f>SUMIFS('[1]Rincian Keluar'!$G:$G,'[1]Rincian Keluar'!$E:$E,'PELANGI 02'!C122,'[1]Rincian Keluar'!$D:$D,'PELANGI 02'!$D$1,'[1]Rincian Keluar'!$H:$H,'PELANGI 02'!$J$1,'[1]Rincian Keluar'!$F:$F,'PELANGI 02'!M122)</f>
        <v>0</v>
      </c>
      <c r="F122" s="57">
        <v>124500</v>
      </c>
      <c r="G122" s="98">
        <f t="shared" si="24"/>
        <v>0</v>
      </c>
      <c r="H122" s="119"/>
      <c r="I122" s="42"/>
      <c r="J122" s="111"/>
      <c r="K122" s="105"/>
      <c r="M122" s="20" t="str">
        <f>$C$119</f>
        <v>CAT</v>
      </c>
    </row>
    <row r="123" spans="1:13" ht="18" customHeight="1" x14ac:dyDescent="0.25">
      <c r="B123" s="34">
        <v>4</v>
      </c>
      <c r="C123" s="72" t="s">
        <v>109</v>
      </c>
      <c r="D123" s="36">
        <f>IFERROR(HLOOKUP($J$1,[1]DB!$C$1:$K$172,123,FALSE),"")</f>
        <v>1</v>
      </c>
      <c r="E123" s="36">
        <f>SUMIFS('[1]Rincian Keluar'!$G:$G,'[1]Rincian Keluar'!$E:$E,'PELANGI 02'!C123,'[1]Rincian Keluar'!$D:$D,'PELANGI 02'!$D$1,'[1]Rincian Keluar'!$H:$H,'PELANGI 02'!$J$1,'[1]Rincian Keluar'!$F:$F,'PELANGI 02'!M123)</f>
        <v>0</v>
      </c>
      <c r="F123" s="57">
        <v>115000</v>
      </c>
      <c r="G123" s="98">
        <f t="shared" si="24"/>
        <v>0</v>
      </c>
      <c r="H123" s="122"/>
      <c r="I123" s="47"/>
      <c r="J123" s="113"/>
      <c r="K123" s="107"/>
      <c r="M123" s="20" t="str">
        <f>$C$119</f>
        <v>CAT</v>
      </c>
    </row>
    <row r="124" spans="1:13" ht="18" customHeight="1" x14ac:dyDescent="0.25">
      <c r="B124" s="29" t="s">
        <v>110</v>
      </c>
      <c r="C124" s="124" t="s">
        <v>111</v>
      </c>
      <c r="D124" s="132"/>
      <c r="E124" s="132"/>
      <c r="F124" s="132"/>
      <c r="G124" s="132"/>
      <c r="H124" s="132"/>
      <c r="I124" s="133"/>
      <c r="J124" s="132"/>
      <c r="K124" s="134"/>
      <c r="M124" s="20"/>
    </row>
    <row r="125" spans="1:13" ht="18" customHeight="1" x14ac:dyDescent="0.25">
      <c r="B125" s="34">
        <v>1</v>
      </c>
      <c r="C125" s="35" t="s">
        <v>54</v>
      </c>
      <c r="D125" s="36">
        <f>IFERROR(HLOOKUP($J$1,[1]DB!$C$1:$K$172,125,FALSE),"")</f>
        <v>100</v>
      </c>
      <c r="E125" s="36">
        <f>SUMIFS('[1]Rincian Keluar'!$G:$G,'[1]Rincian Keluar'!$E:$E,'PELANGI 02'!C125,'[1]Rincian Keluar'!$D:$D,'PELANGI 02'!$D$1,'[1]Rincian Keluar'!$H:$H,'PELANGI 02'!$J$1,'[1]Rincian Keluar'!$F:$F,'PELANGI 02'!M125)</f>
        <v>0</v>
      </c>
      <c r="F125" s="37">
        <v>1850</v>
      </c>
      <c r="G125" s="135">
        <f>E125*F125</f>
        <v>0</v>
      </c>
      <c r="H125" s="172"/>
      <c r="I125" s="39">
        <f>IFERROR(VLOOKUP($C124,[1]HK!$B$5:$C$20,2,FALSE),"")*$J1</f>
        <v>222500</v>
      </c>
      <c r="J125" s="173"/>
      <c r="K125" s="103"/>
      <c r="M125" s="20" t="str">
        <f>$C$124</f>
        <v>PAGAR</v>
      </c>
    </row>
    <row r="126" spans="1:13" ht="18" customHeight="1" x14ac:dyDescent="0.25">
      <c r="B126" s="34">
        <v>2</v>
      </c>
      <c r="C126" s="35" t="s">
        <v>31</v>
      </c>
      <c r="D126" s="36">
        <f>IFERROR(HLOOKUP($J$1,[1]DB!$C$1:$K$172,126,FALSE),"")</f>
        <v>1</v>
      </c>
      <c r="E126" s="36">
        <f>SUMIFS('[1]Rincian Keluar'!$G:$G,'[1]Rincian Keluar'!$E:$E,'PELANGI 02'!C126,'[1]Rincian Keluar'!$D:$D,'PELANGI 02'!$D$1,'[1]Rincian Keluar'!$H:$H,'PELANGI 02'!$J$1,'[1]Rincian Keluar'!$F:$F,'PELANGI 02'!M126)</f>
        <v>0</v>
      </c>
      <c r="F126" s="37">
        <v>150000</v>
      </c>
      <c r="G126" s="135">
        <f t="shared" ref="G126:G129" si="25">E126*F126</f>
        <v>0</v>
      </c>
      <c r="H126" s="119"/>
      <c r="I126" s="42"/>
      <c r="J126" s="111"/>
      <c r="K126" s="105"/>
      <c r="M126" s="20" t="str">
        <f>$C$124</f>
        <v>PAGAR</v>
      </c>
    </row>
    <row r="127" spans="1:13" ht="18" customHeight="1" x14ac:dyDescent="0.25">
      <c r="B127" s="34">
        <v>3</v>
      </c>
      <c r="C127" s="45" t="s">
        <v>24</v>
      </c>
      <c r="D127" s="36">
        <f>IFERROR(HLOOKUP($J$1,[1]DB!$C$1:$K$172,127,FALSE),"")</f>
        <v>3</v>
      </c>
      <c r="E127" s="36">
        <f>SUMIFS('[1]Rincian Keluar'!$G:$G,'[1]Rincian Keluar'!$E:$E,'PELANGI 02'!C127,'[1]Rincian Keluar'!$D:$D,'PELANGI 02'!$D$1,'[1]Rincian Keluar'!$H:$H,'PELANGI 02'!$J$1,'[1]Rincian Keluar'!$F:$F,'PELANGI 02'!M127)</f>
        <v>0</v>
      </c>
      <c r="F127" s="37">
        <v>60700</v>
      </c>
      <c r="G127" s="135">
        <f t="shared" si="25"/>
        <v>0</v>
      </c>
      <c r="H127" s="119"/>
      <c r="I127" s="42"/>
      <c r="J127" s="111"/>
      <c r="K127" s="105"/>
      <c r="M127" s="20" t="str">
        <f>$C$124</f>
        <v>PAGAR</v>
      </c>
    </row>
    <row r="128" spans="1:13" ht="18" customHeight="1" x14ac:dyDescent="0.25">
      <c r="B128" s="34">
        <v>4</v>
      </c>
      <c r="C128" s="45" t="s">
        <v>51</v>
      </c>
      <c r="D128" s="36">
        <f>IFERROR(HLOOKUP($J$1,[1]DB!$C$1:$K$172,128,FALSE),"")</f>
        <v>2</v>
      </c>
      <c r="E128" s="36">
        <f>SUMIFS('[1]Rincian Keluar'!$G:$G,'[1]Rincian Keluar'!$E:$E,'PELANGI 02'!C128,'[1]Rincian Keluar'!$D:$D,'PELANGI 02'!$D$1,'[1]Rincian Keluar'!$H:$H,'PELANGI 02'!$J$1,'[1]Rincian Keluar'!$F:$F,'PELANGI 02'!M128)</f>
        <v>0</v>
      </c>
      <c r="F128" s="37">
        <v>22000</v>
      </c>
      <c r="G128" s="135">
        <f t="shared" si="25"/>
        <v>0</v>
      </c>
      <c r="H128" s="119"/>
      <c r="I128" s="42"/>
      <c r="J128" s="111"/>
      <c r="K128" s="105"/>
      <c r="M128" s="20" t="str">
        <f>$C$124</f>
        <v>PAGAR</v>
      </c>
    </row>
    <row r="129" spans="2:13" ht="18" customHeight="1" x14ac:dyDescent="0.25">
      <c r="B129" s="29">
        <v>5</v>
      </c>
      <c r="C129" s="45" t="s">
        <v>57</v>
      </c>
      <c r="D129" s="36">
        <f>IFERROR(HLOOKUP($J$1,[1]DB!$C$1:$K$172,129,FALSE),"")</f>
        <v>4</v>
      </c>
      <c r="E129" s="36">
        <f>SUMIFS('[1]Rincian Keluar'!$G:$G,'[1]Rincian Keluar'!$E:$E,'PELANGI 02'!C129,'[1]Rincian Keluar'!$D:$D,'PELANGI 02'!$D$1,'[1]Rincian Keluar'!$H:$H,'PELANGI 02'!$J$1,'[1]Rincian Keluar'!$F:$F,'PELANGI 02'!M129)</f>
        <v>0</v>
      </c>
      <c r="F129" s="37">
        <v>35000</v>
      </c>
      <c r="G129" s="135">
        <f t="shared" si="25"/>
        <v>0</v>
      </c>
      <c r="H129" s="122"/>
      <c r="I129" s="47"/>
      <c r="J129" s="113"/>
      <c r="K129" s="107"/>
      <c r="M129" s="20" t="str">
        <f>$C$124</f>
        <v>PAGAR</v>
      </c>
    </row>
    <row r="130" spans="2:13" ht="18" customHeight="1" x14ac:dyDescent="0.25">
      <c r="B130" s="29" t="s">
        <v>112</v>
      </c>
      <c r="C130" s="124" t="s">
        <v>113</v>
      </c>
      <c r="D130" s="132"/>
      <c r="E130" s="132"/>
      <c r="F130" s="132"/>
      <c r="G130" s="132"/>
      <c r="H130" s="132"/>
      <c r="I130" s="133"/>
      <c r="J130" s="132"/>
      <c r="K130" s="134"/>
      <c r="M130" s="20"/>
    </row>
    <row r="131" spans="2:13" ht="18" customHeight="1" x14ac:dyDescent="0.25">
      <c r="B131" s="34">
        <v>1</v>
      </c>
      <c r="C131" s="45" t="s">
        <v>24</v>
      </c>
      <c r="D131" s="36">
        <f>IFERROR(HLOOKUP($J$1,[1]DB!$C$1:$K$172,131,FALSE),"")</f>
        <v>9</v>
      </c>
      <c r="E131" s="36">
        <f>SUMIFS('[1]Rincian Keluar'!$G:$G,'[1]Rincian Keluar'!$E:$E,'PELANGI 02'!C131,'[1]Rincian Keluar'!$D:$D,'PELANGI 02'!$D$1,'[1]Rincian Keluar'!$H:$H,'PELANGI 02'!$J$1,'[1]Rincian Keluar'!$F:$F,'PELANGI 02'!M131)</f>
        <v>0</v>
      </c>
      <c r="F131" s="37">
        <v>60700</v>
      </c>
      <c r="G131" s="135">
        <f>E131*F131</f>
        <v>0</v>
      </c>
      <c r="H131" s="172"/>
      <c r="I131" s="39">
        <f>IFERROR(VLOOKUP($C130,[1]HK!$B$5:$C$20,2,FALSE),"")*$J1</f>
        <v>276250</v>
      </c>
      <c r="J131" s="173"/>
      <c r="K131" s="103"/>
      <c r="M131" s="20" t="str">
        <f>$C$130</f>
        <v>MINIMALIS CARPORT</v>
      </c>
    </row>
    <row r="132" spans="2:13" ht="18" customHeight="1" x14ac:dyDescent="0.25">
      <c r="B132" s="34">
        <v>2</v>
      </c>
      <c r="C132" s="35" t="s">
        <v>31</v>
      </c>
      <c r="D132" s="36">
        <f>IFERROR(HLOOKUP($J$1,[1]DB!$C$1:$K$172,132,FALSE),"")</f>
        <v>2</v>
      </c>
      <c r="E132" s="36">
        <f>SUMIFS('[1]Rincian Keluar'!$G:$G,'[1]Rincian Keluar'!$E:$E,'PELANGI 02'!C132,'[1]Rincian Keluar'!$D:$D,'PELANGI 02'!$D$1,'[1]Rincian Keluar'!$H:$H,'PELANGI 02'!$J$1,'[1]Rincian Keluar'!$F:$F,'PELANGI 02'!M132)</f>
        <v>0</v>
      </c>
      <c r="F132" s="37">
        <v>150000</v>
      </c>
      <c r="G132" s="135">
        <f>E132*F132</f>
        <v>0</v>
      </c>
      <c r="H132" s="122"/>
      <c r="I132" s="47"/>
      <c r="J132" s="113"/>
      <c r="K132" s="107"/>
      <c r="M132" s="20" t="str">
        <f>$C$130</f>
        <v>MINIMALIS CARPORT</v>
      </c>
    </row>
    <row r="133" spans="2:13" ht="18" customHeight="1" x14ac:dyDescent="0.25">
      <c r="B133" s="29" t="s">
        <v>114</v>
      </c>
      <c r="C133" s="124" t="s">
        <v>115</v>
      </c>
      <c r="D133" s="132"/>
      <c r="E133" s="132"/>
      <c r="F133" s="132"/>
      <c r="G133" s="132"/>
      <c r="H133" s="132"/>
      <c r="I133" s="133"/>
      <c r="J133" s="132"/>
      <c r="K133" s="134"/>
      <c r="M133" s="20"/>
    </row>
    <row r="134" spans="2:13" s="66" customFormat="1" ht="18" customHeight="1" x14ac:dyDescent="0.25">
      <c r="B134" s="34">
        <v>1</v>
      </c>
      <c r="C134" s="35" t="s">
        <v>116</v>
      </c>
      <c r="D134" s="36" t="str">
        <f>IFERROR(HLOOKUP($J$1,[1]DB!$C$1:$K$172,1334,FALSE),"")</f>
        <v/>
      </c>
      <c r="E134" s="36">
        <f>SUMIFS('[1]Rincian Keluar'!$G:$G,'[1]Rincian Keluar'!$E:$E,'PELANGI 02'!C134,'[1]Rincian Keluar'!$D:$D,'PELANGI 02'!$D$1,'[1]Rincian Keluar'!$H:$H,'PELANGI 02'!$J$1,'[1]Rincian Keluar'!$F:$F,'PELANGI 02'!M134)</f>
        <v>0</v>
      </c>
      <c r="F134" s="37">
        <v>82000</v>
      </c>
      <c r="G134" s="135">
        <f>E134*F134</f>
        <v>0</v>
      </c>
      <c r="H134" s="136"/>
      <c r="I134" s="39"/>
      <c r="J134" s="137"/>
      <c r="K134" s="84"/>
      <c r="M134" s="20" t="str">
        <f t="shared" ref="M134:M141" si="26">$C$133</f>
        <v>TALANG AIR</v>
      </c>
    </row>
    <row r="135" spans="2:13" s="66" customFormat="1" ht="18" customHeight="1" x14ac:dyDescent="0.25">
      <c r="B135" s="34">
        <v>2</v>
      </c>
      <c r="C135" s="35" t="s">
        <v>117</v>
      </c>
      <c r="D135" s="36">
        <f>IFERROR(HLOOKUP($J$1,[1]DB!$C$1:$K$172,135,FALSE),"")</f>
        <v>2</v>
      </c>
      <c r="E135" s="36">
        <f>SUMIFS('[1]Rincian Keluar'!$G:$G,'[1]Rincian Keluar'!$E:$E,'PELANGI 02'!C135,'[1]Rincian Keluar'!$D:$D,'PELANGI 02'!$D$1,'[1]Rincian Keluar'!$H:$H,'PELANGI 02'!$J$1,'[1]Rincian Keluar'!$F:$F,'PELANGI 02'!M135)</f>
        <v>0</v>
      </c>
      <c r="F135" s="37">
        <v>50000</v>
      </c>
      <c r="G135" s="135">
        <f t="shared" ref="G135:G141" si="27">E135*F135</f>
        <v>0</v>
      </c>
      <c r="H135" s="138"/>
      <c r="I135" s="42"/>
      <c r="J135" s="104"/>
      <c r="K135" s="87"/>
      <c r="M135" s="20" t="str">
        <f t="shared" si="26"/>
        <v>TALANG AIR</v>
      </c>
    </row>
    <row r="136" spans="2:13" s="66" customFormat="1" ht="18" customHeight="1" x14ac:dyDescent="0.25">
      <c r="B136" s="34">
        <v>3</v>
      </c>
      <c r="C136" s="35" t="s">
        <v>118</v>
      </c>
      <c r="D136" s="36">
        <f>IFERROR(HLOOKUP($J$1,[1]DB!$C$1:$K$172,136,FALSE),"")</f>
        <v>2</v>
      </c>
      <c r="E136" s="36">
        <f>SUMIFS('[1]Rincian Keluar'!$G:$G,'[1]Rincian Keluar'!$E:$E,'PELANGI 02'!C136,'[1]Rincian Keluar'!$D:$D,'PELANGI 02'!$D$1,'[1]Rincian Keluar'!$H:$H,'PELANGI 02'!$J$1,'[1]Rincian Keluar'!$F:$F,'PELANGI 02'!M136)</f>
        <v>0</v>
      </c>
      <c r="F136" s="37">
        <v>4000</v>
      </c>
      <c r="G136" s="135">
        <f t="shared" si="27"/>
        <v>0</v>
      </c>
      <c r="H136" s="138"/>
      <c r="I136" s="42"/>
      <c r="J136" s="104"/>
      <c r="K136" s="87"/>
      <c r="M136" s="20" t="str">
        <f t="shared" si="26"/>
        <v>TALANG AIR</v>
      </c>
    </row>
    <row r="137" spans="2:13" s="66" customFormat="1" ht="18" customHeight="1" x14ac:dyDescent="0.25">
      <c r="B137" s="34">
        <v>4</v>
      </c>
      <c r="C137" s="35" t="s">
        <v>119</v>
      </c>
      <c r="D137" s="36">
        <f>IFERROR(HLOOKUP($J$1,[1]DB!$C$1:$K$172,137,FALSE),"")</f>
        <v>1</v>
      </c>
      <c r="E137" s="36">
        <f>SUMIFS('[1]Rincian Keluar'!$G:$G,'[1]Rincian Keluar'!$E:$E,'PELANGI 02'!C137,'[1]Rincian Keluar'!$D:$D,'PELANGI 02'!$D$1,'[1]Rincian Keluar'!$H:$H,'PELANGI 02'!$J$1,'[1]Rincian Keluar'!$F:$F,'PELANGI 02'!M137)</f>
        <v>0</v>
      </c>
      <c r="F137" s="37">
        <v>15000</v>
      </c>
      <c r="G137" s="135">
        <f t="shared" si="27"/>
        <v>0</v>
      </c>
      <c r="H137" s="138"/>
      <c r="I137" s="42"/>
      <c r="J137" s="104"/>
      <c r="K137" s="87"/>
      <c r="M137" s="20" t="str">
        <f t="shared" si="26"/>
        <v>TALANG AIR</v>
      </c>
    </row>
    <row r="138" spans="2:13" s="66" customFormat="1" ht="18" customHeight="1" x14ac:dyDescent="0.25">
      <c r="B138" s="34">
        <v>5</v>
      </c>
      <c r="C138" s="35" t="s">
        <v>120</v>
      </c>
      <c r="D138" s="36">
        <f>IFERROR(HLOOKUP($J$1,[1]DB!$C$1:$K$172,138,FALSE),"")</f>
        <v>1</v>
      </c>
      <c r="E138" s="36">
        <f>SUMIFS('[1]Rincian Keluar'!$G:$G,'[1]Rincian Keluar'!$E:$E,'PELANGI 02'!C138,'[1]Rincian Keluar'!$D:$D,'PELANGI 02'!$D$1,'[1]Rincian Keluar'!$H:$H,'PELANGI 02'!$J$1,'[1]Rincian Keluar'!$F:$F,'PELANGI 02'!M138)</f>
        <v>0</v>
      </c>
      <c r="F138" s="37">
        <v>12000</v>
      </c>
      <c r="G138" s="135">
        <f t="shared" si="27"/>
        <v>0</v>
      </c>
      <c r="H138" s="138"/>
      <c r="I138" s="42"/>
      <c r="J138" s="104"/>
      <c r="K138" s="87"/>
      <c r="M138" s="20" t="str">
        <f t="shared" si="26"/>
        <v>TALANG AIR</v>
      </c>
    </row>
    <row r="139" spans="2:13" s="66" customFormat="1" ht="18" customHeight="1" x14ac:dyDescent="0.25">
      <c r="B139" s="34">
        <v>6</v>
      </c>
      <c r="C139" s="35" t="s">
        <v>121</v>
      </c>
      <c r="D139" s="36">
        <f>IFERROR(HLOOKUP($J$1,[1]DB!$C$1:$K$172,139,FALSE),"")</f>
        <v>3</v>
      </c>
      <c r="E139" s="36">
        <f>SUMIFS('[1]Rincian Keluar'!$G:$G,'[1]Rincian Keluar'!$E:$E,'PELANGI 02'!C139,'[1]Rincian Keluar'!$D:$D,'PELANGI 02'!$D$1,'[1]Rincian Keluar'!$H:$H,'PELANGI 02'!$J$1,'[1]Rincian Keluar'!$F:$F,'PELANGI 02'!M139)</f>
        <v>0</v>
      </c>
      <c r="F139" s="37">
        <v>4000</v>
      </c>
      <c r="G139" s="135">
        <f t="shared" si="27"/>
        <v>0</v>
      </c>
      <c r="H139" s="138"/>
      <c r="I139" s="42"/>
      <c r="J139" s="104"/>
      <c r="K139" s="87"/>
      <c r="M139" s="20" t="str">
        <f t="shared" si="26"/>
        <v>TALANG AIR</v>
      </c>
    </row>
    <row r="140" spans="2:13" s="66" customFormat="1" ht="18" customHeight="1" x14ac:dyDescent="0.25">
      <c r="B140" s="34">
        <v>7</v>
      </c>
      <c r="C140" s="35" t="s">
        <v>122</v>
      </c>
      <c r="D140" s="36">
        <f>IFERROR(HLOOKUP($J$1,[1]DB!$C$1:$K$172,140,FALSE),"")</f>
        <v>1</v>
      </c>
      <c r="E140" s="36">
        <f>SUMIFS('[1]Rincian Keluar'!$G:$G,'[1]Rincian Keluar'!$E:$E,'PELANGI 02'!C140,'[1]Rincian Keluar'!$D:$D,'PELANGI 02'!$D$1,'[1]Rincian Keluar'!$H:$H,'PELANGI 02'!$J$1,'[1]Rincian Keluar'!$F:$F,'PELANGI 02'!M140)</f>
        <v>0</v>
      </c>
      <c r="F140" s="37">
        <v>8000</v>
      </c>
      <c r="G140" s="135">
        <f t="shared" si="27"/>
        <v>0</v>
      </c>
      <c r="H140" s="138"/>
      <c r="I140" s="42"/>
      <c r="J140" s="104"/>
      <c r="K140" s="87"/>
      <c r="M140" s="20" t="str">
        <f t="shared" si="26"/>
        <v>TALANG AIR</v>
      </c>
    </row>
    <row r="141" spans="2:13" s="66" customFormat="1" ht="18" customHeight="1" x14ac:dyDescent="0.25">
      <c r="B141" s="34">
        <v>8</v>
      </c>
      <c r="C141" s="139" t="s">
        <v>123</v>
      </c>
      <c r="D141" s="36">
        <f>IFERROR(HLOOKUP($J$1,[1]DB!$C$1:$K$172,141,FALSE),"")</f>
        <v>1</v>
      </c>
      <c r="E141" s="36">
        <f>SUMIFS('[1]Rincian Keluar'!$G:$G,'[1]Rincian Keluar'!$E:$E,'PELANGI 02'!C141,'[1]Rincian Keluar'!$D:$D,'PELANGI 02'!$D$1,'[1]Rincian Keluar'!$H:$H,'PELANGI 02'!$J$1,'[1]Rincian Keluar'!$F:$F,'PELANGI 02'!M141)</f>
        <v>0</v>
      </c>
      <c r="F141" s="37">
        <v>22000</v>
      </c>
      <c r="G141" s="135">
        <f t="shared" si="27"/>
        <v>0</v>
      </c>
      <c r="H141" s="140"/>
      <c r="I141" s="47"/>
      <c r="J141" s="106"/>
      <c r="K141" s="90"/>
      <c r="M141" s="20" t="str">
        <f t="shared" si="26"/>
        <v>TALANG AIR</v>
      </c>
    </row>
    <row r="142" spans="2:13" ht="18" customHeight="1" x14ac:dyDescent="0.25">
      <c r="B142" s="29" t="s">
        <v>124</v>
      </c>
      <c r="C142" s="124" t="s">
        <v>125</v>
      </c>
      <c r="D142" s="132"/>
      <c r="E142" s="132"/>
      <c r="F142" s="132"/>
      <c r="G142" s="132"/>
      <c r="H142" s="132"/>
      <c r="I142" s="133"/>
      <c r="J142" s="132"/>
      <c r="K142" s="134"/>
      <c r="M142" s="20"/>
    </row>
    <row r="143" spans="2:13" s="142" customFormat="1" ht="18" customHeight="1" x14ac:dyDescent="0.25">
      <c r="B143" s="34">
        <v>1</v>
      </c>
      <c r="C143" s="139" t="s">
        <v>126</v>
      </c>
      <c r="D143" s="36">
        <f>IFERROR(HLOOKUP($J$1,[1]DB!$C$1:$K$172,143,FALSE),"")</f>
        <v>4</v>
      </c>
      <c r="E143" s="36">
        <f>SUMIFS('[1]Rincian Keluar'!$G:$G,'[1]Rincian Keluar'!$E:$E,'PELANGI 02'!C143,'[1]Rincian Keluar'!$D:$D,'PELANGI 02'!$D$1,'[1]Rincian Keluar'!$H:$H,'PELANGI 02'!$J$1,'[1]Rincian Keluar'!$F:$F,'PELANGI 02'!M143)</f>
        <v>0</v>
      </c>
      <c r="F143" s="141">
        <v>165000</v>
      </c>
      <c r="G143" s="98">
        <f>E143*F143</f>
        <v>0</v>
      </c>
      <c r="H143" s="136"/>
      <c r="I143" s="39"/>
      <c r="J143" s="137"/>
      <c r="K143" s="84"/>
      <c r="M143" s="20" t="str">
        <f t="shared" ref="M143:M161" si="28">$C$142</f>
        <v xml:space="preserve">JENDELA </v>
      </c>
    </row>
    <row r="144" spans="2:13" s="142" customFormat="1" ht="18" customHeight="1" x14ac:dyDescent="0.25">
      <c r="B144" s="34">
        <v>2</v>
      </c>
      <c r="C144" s="139" t="s">
        <v>127</v>
      </c>
      <c r="D144" s="36">
        <f>IFERROR(HLOOKUP($J$1,[1]DB!$C$1:$K$172,144,FALSE),"")</f>
        <v>2</v>
      </c>
      <c r="E144" s="36">
        <f>SUMIFS('[1]Rincian Keluar'!$G:$G,'[1]Rincian Keluar'!$E:$E,'PELANGI 02'!C144,'[1]Rincian Keluar'!$D:$D,'PELANGI 02'!$D$1,'[1]Rincian Keluar'!$H:$H,'PELANGI 02'!$J$1,'[1]Rincian Keluar'!$F:$F,'PELANGI 02'!M144)</f>
        <v>0</v>
      </c>
      <c r="F144" s="141">
        <v>198000</v>
      </c>
      <c r="G144" s="98">
        <f t="shared" ref="G144:G161" si="29">E144*F144</f>
        <v>0</v>
      </c>
      <c r="H144" s="138"/>
      <c r="I144" s="42"/>
      <c r="J144" s="104"/>
      <c r="K144" s="87"/>
      <c r="M144" s="20" t="str">
        <f t="shared" si="28"/>
        <v xml:space="preserve">JENDELA </v>
      </c>
    </row>
    <row r="145" spans="2:13" s="142" customFormat="1" ht="18" customHeight="1" x14ac:dyDescent="0.25">
      <c r="B145" s="34">
        <v>3</v>
      </c>
      <c r="C145" s="139" t="s">
        <v>128</v>
      </c>
      <c r="D145" s="36">
        <f>IFERROR(HLOOKUP($J$1,[1]DB!$C$1:$K$172,145,FALSE),"")</f>
        <v>6</v>
      </c>
      <c r="E145" s="36">
        <f>SUMIFS('[1]Rincian Keluar'!$G:$G,'[1]Rincian Keluar'!$E:$E,'PELANGI 02'!C145,'[1]Rincian Keluar'!$D:$D,'PELANGI 02'!$D$1,'[1]Rincian Keluar'!$H:$H,'PELANGI 02'!$J$1,'[1]Rincian Keluar'!$F:$F,'PELANGI 02'!M145)</f>
        <v>0</v>
      </c>
      <c r="F145" s="141">
        <v>86000</v>
      </c>
      <c r="G145" s="98">
        <f t="shared" si="29"/>
        <v>0</v>
      </c>
      <c r="H145" s="138"/>
      <c r="I145" s="42"/>
      <c r="J145" s="104"/>
      <c r="K145" s="87"/>
      <c r="M145" s="20" t="str">
        <f t="shared" si="28"/>
        <v xml:space="preserve">JENDELA </v>
      </c>
    </row>
    <row r="146" spans="2:13" s="142" customFormat="1" ht="18" customHeight="1" x14ac:dyDescent="0.25">
      <c r="B146" s="34">
        <v>4</v>
      </c>
      <c r="C146" s="139" t="s">
        <v>129</v>
      </c>
      <c r="D146" s="36">
        <f>IFERROR(HLOOKUP($J$1,[1]DB!$C$1:$K$172,146,FALSE),"")</f>
        <v>6</v>
      </c>
      <c r="E146" s="36">
        <f>SUMIFS('[1]Rincian Keluar'!$G:$G,'[1]Rincian Keluar'!$E:$E,'PELANGI 02'!C146,'[1]Rincian Keluar'!$D:$D,'PELANGI 02'!$D$1,'[1]Rincian Keluar'!$H:$H,'PELANGI 02'!$J$1,'[1]Rincian Keluar'!$F:$F,'PELANGI 02'!M146)</f>
        <v>0</v>
      </c>
      <c r="F146" s="141">
        <v>50000</v>
      </c>
      <c r="G146" s="98">
        <f t="shared" si="29"/>
        <v>0</v>
      </c>
      <c r="H146" s="138"/>
      <c r="I146" s="42"/>
      <c r="J146" s="104"/>
      <c r="K146" s="87"/>
      <c r="M146" s="20" t="str">
        <f t="shared" si="28"/>
        <v xml:space="preserve">JENDELA </v>
      </c>
    </row>
    <row r="147" spans="2:13" s="142" customFormat="1" ht="18" customHeight="1" x14ac:dyDescent="0.25">
      <c r="B147" s="34">
        <v>5</v>
      </c>
      <c r="C147" s="139" t="s">
        <v>130</v>
      </c>
      <c r="D147" s="36">
        <f>IFERROR(HLOOKUP($J$1,[1]DB!$C$1:$K$172,147,FALSE),"")</f>
        <v>1</v>
      </c>
      <c r="E147" s="36">
        <f>SUMIFS('[1]Rincian Keluar'!$G:$G,'[1]Rincian Keluar'!$E:$E,'PELANGI 02'!C147,'[1]Rincian Keluar'!$D:$D,'PELANGI 02'!$D$1,'[1]Rincian Keluar'!$H:$H,'PELANGI 02'!$J$1,'[1]Rincian Keluar'!$F:$F,'PELANGI 02'!M147)</f>
        <v>0</v>
      </c>
      <c r="F147" s="141">
        <v>60000</v>
      </c>
      <c r="G147" s="98">
        <f t="shared" si="29"/>
        <v>0</v>
      </c>
      <c r="H147" s="138"/>
      <c r="I147" s="42"/>
      <c r="J147" s="104"/>
      <c r="K147" s="87"/>
      <c r="M147" s="20" t="str">
        <f t="shared" si="28"/>
        <v xml:space="preserve">JENDELA </v>
      </c>
    </row>
    <row r="148" spans="2:13" s="142" customFormat="1" ht="18" customHeight="1" x14ac:dyDescent="0.25">
      <c r="B148" s="34">
        <v>6</v>
      </c>
      <c r="C148" s="139" t="s">
        <v>131</v>
      </c>
      <c r="D148" s="36">
        <f>IFERROR(HLOOKUP($J$1,[1]DB!$C$1:$K$172,148,FALSE),"")</f>
        <v>2</v>
      </c>
      <c r="E148" s="36">
        <f>SUMIFS('[1]Rincian Keluar'!$G:$G,'[1]Rincian Keluar'!$E:$E,'PELANGI 02'!C148,'[1]Rincian Keluar'!$D:$D,'PELANGI 02'!$D$1,'[1]Rincian Keluar'!$H:$H,'PELANGI 02'!$J$1,'[1]Rincian Keluar'!$F:$F,'PELANGI 02'!M148)</f>
        <v>0</v>
      </c>
      <c r="F148" s="141">
        <v>55000</v>
      </c>
      <c r="G148" s="98">
        <f t="shared" si="29"/>
        <v>0</v>
      </c>
      <c r="H148" s="138"/>
      <c r="I148" s="42"/>
      <c r="J148" s="104"/>
      <c r="K148" s="87"/>
      <c r="M148" s="20" t="str">
        <f t="shared" si="28"/>
        <v xml:space="preserve">JENDELA </v>
      </c>
    </row>
    <row r="149" spans="2:13" s="142" customFormat="1" ht="18" customHeight="1" x14ac:dyDescent="0.25">
      <c r="B149" s="34">
        <v>7</v>
      </c>
      <c r="C149" s="139" t="s">
        <v>132</v>
      </c>
      <c r="D149" s="36">
        <f>IFERROR(HLOOKUP($J$1,[1]DB!$C$1:$K$172,149,FALSE),"")</f>
        <v>2</v>
      </c>
      <c r="E149" s="36">
        <f>SUMIFS('[1]Rincian Keluar'!$G:$G,'[1]Rincian Keluar'!$E:$E,'PELANGI 02'!C149,'[1]Rincian Keluar'!$D:$D,'PELANGI 02'!$D$1,'[1]Rincian Keluar'!$H:$H,'PELANGI 02'!$J$1,'[1]Rincian Keluar'!$F:$F,'PELANGI 02'!M149)</f>
        <v>0</v>
      </c>
      <c r="F149" s="141">
        <v>50000</v>
      </c>
      <c r="G149" s="98">
        <f t="shared" si="29"/>
        <v>0</v>
      </c>
      <c r="H149" s="138"/>
      <c r="I149" s="42"/>
      <c r="J149" s="104"/>
      <c r="K149" s="87"/>
      <c r="M149" s="20" t="str">
        <f t="shared" si="28"/>
        <v xml:space="preserve">JENDELA </v>
      </c>
    </row>
    <row r="150" spans="2:13" s="142" customFormat="1" ht="18" customHeight="1" x14ac:dyDescent="0.25">
      <c r="B150" s="34">
        <v>8</v>
      </c>
      <c r="C150" s="139" t="s">
        <v>133</v>
      </c>
      <c r="D150" s="36">
        <f>IFERROR(HLOOKUP($J$1,[1]DB!$C$1:$K$172,150,FALSE),"")</f>
        <v>3</v>
      </c>
      <c r="E150" s="36">
        <f>SUMIFS('[1]Rincian Keluar'!$G:$G,'[1]Rincian Keluar'!$E:$E,'PELANGI 02'!C150,'[1]Rincian Keluar'!$D:$D,'PELANGI 02'!$D$1,'[1]Rincian Keluar'!$H:$H,'PELANGI 02'!$J$1,'[1]Rincian Keluar'!$F:$F,'PELANGI 02'!M150)</f>
        <v>0</v>
      </c>
      <c r="F150" s="141">
        <v>11000</v>
      </c>
      <c r="G150" s="98">
        <f t="shared" si="29"/>
        <v>0</v>
      </c>
      <c r="H150" s="138"/>
      <c r="I150" s="42"/>
      <c r="J150" s="104"/>
      <c r="K150" s="87"/>
      <c r="M150" s="20" t="str">
        <f t="shared" si="28"/>
        <v xml:space="preserve">JENDELA </v>
      </c>
    </row>
    <row r="151" spans="2:13" s="142" customFormat="1" ht="18" customHeight="1" x14ac:dyDescent="0.25">
      <c r="B151" s="34">
        <v>9</v>
      </c>
      <c r="C151" s="139" t="s">
        <v>134</v>
      </c>
      <c r="D151" s="36">
        <f>IFERROR(HLOOKUP($J$1,[1]DB!$C$1:$K$172,151,FALSE),"")</f>
        <v>2</v>
      </c>
      <c r="E151" s="36">
        <f>SUMIFS('[1]Rincian Keluar'!$G:$G,'[1]Rincian Keluar'!$E:$E,'PELANGI 02'!C151,'[1]Rincian Keluar'!$D:$D,'PELANGI 02'!$D$1,'[1]Rincian Keluar'!$H:$H,'PELANGI 02'!$J$1,'[1]Rincian Keluar'!$F:$F,'PELANGI 02'!M151)</f>
        <v>0</v>
      </c>
      <c r="F151" s="141">
        <v>11000</v>
      </c>
      <c r="G151" s="98">
        <f t="shared" si="29"/>
        <v>0</v>
      </c>
      <c r="H151" s="138"/>
      <c r="I151" s="42"/>
      <c r="J151" s="104"/>
      <c r="K151" s="87"/>
      <c r="M151" s="20" t="str">
        <f t="shared" si="28"/>
        <v xml:space="preserve">JENDELA </v>
      </c>
    </row>
    <row r="152" spans="2:13" s="142" customFormat="1" ht="18" customHeight="1" x14ac:dyDescent="0.25">
      <c r="B152" s="34">
        <v>10</v>
      </c>
      <c r="C152" s="139" t="s">
        <v>135</v>
      </c>
      <c r="D152" s="36">
        <f>IFERROR(HLOOKUP($J$1,[1]DB!$C$1:$K$172,152,FALSE),"")</f>
        <v>5</v>
      </c>
      <c r="E152" s="36">
        <f>SUMIFS('[1]Rincian Keluar'!$G:$G,'[1]Rincian Keluar'!$E:$E,'PELANGI 02'!C152,'[1]Rincian Keluar'!$D:$D,'PELANGI 02'!$D$1,'[1]Rincian Keluar'!$H:$H,'PELANGI 02'!$J$1,'[1]Rincian Keluar'!$F:$F,'PELANGI 02'!M152)</f>
        <v>0</v>
      </c>
      <c r="F152" s="141">
        <v>17000</v>
      </c>
      <c r="G152" s="98">
        <f t="shared" si="29"/>
        <v>0</v>
      </c>
      <c r="H152" s="138"/>
      <c r="I152" s="42"/>
      <c r="J152" s="104"/>
      <c r="K152" s="87"/>
      <c r="M152" s="20" t="str">
        <f t="shared" si="28"/>
        <v xml:space="preserve">JENDELA </v>
      </c>
    </row>
    <row r="153" spans="2:13" s="142" customFormat="1" ht="18" customHeight="1" x14ac:dyDescent="0.25">
      <c r="B153" s="34">
        <v>11</v>
      </c>
      <c r="C153" s="139" t="s">
        <v>136</v>
      </c>
      <c r="D153" s="36">
        <f>IFERROR(HLOOKUP($J$1,[1]DB!$C$1:$K$172,153,FALSE),"")</f>
        <v>4</v>
      </c>
      <c r="E153" s="36">
        <f>SUMIFS('[1]Rincian Keluar'!$G:$G,'[1]Rincian Keluar'!$E:$E,'PELANGI 02'!C153,'[1]Rincian Keluar'!$D:$D,'PELANGI 02'!$D$1,'[1]Rincian Keluar'!$H:$H,'PELANGI 02'!$J$1,'[1]Rincian Keluar'!$F:$F,'PELANGI 02'!M153)</f>
        <v>0</v>
      </c>
      <c r="F153" s="141">
        <v>40000</v>
      </c>
      <c r="G153" s="98">
        <f t="shared" si="29"/>
        <v>0</v>
      </c>
      <c r="H153" s="138"/>
      <c r="I153" s="42"/>
      <c r="J153" s="104"/>
      <c r="K153" s="87"/>
      <c r="M153" s="20" t="str">
        <f t="shared" si="28"/>
        <v xml:space="preserve">JENDELA </v>
      </c>
    </row>
    <row r="154" spans="2:13" s="142" customFormat="1" ht="18" customHeight="1" x14ac:dyDescent="0.25">
      <c r="B154" s="34">
        <v>12</v>
      </c>
      <c r="C154" s="139" t="s">
        <v>137</v>
      </c>
      <c r="D154" s="36">
        <f>IFERROR(HLOOKUP($J$1,[1]DB!$C$1:$K$172,154,FALSE),"")</f>
        <v>25</v>
      </c>
      <c r="E154" s="36">
        <f>SUMIFS('[1]Rincian Keluar'!$G:$G,'[1]Rincian Keluar'!$E:$E,'PELANGI 02'!C154,'[1]Rincian Keluar'!$D:$D,'PELANGI 02'!$D$1,'[1]Rincian Keluar'!$H:$H,'PELANGI 02'!$J$1,'[1]Rincian Keluar'!$F:$F,'PELANGI 02'!M154)</f>
        <v>0</v>
      </c>
      <c r="F154" s="141">
        <v>400</v>
      </c>
      <c r="G154" s="98">
        <f t="shared" si="29"/>
        <v>0</v>
      </c>
      <c r="H154" s="138"/>
      <c r="I154" s="42"/>
      <c r="J154" s="104"/>
      <c r="K154" s="87"/>
      <c r="M154" s="20" t="str">
        <f t="shared" si="28"/>
        <v xml:space="preserve">JENDELA </v>
      </c>
    </row>
    <row r="155" spans="2:13" s="142" customFormat="1" ht="18" customHeight="1" x14ac:dyDescent="0.25">
      <c r="B155" s="34">
        <v>13</v>
      </c>
      <c r="C155" s="139" t="s">
        <v>138</v>
      </c>
      <c r="D155" s="36">
        <f>IFERROR(HLOOKUP($J$1,[1]DB!$C$1:$K$172,155,FALSE),"")</f>
        <v>40</v>
      </c>
      <c r="E155" s="36">
        <f>SUMIFS('[1]Rincian Keluar'!$G:$G,'[1]Rincian Keluar'!$E:$E,'PELANGI 02'!C155,'[1]Rincian Keluar'!$D:$D,'PELANGI 02'!$D$1,'[1]Rincian Keluar'!$H:$H,'PELANGI 02'!$J$1,'[1]Rincian Keluar'!$F:$F,'PELANGI 02'!M155)</f>
        <v>0</v>
      </c>
      <c r="F155" s="141">
        <v>15000</v>
      </c>
      <c r="G155" s="98">
        <f t="shared" si="29"/>
        <v>0</v>
      </c>
      <c r="H155" s="138"/>
      <c r="I155" s="42"/>
      <c r="J155" s="104"/>
      <c r="K155" s="87"/>
      <c r="M155" s="20" t="str">
        <f t="shared" si="28"/>
        <v xml:space="preserve">JENDELA </v>
      </c>
    </row>
    <row r="156" spans="2:13" s="142" customFormat="1" ht="18" customHeight="1" x14ac:dyDescent="0.25">
      <c r="B156" s="34">
        <v>14</v>
      </c>
      <c r="C156" s="139" t="s">
        <v>139</v>
      </c>
      <c r="D156" s="36">
        <f>IFERROR(HLOOKUP($J$1,[1]DB!$C$1:$K$172,156,FALSE),"")</f>
        <v>40</v>
      </c>
      <c r="E156" s="36">
        <f>SUMIFS('[1]Rincian Keluar'!$G:$G,'[1]Rincian Keluar'!$E:$E,'PELANGI 02'!C156,'[1]Rincian Keluar'!$D:$D,'PELANGI 02'!$D$1,'[1]Rincian Keluar'!$H:$H,'PELANGI 02'!$J$1,'[1]Rincian Keluar'!$F:$F,'PELANGI 02'!M156)</f>
        <v>0</v>
      </c>
      <c r="F156" s="141">
        <v>200</v>
      </c>
      <c r="G156" s="98">
        <f t="shared" si="29"/>
        <v>0</v>
      </c>
      <c r="H156" s="138"/>
      <c r="I156" s="42"/>
      <c r="J156" s="104"/>
      <c r="K156" s="87"/>
      <c r="M156" s="20" t="str">
        <f t="shared" si="28"/>
        <v xml:space="preserve">JENDELA </v>
      </c>
    </row>
    <row r="157" spans="2:13" s="142" customFormat="1" ht="18" customHeight="1" x14ac:dyDescent="0.25">
      <c r="B157" s="34">
        <v>15</v>
      </c>
      <c r="C157" s="139" t="s">
        <v>140</v>
      </c>
      <c r="D157" s="36">
        <f>IFERROR(HLOOKUP($J$1,[1]DB!$C$1:$K$172,157,FALSE),"")</f>
        <v>80</v>
      </c>
      <c r="E157" s="36">
        <f>SUMIFS('[1]Rincian Keluar'!$G:$G,'[1]Rincian Keluar'!$E:$E,'PELANGI 02'!C157,'[1]Rincian Keluar'!$D:$D,'PELANGI 02'!$D$1,'[1]Rincian Keluar'!$H:$H,'PELANGI 02'!$J$1,'[1]Rincian Keluar'!$F:$F,'PELANGI 02'!M157)</f>
        <v>0</v>
      </c>
      <c r="F157" s="141">
        <v>100</v>
      </c>
      <c r="G157" s="98">
        <f t="shared" si="29"/>
        <v>0</v>
      </c>
      <c r="H157" s="138"/>
      <c r="I157" s="42"/>
      <c r="J157" s="104"/>
      <c r="K157" s="87"/>
      <c r="M157" s="20" t="str">
        <f t="shared" si="28"/>
        <v xml:space="preserve">JENDELA </v>
      </c>
    </row>
    <row r="158" spans="2:13" s="142" customFormat="1" ht="18" customHeight="1" x14ac:dyDescent="0.25">
      <c r="B158" s="34">
        <v>16</v>
      </c>
      <c r="C158" s="139" t="s">
        <v>141</v>
      </c>
      <c r="D158" s="36">
        <f>IFERROR(HLOOKUP($J$1,[1]DB!$C$1:$K$172,158,FALSE),"")</f>
        <v>1</v>
      </c>
      <c r="E158" s="36">
        <f>SUMIFS('[1]Rincian Keluar'!$G:$G,'[1]Rincian Keluar'!$E:$E,'PELANGI 02'!C158,'[1]Rincian Keluar'!$D:$D,'PELANGI 02'!$D$1,'[1]Rincian Keluar'!$H:$H,'PELANGI 02'!$J$1,'[1]Rincian Keluar'!$F:$F,'PELANGI 02'!M158)</f>
        <v>0</v>
      </c>
      <c r="F158" s="141">
        <v>55000</v>
      </c>
      <c r="G158" s="98">
        <f t="shared" si="29"/>
        <v>0</v>
      </c>
      <c r="H158" s="138"/>
      <c r="I158" s="42"/>
      <c r="J158" s="104"/>
      <c r="K158" s="87"/>
      <c r="M158" s="20" t="str">
        <f t="shared" si="28"/>
        <v xml:space="preserve">JENDELA </v>
      </c>
    </row>
    <row r="159" spans="2:13" s="142" customFormat="1" ht="18" customHeight="1" x14ac:dyDescent="0.25">
      <c r="B159" s="34">
        <v>17</v>
      </c>
      <c r="C159" s="139" t="s">
        <v>142</v>
      </c>
      <c r="D159" s="36">
        <f>IFERROR(HLOOKUP($J$1,[1]DB!$C$1:$K$172,159,FALSE),"")</f>
        <v>1</v>
      </c>
      <c r="E159" s="36">
        <f>SUMIFS('[1]Rincian Keluar'!$G:$G,'[1]Rincian Keluar'!$E:$E,'PELANGI 02'!C159,'[1]Rincian Keluar'!$D:$D,'PELANGI 02'!$D$1,'[1]Rincian Keluar'!$H:$H,'PELANGI 02'!$J$1,'[1]Rincian Keluar'!$F:$F,'PELANGI 02'!M159)</f>
        <v>0</v>
      </c>
      <c r="F159" s="141">
        <v>10000</v>
      </c>
      <c r="G159" s="98">
        <f t="shared" si="29"/>
        <v>0</v>
      </c>
      <c r="H159" s="138"/>
      <c r="I159" s="42"/>
      <c r="J159" s="104"/>
      <c r="K159" s="87"/>
      <c r="M159" s="20" t="str">
        <f t="shared" si="28"/>
        <v xml:space="preserve">JENDELA </v>
      </c>
    </row>
    <row r="160" spans="2:13" s="142" customFormat="1" ht="18" customHeight="1" x14ac:dyDescent="0.25">
      <c r="B160" s="34">
        <v>18</v>
      </c>
      <c r="C160" s="139" t="s">
        <v>143</v>
      </c>
      <c r="D160" s="36">
        <f>IFERROR(HLOOKUP($J$1,[1]DB!$C$1:$K$172,160,FALSE),"")</f>
        <v>6</v>
      </c>
      <c r="E160" s="36">
        <f>SUMIFS('[1]Rincian Keluar'!$G:$G,'[1]Rincian Keluar'!$E:$E,'PELANGI 02'!C160,'[1]Rincian Keluar'!$D:$D,'PELANGI 02'!$D$1,'[1]Rincian Keluar'!$H:$H,'PELANGI 02'!$J$1,'[1]Rincian Keluar'!$F:$F,'PELANGI 02'!M160)</f>
        <v>0</v>
      </c>
      <c r="F160" s="141">
        <v>300000</v>
      </c>
      <c r="G160" s="98">
        <f t="shared" si="29"/>
        <v>0</v>
      </c>
      <c r="H160" s="138"/>
      <c r="I160" s="42"/>
      <c r="J160" s="104"/>
      <c r="K160" s="87"/>
      <c r="M160" s="20" t="str">
        <f t="shared" si="28"/>
        <v xml:space="preserve">JENDELA </v>
      </c>
    </row>
    <row r="161" spans="1:13" s="142" customFormat="1" ht="18" customHeight="1" x14ac:dyDescent="0.25">
      <c r="B161" s="34">
        <v>19</v>
      </c>
      <c r="C161" s="139" t="s">
        <v>144</v>
      </c>
      <c r="D161" s="36">
        <f>IFERROR(HLOOKUP($J$1,[1]DB!$C$1:$K$172,161,FALSE),"")</f>
        <v>4</v>
      </c>
      <c r="E161" s="36">
        <f>SUMIFS('[1]Rincian Keluar'!$G:$G,'[1]Rincian Keluar'!$E:$E,'PELANGI 02'!C161,'[1]Rincian Keluar'!$D:$D,'PELANGI 02'!$D$1,'[1]Rincian Keluar'!$H:$H,'PELANGI 02'!$J$1,'[1]Rincian Keluar'!$F:$F,'PELANGI 02'!M161)</f>
        <v>0</v>
      </c>
      <c r="F161" s="141">
        <v>40000</v>
      </c>
      <c r="G161" s="98">
        <f t="shared" si="29"/>
        <v>0</v>
      </c>
      <c r="H161" s="140"/>
      <c r="I161" s="47"/>
      <c r="J161" s="106"/>
      <c r="K161" s="90"/>
      <c r="M161" s="20" t="str">
        <f t="shared" si="28"/>
        <v xml:space="preserve">JENDELA </v>
      </c>
    </row>
    <row r="162" spans="1:13" ht="18" customHeight="1" x14ac:dyDescent="0.25">
      <c r="B162" s="29" t="s">
        <v>145</v>
      </c>
      <c r="C162" s="124" t="s">
        <v>146</v>
      </c>
      <c r="D162" s="132"/>
      <c r="E162" s="132"/>
      <c r="F162" s="132"/>
      <c r="G162" s="132"/>
      <c r="H162" s="132"/>
      <c r="I162" s="133"/>
      <c r="J162" s="132"/>
      <c r="K162" s="134"/>
      <c r="M162" s="20"/>
    </row>
    <row r="163" spans="1:13" s="66" customFormat="1" ht="18" customHeight="1" x14ac:dyDescent="0.25">
      <c r="B163" s="34">
        <v>1</v>
      </c>
      <c r="C163" s="35" t="s">
        <v>147</v>
      </c>
      <c r="D163" s="36">
        <f>IFERROR(HLOOKUP($J$1,[1]DB!$C$1:$K$172,163,FALSE),"")</f>
        <v>6</v>
      </c>
      <c r="E163" s="36">
        <f>SUMIFS('[1]Rincian Keluar'!$G:$G,'[1]Rincian Keluar'!$E:$E,'PELANGI 02'!C163,'[1]Rincian Keluar'!$D:$D,'PELANGI 02'!$D$1,'[1]Rincian Keluar'!$H:$H,'PELANGI 02'!$J$1,'[1]Rincian Keluar'!$F:$F,'PELANGI 02'!M163)</f>
        <v>0</v>
      </c>
      <c r="F163" s="37">
        <v>14000</v>
      </c>
      <c r="G163" s="135">
        <f>E163*F163</f>
        <v>0</v>
      </c>
      <c r="H163" s="136"/>
      <c r="I163" s="39"/>
      <c r="J163" s="137"/>
      <c r="K163" s="84"/>
      <c r="M163" s="20" t="str">
        <f>$C$162</f>
        <v>ELEKTICAL</v>
      </c>
    </row>
    <row r="164" spans="1:13" s="66" customFormat="1" ht="18" customHeight="1" x14ac:dyDescent="0.25">
      <c r="B164" s="34">
        <v>2</v>
      </c>
      <c r="C164" s="35" t="s">
        <v>148</v>
      </c>
      <c r="D164" s="36">
        <f>IFERROR(HLOOKUP($J$1,[1]DB!$C$1:$K$172,164,FALSE),"")</f>
        <v>1</v>
      </c>
      <c r="E164" s="36">
        <f>SUMIFS('[1]Rincian Keluar'!$G:$G,'[1]Rincian Keluar'!$E:$E,'PELANGI 02'!C164,'[1]Rincian Keluar'!$D:$D,'PELANGI 02'!$D$1,'[1]Rincian Keluar'!$H:$H,'PELANGI 02'!$J$1,'[1]Rincian Keluar'!$F:$F,'PELANGI 02'!M164)</f>
        <v>0</v>
      </c>
      <c r="F164" s="37">
        <v>18000</v>
      </c>
      <c r="G164" s="135">
        <f t="shared" ref="G164:G172" si="30">E164*F164</f>
        <v>0</v>
      </c>
      <c r="H164" s="138"/>
      <c r="I164" s="42"/>
      <c r="J164" s="104"/>
      <c r="K164" s="87"/>
      <c r="M164" s="20" t="str">
        <f t="shared" ref="M164:M172" si="31">$C$162</f>
        <v>ELEKTICAL</v>
      </c>
    </row>
    <row r="165" spans="1:13" s="66" customFormat="1" ht="18" customHeight="1" x14ac:dyDescent="0.25">
      <c r="B165" s="34">
        <v>3</v>
      </c>
      <c r="C165" s="35" t="s">
        <v>149</v>
      </c>
      <c r="D165" s="36">
        <f>IFERROR(HLOOKUP($J$1,[1]DB!$C$1:$K$172,165,FALSE),"")</f>
        <v>11</v>
      </c>
      <c r="E165" s="36">
        <f>SUMIFS('[1]Rincian Keluar'!$G:$G,'[1]Rincian Keluar'!$E:$E,'PELANGI 02'!C165,'[1]Rincian Keluar'!$D:$D,'PELANGI 02'!$D$1,'[1]Rincian Keluar'!$H:$H,'PELANGI 02'!$J$1,'[1]Rincian Keluar'!$F:$F,'PELANGI 02'!M165)</f>
        <v>0</v>
      </c>
      <c r="F165" s="37">
        <v>15000</v>
      </c>
      <c r="G165" s="135">
        <f t="shared" si="30"/>
        <v>0</v>
      </c>
      <c r="H165" s="138"/>
      <c r="I165" s="42"/>
      <c r="J165" s="104"/>
      <c r="K165" s="87"/>
      <c r="M165" s="20" t="str">
        <f t="shared" si="31"/>
        <v>ELEKTICAL</v>
      </c>
    </row>
    <row r="166" spans="1:13" s="66" customFormat="1" ht="18" customHeight="1" x14ac:dyDescent="0.25">
      <c r="B166" s="34">
        <v>4</v>
      </c>
      <c r="C166" s="35" t="s">
        <v>150</v>
      </c>
      <c r="D166" s="36">
        <f>IFERROR(HLOOKUP($J$1,[1]DB!$C$1:$K$172,166,FALSE),"")</f>
        <v>1</v>
      </c>
      <c r="E166" s="36">
        <f>SUMIFS('[1]Rincian Keluar'!$G:$G,'[1]Rincian Keluar'!$E:$E,'PELANGI 02'!C166,'[1]Rincian Keluar'!$D:$D,'PELANGI 02'!$D$1,'[1]Rincian Keluar'!$H:$H,'PELANGI 02'!$J$1,'[1]Rincian Keluar'!$F:$F,'PELANGI 02'!M166)</f>
        <v>0</v>
      </c>
      <c r="F166" s="37">
        <v>336000</v>
      </c>
      <c r="G166" s="135">
        <f t="shared" si="30"/>
        <v>0</v>
      </c>
      <c r="H166" s="138"/>
      <c r="I166" s="42"/>
      <c r="J166" s="104"/>
      <c r="K166" s="87"/>
      <c r="M166" s="20" t="str">
        <f t="shared" si="31"/>
        <v>ELEKTICAL</v>
      </c>
    </row>
    <row r="167" spans="1:13" s="66" customFormat="1" ht="18" customHeight="1" x14ac:dyDescent="0.25">
      <c r="B167" s="34">
        <v>5</v>
      </c>
      <c r="C167" s="35" t="s">
        <v>151</v>
      </c>
      <c r="D167" s="36">
        <f>IFERROR(HLOOKUP($J$1,[1]DB!$C$1:$K$172,167,FALSE),"")</f>
        <v>7</v>
      </c>
      <c r="E167" s="36">
        <f>SUMIFS('[1]Rincian Keluar'!$G:$G,'[1]Rincian Keluar'!$E:$E,'PELANGI 02'!C167,'[1]Rincian Keluar'!$D:$D,'PELANGI 02'!$D$1,'[1]Rincian Keluar'!$H:$H,'PELANGI 02'!$J$1,'[1]Rincian Keluar'!$F:$F,'PELANGI 02'!M167)</f>
        <v>0</v>
      </c>
      <c r="F167" s="37">
        <v>5500</v>
      </c>
      <c r="G167" s="135">
        <f t="shared" si="30"/>
        <v>0</v>
      </c>
      <c r="H167" s="138"/>
      <c r="I167" s="42"/>
      <c r="J167" s="104"/>
      <c r="K167" s="87"/>
      <c r="M167" s="20" t="str">
        <f t="shared" si="31"/>
        <v>ELEKTICAL</v>
      </c>
    </row>
    <row r="168" spans="1:13" s="66" customFormat="1" ht="18" customHeight="1" x14ac:dyDescent="0.25">
      <c r="B168" s="34">
        <v>6</v>
      </c>
      <c r="C168" s="35" t="s">
        <v>152</v>
      </c>
      <c r="D168" s="36">
        <f>IFERROR(HLOOKUP($J$1,[1]DB!$C$1:$K$172,168,FALSE),"")</f>
        <v>25</v>
      </c>
      <c r="E168" s="36">
        <f>SUMIFS('[1]Rincian Keluar'!$G:$G,'[1]Rincian Keluar'!$E:$E,'PELANGI 02'!C168,'[1]Rincian Keluar'!$D:$D,'PELANGI 02'!$D$1,'[1]Rincian Keluar'!$H:$H,'PELANGI 02'!$J$1,'[1]Rincian Keluar'!$F:$F,'PELANGI 02'!M168)</f>
        <v>0</v>
      </c>
      <c r="F168" s="37">
        <v>8200</v>
      </c>
      <c r="G168" s="135">
        <f t="shared" si="30"/>
        <v>0</v>
      </c>
      <c r="H168" s="138"/>
      <c r="I168" s="42"/>
      <c r="J168" s="104"/>
      <c r="K168" s="87"/>
      <c r="M168" s="20" t="str">
        <f t="shared" si="31"/>
        <v>ELEKTICAL</v>
      </c>
    </row>
    <row r="169" spans="1:13" s="66" customFormat="1" ht="18" customHeight="1" x14ac:dyDescent="0.25">
      <c r="B169" s="34">
        <v>7</v>
      </c>
      <c r="C169" s="35" t="s">
        <v>153</v>
      </c>
      <c r="D169" s="36">
        <f>IFERROR(HLOOKUP($J$1,[1]DB!$C$1:$K$172,169,FALSE),"")</f>
        <v>35</v>
      </c>
      <c r="E169" s="36">
        <f>SUMIFS('[1]Rincian Keluar'!$G:$G,'[1]Rincian Keluar'!$E:$E,'PELANGI 02'!C169,'[1]Rincian Keluar'!$D:$D,'PELANGI 02'!$D$1,'[1]Rincian Keluar'!$H:$H,'PELANGI 02'!$J$1,'[1]Rincian Keluar'!$F:$F,'PELANGI 02'!M169)</f>
        <v>0</v>
      </c>
      <c r="F169" s="37">
        <v>12500</v>
      </c>
      <c r="G169" s="135">
        <f t="shared" si="30"/>
        <v>0</v>
      </c>
      <c r="H169" s="138"/>
      <c r="I169" s="42"/>
      <c r="J169" s="104"/>
      <c r="K169" s="87"/>
      <c r="M169" s="20" t="str">
        <f t="shared" si="31"/>
        <v>ELEKTICAL</v>
      </c>
    </row>
    <row r="170" spans="1:13" s="66" customFormat="1" ht="18" customHeight="1" x14ac:dyDescent="0.25">
      <c r="B170" s="34">
        <v>8</v>
      </c>
      <c r="C170" s="35" t="s">
        <v>154</v>
      </c>
      <c r="D170" s="36">
        <f>IFERROR(HLOOKUP($J$1,[1]DB!$C$1:$K$172,170,FALSE),"")</f>
        <v>1</v>
      </c>
      <c r="E170" s="36">
        <f>SUMIFS('[1]Rincian Keluar'!$G:$G,'[1]Rincian Keluar'!$E:$E,'PELANGI 02'!C170,'[1]Rincian Keluar'!$D:$D,'PELANGI 02'!$D$1,'[1]Rincian Keluar'!$H:$H,'PELANGI 02'!$J$1,'[1]Rincian Keluar'!$F:$F,'PELANGI 02'!M170)</f>
        <v>0</v>
      </c>
      <c r="F170" s="37">
        <v>19000</v>
      </c>
      <c r="G170" s="135">
        <f t="shared" si="30"/>
        <v>0</v>
      </c>
      <c r="H170" s="138"/>
      <c r="I170" s="42"/>
      <c r="J170" s="104"/>
      <c r="K170" s="87"/>
      <c r="M170" s="20" t="str">
        <f t="shared" si="31"/>
        <v>ELEKTICAL</v>
      </c>
    </row>
    <row r="171" spans="1:13" s="66" customFormat="1" ht="18" customHeight="1" x14ac:dyDescent="0.25">
      <c r="B171" s="34">
        <v>9</v>
      </c>
      <c r="C171" s="35" t="s">
        <v>155</v>
      </c>
      <c r="D171" s="36">
        <f>IFERROR(HLOOKUP($J$1,[1]DB!$C$1:$K$172,171,FALSE),"")</f>
        <v>1</v>
      </c>
      <c r="E171" s="36">
        <f>SUMIFS('[1]Rincian Keluar'!$G:$G,'[1]Rincian Keluar'!$E:$E,'PELANGI 02'!C171,'[1]Rincian Keluar'!$D:$D,'PELANGI 02'!$D$1,'[1]Rincian Keluar'!$H:$H,'PELANGI 02'!$J$1,'[1]Rincian Keluar'!$F:$F,'PELANGI 02'!M171)</f>
        <v>0</v>
      </c>
      <c r="F171" s="37">
        <v>14000</v>
      </c>
      <c r="G171" s="135">
        <f t="shared" si="30"/>
        <v>0</v>
      </c>
      <c r="H171" s="138"/>
      <c r="I171" s="42"/>
      <c r="J171" s="104"/>
      <c r="K171" s="87"/>
      <c r="M171" s="20" t="str">
        <f t="shared" si="31"/>
        <v>ELEKTICAL</v>
      </c>
    </row>
    <row r="172" spans="1:13" s="66" customFormat="1" ht="18" customHeight="1" x14ac:dyDescent="0.25">
      <c r="A172" s="66" t="s">
        <v>156</v>
      </c>
      <c r="B172" s="34">
        <v>10</v>
      </c>
      <c r="C172" s="35" t="s">
        <v>157</v>
      </c>
      <c r="D172" s="36">
        <f>IFERROR(HLOOKUP($J$1,[1]DB!$C$1:$K$172,172,FALSE),"")</f>
        <v>1</v>
      </c>
      <c r="E172" s="36">
        <f>SUMIFS('[1]Rincian Keluar'!$G:$G,'[1]Rincian Keluar'!$E:$E,'PELANGI 02'!C172,'[1]Rincian Keluar'!$D:$D,'PELANGI 02'!$D$1,'[1]Rincian Keluar'!$H:$H,'PELANGI 02'!$J$1,'[1]Rincian Keluar'!$F:$F,'PELANGI 02'!M172)</f>
        <v>0</v>
      </c>
      <c r="F172" s="37">
        <v>60000</v>
      </c>
      <c r="G172" s="135">
        <f t="shared" si="30"/>
        <v>0</v>
      </c>
      <c r="H172" s="140"/>
      <c r="I172" s="47"/>
      <c r="J172" s="106"/>
      <c r="K172" s="90"/>
      <c r="M172" s="20" t="str">
        <f t="shared" si="31"/>
        <v>ELEKTICAL</v>
      </c>
    </row>
    <row r="173" spans="1:13" ht="18" customHeight="1" x14ac:dyDescent="0.25">
      <c r="B173" s="143" t="s">
        <v>158</v>
      </c>
      <c r="C173" s="144"/>
      <c r="D173" s="144"/>
      <c r="E173" s="144"/>
      <c r="F173" s="145"/>
      <c r="G173" s="146">
        <f>SUM(G7:G172)</f>
        <v>16946200</v>
      </c>
      <c r="H173" s="146"/>
      <c r="I173" s="147"/>
      <c r="J173" s="146">
        <f>SUM(J7:J172)</f>
        <v>3183000</v>
      </c>
      <c r="K173" s="148"/>
    </row>
    <row r="174" spans="1:13" ht="18" customHeight="1" thickBot="1" x14ac:dyDescent="0.3">
      <c r="B174" s="149" t="s">
        <v>159</v>
      </c>
      <c r="C174" s="150"/>
      <c r="D174" s="150"/>
      <c r="E174" s="150"/>
      <c r="F174" s="150"/>
      <c r="G174" s="151">
        <f>SUM(G173,J173)</f>
        <v>20129200</v>
      </c>
      <c r="H174" s="152"/>
      <c r="I174" s="153"/>
      <c r="J174" s="154"/>
      <c r="K174" s="155"/>
    </row>
    <row r="175" spans="1:13" x14ac:dyDescent="0.25">
      <c r="C175" s="156"/>
    </row>
    <row r="176" spans="1:13" x14ac:dyDescent="0.25">
      <c r="C176" s="156"/>
    </row>
    <row r="177" spans="3:3" x14ac:dyDescent="0.25">
      <c r="C177" s="156"/>
    </row>
    <row r="178" spans="3:3" x14ac:dyDescent="0.25">
      <c r="C178" s="156"/>
    </row>
    <row r="179" spans="3:3" x14ac:dyDescent="0.25">
      <c r="C179" s="156"/>
    </row>
    <row r="180" spans="3:3" x14ac:dyDescent="0.25">
      <c r="C180" s="156"/>
    </row>
    <row r="181" spans="3:3" x14ac:dyDescent="0.25">
      <c r="C181" s="156"/>
    </row>
    <row r="182" spans="3:3" x14ac:dyDescent="0.25">
      <c r="C182" s="156"/>
    </row>
    <row r="183" spans="3:3" x14ac:dyDescent="0.25">
      <c r="C183" s="156"/>
    </row>
    <row r="184" spans="3:3" x14ac:dyDescent="0.25">
      <c r="C184" s="156"/>
    </row>
    <row r="185" spans="3:3" x14ac:dyDescent="0.25">
      <c r="C185" s="156"/>
    </row>
    <row r="186" spans="3:3" x14ac:dyDescent="0.25">
      <c r="C186" s="156"/>
    </row>
    <row r="187" spans="3:3" x14ac:dyDescent="0.25">
      <c r="C187" s="156"/>
    </row>
  </sheetData>
  <autoFilter ref="B4:K174"/>
  <mergeCells count="75">
    <mergeCell ref="B173:F173"/>
    <mergeCell ref="B174:F174"/>
    <mergeCell ref="H143:H161"/>
    <mergeCell ref="I143:I161"/>
    <mergeCell ref="J143:J161"/>
    <mergeCell ref="K143:K161"/>
    <mergeCell ref="H163:H172"/>
    <mergeCell ref="I163:I172"/>
    <mergeCell ref="J163:J172"/>
    <mergeCell ref="K163:K172"/>
    <mergeCell ref="H131:H132"/>
    <mergeCell ref="I131:I132"/>
    <mergeCell ref="J131:J132"/>
    <mergeCell ref="K131:K132"/>
    <mergeCell ref="H134:H141"/>
    <mergeCell ref="I134:I141"/>
    <mergeCell ref="J134:J141"/>
    <mergeCell ref="K134:K141"/>
    <mergeCell ref="H120:H123"/>
    <mergeCell ref="I120:I123"/>
    <mergeCell ref="J120:J123"/>
    <mergeCell ref="K120:K123"/>
    <mergeCell ref="H125:H129"/>
    <mergeCell ref="I125:I129"/>
    <mergeCell ref="J125:J129"/>
    <mergeCell ref="K125:K129"/>
    <mergeCell ref="H99:H102"/>
    <mergeCell ref="I99:I103"/>
    <mergeCell ref="J99:J103"/>
    <mergeCell ref="K99:K102"/>
    <mergeCell ref="H105:H116"/>
    <mergeCell ref="I105:I116"/>
    <mergeCell ref="J105:J116"/>
    <mergeCell ref="K105:K116"/>
    <mergeCell ref="H83:H86"/>
    <mergeCell ref="I83:I86"/>
    <mergeCell ref="J83:J86"/>
    <mergeCell ref="K83:K86"/>
    <mergeCell ref="H88:H96"/>
    <mergeCell ref="I88:I96"/>
    <mergeCell ref="J88:J96"/>
    <mergeCell ref="K88:K96"/>
    <mergeCell ref="H65:H74"/>
    <mergeCell ref="I65:I74"/>
    <mergeCell ref="J65:J74"/>
    <mergeCell ref="K65:K74"/>
    <mergeCell ref="H76:H81"/>
    <mergeCell ref="I76:I81"/>
    <mergeCell ref="J76:J81"/>
    <mergeCell ref="K76:K81"/>
    <mergeCell ref="H38:H59"/>
    <mergeCell ref="I38:I59"/>
    <mergeCell ref="J38:J59"/>
    <mergeCell ref="K38:K59"/>
    <mergeCell ref="H61:H63"/>
    <mergeCell ref="I61:I63"/>
    <mergeCell ref="J61:J63"/>
    <mergeCell ref="K61:K63"/>
    <mergeCell ref="H20:H23"/>
    <mergeCell ref="I20:I23"/>
    <mergeCell ref="J20:J23"/>
    <mergeCell ref="K20:K23"/>
    <mergeCell ref="H25:H36"/>
    <mergeCell ref="I25:I36"/>
    <mergeCell ref="J25:J36"/>
    <mergeCell ref="K25:K36"/>
    <mergeCell ref="B3:K3"/>
    <mergeCell ref="H7:H14"/>
    <mergeCell ref="I7:I14"/>
    <mergeCell ref="J7:J14"/>
    <mergeCell ref="K7:K14"/>
    <mergeCell ref="H16:H18"/>
    <mergeCell ref="I16:I18"/>
    <mergeCell ref="J16:J18"/>
    <mergeCell ref="K16:K18"/>
  </mergeCells>
  <printOptions horizontalCentered="1"/>
  <pageMargins left="0.19685039370078741" right="0.19685039370078741" top="0.19685039370078741" bottom="0.19685039370078741" header="0" footer="0"/>
  <pageSetup paperSize="346" scale="59" fitToHeight="0" orientation="portrait" r:id="rId1"/>
  <rowBreaks count="1" manualBreakCount="1">
    <brk id="86" min="1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87"/>
  <sheetViews>
    <sheetView zoomScale="70" zoomScaleNormal="70" zoomScaleSheetLayoutView="87" workbookViewId="0">
      <selection activeCell="J125" sqref="J125:J129"/>
    </sheetView>
  </sheetViews>
  <sheetFormatPr defaultColWidth="8.85546875" defaultRowHeight="15.75" x14ac:dyDescent="0.25"/>
  <cols>
    <col min="1" max="1" width="1.7109375" style="1" bestFit="1" customWidth="1"/>
    <col min="2" max="2" width="4.42578125" style="1" bestFit="1" customWidth="1"/>
    <col min="3" max="3" width="39.5703125" style="1" bestFit="1" customWidth="1"/>
    <col min="4" max="4" width="9.7109375" style="1" bestFit="1" customWidth="1"/>
    <col min="5" max="5" width="11.5703125" style="157" bestFit="1" customWidth="1"/>
    <col min="6" max="6" width="20.28515625" style="158" bestFit="1" customWidth="1"/>
    <col min="7" max="7" width="19.140625" style="159" bestFit="1" customWidth="1"/>
    <col min="8" max="8" width="18.85546875" style="1" customWidth="1"/>
    <col min="9" max="9" width="19.140625" style="160" bestFit="1" customWidth="1"/>
    <col min="10" max="10" width="21.5703125" style="161" bestFit="1" customWidth="1"/>
    <col min="11" max="11" width="13.42578125" style="162" bestFit="1" customWidth="1"/>
    <col min="12" max="13" width="8.85546875" style="1"/>
    <col min="14" max="14" width="34.5703125" style="1" customWidth="1"/>
    <col min="15" max="16384" width="8.85546875" style="1"/>
  </cols>
  <sheetData>
    <row r="1" spans="1:13" x14ac:dyDescent="0.25">
      <c r="B1" s="2" t="s">
        <v>0</v>
      </c>
      <c r="C1" s="3"/>
      <c r="D1" s="4" t="s">
        <v>165</v>
      </c>
      <c r="E1" s="5"/>
      <c r="F1" s="5"/>
      <c r="G1" s="5"/>
      <c r="H1" s="2" t="s">
        <v>2</v>
      </c>
      <c r="I1" s="6"/>
      <c r="J1" s="7">
        <v>80</v>
      </c>
      <c r="K1" s="8"/>
    </row>
    <row r="2" spans="1:13" ht="16.5" thickBot="1" x14ac:dyDescent="0.3">
      <c r="B2" s="9"/>
      <c r="C2" s="10"/>
      <c r="D2" s="11"/>
      <c r="E2" s="12"/>
      <c r="F2" s="12"/>
      <c r="G2" s="12"/>
      <c r="H2" s="9"/>
      <c r="I2" s="13"/>
      <c r="J2" s="14"/>
      <c r="K2" s="15"/>
    </row>
    <row r="3" spans="1:13" s="20" customFormat="1" ht="8.25" customHeight="1" x14ac:dyDescent="0.25">
      <c r="A3" s="1"/>
      <c r="B3" s="16"/>
      <c r="C3" s="17"/>
      <c r="D3" s="17"/>
      <c r="E3" s="17"/>
      <c r="F3" s="17"/>
      <c r="G3" s="17"/>
      <c r="H3" s="17"/>
      <c r="I3" s="17"/>
      <c r="J3" s="18"/>
      <c r="K3" s="19"/>
    </row>
    <row r="4" spans="1:13" s="20" customFormat="1" x14ac:dyDescent="0.25">
      <c r="A4" s="1"/>
      <c r="B4" s="21" t="s">
        <v>3</v>
      </c>
      <c r="C4" s="22" t="s">
        <v>4</v>
      </c>
      <c r="D4" s="23" t="s">
        <v>5</v>
      </c>
      <c r="E4" s="23"/>
      <c r="F4" s="24" t="s">
        <v>6</v>
      </c>
      <c r="G4" s="25" t="s">
        <v>7</v>
      </c>
      <c r="H4" s="22" t="s">
        <v>8</v>
      </c>
      <c r="I4" s="23" t="s">
        <v>9</v>
      </c>
      <c r="J4" s="23" t="s">
        <v>10</v>
      </c>
      <c r="K4" s="26" t="s">
        <v>11</v>
      </c>
    </row>
    <row r="5" spans="1:13" s="20" customFormat="1" x14ac:dyDescent="0.25">
      <c r="A5" s="1"/>
      <c r="B5" s="21"/>
      <c r="C5" s="27"/>
      <c r="D5" s="24" t="s">
        <v>12</v>
      </c>
      <c r="E5" s="24" t="s">
        <v>13</v>
      </c>
      <c r="F5" s="24" t="s">
        <v>14</v>
      </c>
      <c r="G5" s="25" t="s">
        <v>14</v>
      </c>
      <c r="H5" s="22"/>
      <c r="I5" s="23"/>
      <c r="J5" s="28"/>
      <c r="K5" s="26"/>
    </row>
    <row r="6" spans="1:13" s="20" customFormat="1" ht="18" customHeight="1" x14ac:dyDescent="0.25">
      <c r="A6" s="1"/>
      <c r="B6" s="29" t="s">
        <v>15</v>
      </c>
      <c r="C6" s="30" t="s">
        <v>16</v>
      </c>
      <c r="D6" s="31"/>
      <c r="E6" s="31"/>
      <c r="F6" s="31"/>
      <c r="G6" s="31"/>
      <c r="H6" s="31"/>
      <c r="I6" s="32"/>
      <c r="J6" s="31"/>
      <c r="K6" s="33"/>
    </row>
    <row r="7" spans="1:13" s="20" customFormat="1" ht="18" customHeight="1" x14ac:dyDescent="0.25">
      <c r="A7" s="1"/>
      <c r="B7" s="34">
        <v>1</v>
      </c>
      <c r="C7" s="35" t="s">
        <v>17</v>
      </c>
      <c r="D7" s="36">
        <f>IFERROR(HLOOKUP($J$1,[1]DB!$C$1:$K$172,7,FALSE),"")</f>
        <v>19</v>
      </c>
      <c r="E7" s="36">
        <f>SUMIFS('[1]Rincian Keluar'!$G:$G,'[1]Rincian Keluar'!$E:$E,'RIDHO 01'!C7,'[1]Rincian Keluar'!$D:$D,'RIDHO 01'!$D$1,'[1]Rincian Keluar'!$H:$H,'RIDHO 01'!$J$1,'[1]Rincian Keluar'!$F:$F,'RIDHO 01'!M7)</f>
        <v>16</v>
      </c>
      <c r="F7" s="37">
        <v>21500</v>
      </c>
      <c r="G7" s="38">
        <f>E7*F7</f>
        <v>344000</v>
      </c>
      <c r="H7" s="39">
        <v>2565000</v>
      </c>
      <c r="I7" s="39">
        <f>IFERROR(VLOOKUP($C6,[1]HK!$B$5:$C$14,2,FALSE),"")*$J1</f>
        <v>3336000</v>
      </c>
      <c r="J7" s="40">
        <f>I7-H7</f>
        <v>771000</v>
      </c>
      <c r="K7" s="41">
        <v>1</v>
      </c>
      <c r="M7" s="20" t="str">
        <f>$C$6</f>
        <v>PONDASI</v>
      </c>
    </row>
    <row r="8" spans="1:13" s="20" customFormat="1" ht="18" customHeight="1" x14ac:dyDescent="0.25">
      <c r="A8" s="1"/>
      <c r="B8" s="34">
        <v>2</v>
      </c>
      <c r="C8" s="35" t="s">
        <v>18</v>
      </c>
      <c r="D8" s="36">
        <f>IFERROR(HLOOKUP($J$1,[1]DB!$C$1:$K$172,8,FALSE),"")</f>
        <v>66</v>
      </c>
      <c r="E8" s="36">
        <f>SUMIFS('[1]Rincian Keluar'!$G:$G,'[1]Rincian Keluar'!$E:$E,'RIDHO 01'!C8,'[1]Rincian Keluar'!$D:$D,'RIDHO 01'!$D$1,'[1]Rincian Keluar'!$H:$H,'RIDHO 01'!$J$1,'[1]Rincian Keluar'!$F:$F,'RIDHO 01'!M8)</f>
        <v>56</v>
      </c>
      <c r="F8" s="37">
        <v>49000</v>
      </c>
      <c r="G8" s="38">
        <f t="shared" ref="G8:G14" si="0">E8*F8</f>
        <v>2744000</v>
      </c>
      <c r="H8" s="42"/>
      <c r="I8" s="42"/>
      <c r="J8" s="43"/>
      <c r="K8" s="44"/>
      <c r="M8" s="20" t="str">
        <f t="shared" ref="M8:M14" si="1">$C$6</f>
        <v>PONDASI</v>
      </c>
    </row>
    <row r="9" spans="1:13" s="20" customFormat="1" ht="18" customHeight="1" x14ac:dyDescent="0.25">
      <c r="A9" s="1"/>
      <c r="B9" s="34">
        <v>3</v>
      </c>
      <c r="C9" s="45" t="s">
        <v>19</v>
      </c>
      <c r="D9" s="36">
        <f>IFERROR(HLOOKUP($J$1,[1]DB!$C$1:$K$172,9,FALSE),"")</f>
        <v>56</v>
      </c>
      <c r="E9" s="36">
        <f>SUMIFS('[1]Rincian Keluar'!$G:$G,'[1]Rincian Keluar'!$E:$E,'RIDHO 01'!C9,'[1]Rincian Keluar'!$D:$D,'RIDHO 01'!$D$1,'[1]Rincian Keluar'!$H:$H,'RIDHO 01'!$J$1,'[1]Rincian Keluar'!$F:$F,'RIDHO 01'!M9)</f>
        <v>42</v>
      </c>
      <c r="F9" s="46">
        <v>11000</v>
      </c>
      <c r="G9" s="38">
        <f t="shared" si="0"/>
        <v>462000</v>
      </c>
      <c r="H9" s="42"/>
      <c r="I9" s="42"/>
      <c r="J9" s="43"/>
      <c r="K9" s="44"/>
      <c r="M9" s="20" t="str">
        <f t="shared" si="1"/>
        <v>PONDASI</v>
      </c>
    </row>
    <row r="10" spans="1:13" s="20" customFormat="1" ht="18" customHeight="1" x14ac:dyDescent="0.25">
      <c r="A10" s="1"/>
      <c r="B10" s="34">
        <v>4</v>
      </c>
      <c r="C10" s="45" t="s">
        <v>20</v>
      </c>
      <c r="D10" s="36">
        <f>IFERROR(HLOOKUP($J$1,[1]DB!$C$1:$K$172,10,FALSE),"")</f>
        <v>118</v>
      </c>
      <c r="E10" s="36">
        <f>SUMIFS('[1]Rincian Keluar'!$G:$G,'[1]Rincian Keluar'!$E:$E,'RIDHO 01'!C10,'[1]Rincian Keluar'!$D:$D,'RIDHO 01'!$D$1,'[1]Rincian Keluar'!$H:$H,'RIDHO 01'!$J$1,'[1]Rincian Keluar'!$F:$F,'RIDHO 01'!M10)</f>
        <v>89</v>
      </c>
      <c r="F10" s="37">
        <v>8000</v>
      </c>
      <c r="G10" s="38">
        <f t="shared" si="0"/>
        <v>712000</v>
      </c>
      <c r="H10" s="42"/>
      <c r="I10" s="42"/>
      <c r="J10" s="43"/>
      <c r="K10" s="44"/>
      <c r="M10" s="20" t="str">
        <f t="shared" si="1"/>
        <v>PONDASI</v>
      </c>
    </row>
    <row r="11" spans="1:13" s="20" customFormat="1" ht="18" customHeight="1" x14ac:dyDescent="0.25">
      <c r="A11" s="1"/>
      <c r="B11" s="34">
        <v>5</v>
      </c>
      <c r="C11" s="45" t="s">
        <v>21</v>
      </c>
      <c r="D11" s="36">
        <f>IFERROR(HLOOKUP($J$1,[1]DB!$C$1:$K$172,11,FALSE),"")</f>
        <v>262</v>
      </c>
      <c r="E11" s="36">
        <f>SUMIFS('[1]Rincian Keluar'!$G:$G,'[1]Rincian Keluar'!$E:$E,'RIDHO 01'!C11,'[1]Rincian Keluar'!$D:$D,'RIDHO 01'!$D$1,'[1]Rincian Keluar'!$H:$H,'RIDHO 01'!$J$1,'[1]Rincian Keluar'!$F:$F,'RIDHO 01'!M11)</f>
        <v>197</v>
      </c>
      <c r="F11" s="37">
        <v>11000</v>
      </c>
      <c r="G11" s="38">
        <f t="shared" si="0"/>
        <v>2167000</v>
      </c>
      <c r="H11" s="42"/>
      <c r="I11" s="42"/>
      <c r="J11" s="43"/>
      <c r="K11" s="44"/>
      <c r="M11" s="20" t="str">
        <f t="shared" si="1"/>
        <v>PONDASI</v>
      </c>
    </row>
    <row r="12" spans="1:13" s="20" customFormat="1" ht="18" customHeight="1" x14ac:dyDescent="0.25">
      <c r="A12" s="1"/>
      <c r="B12" s="34">
        <v>6</v>
      </c>
      <c r="C12" s="45" t="s">
        <v>22</v>
      </c>
      <c r="D12" s="36">
        <f>IFERROR(HLOOKUP($J$1,[1]DB!$C$1:$K$172,12,FALSE),"")</f>
        <v>21</v>
      </c>
      <c r="E12" s="36">
        <f>SUMIFS('[1]Rincian Keluar'!$G:$G,'[1]Rincian Keluar'!$E:$E,'RIDHO 01'!C12,'[1]Rincian Keluar'!$D:$D,'RIDHO 01'!$D$1,'[1]Rincian Keluar'!$H:$H,'RIDHO 01'!$J$1,'[1]Rincian Keluar'!$F:$F,'RIDHO 01'!M12)</f>
        <v>17</v>
      </c>
      <c r="F12" s="37">
        <v>150000</v>
      </c>
      <c r="G12" s="38">
        <f t="shared" si="0"/>
        <v>2550000</v>
      </c>
      <c r="H12" s="42"/>
      <c r="I12" s="42"/>
      <c r="J12" s="43"/>
      <c r="K12" s="44"/>
      <c r="M12" s="20" t="str">
        <f t="shared" si="1"/>
        <v>PONDASI</v>
      </c>
    </row>
    <row r="13" spans="1:13" s="20" customFormat="1" ht="18" customHeight="1" x14ac:dyDescent="0.25">
      <c r="A13" s="1"/>
      <c r="B13" s="34">
        <v>7</v>
      </c>
      <c r="C13" s="45" t="s">
        <v>23</v>
      </c>
      <c r="D13" s="36">
        <f>IFERROR(HLOOKUP($J$1,[1]DB!$C$1:$K$172,13,FALSE),"")</f>
        <v>3</v>
      </c>
      <c r="E13" s="36">
        <f>SUMIFS('[1]Rincian Keluar'!$G:$G,'[1]Rincian Keluar'!$E:$E,'RIDHO 01'!C13,'[1]Rincian Keluar'!$D:$D,'RIDHO 01'!$D$1,'[1]Rincian Keluar'!$H:$H,'RIDHO 01'!$J$1,'[1]Rincian Keluar'!$F:$F,'RIDHO 01'!M13)</f>
        <v>3</v>
      </c>
      <c r="F13" s="37">
        <v>500000</v>
      </c>
      <c r="G13" s="38">
        <f t="shared" si="0"/>
        <v>1500000</v>
      </c>
      <c r="H13" s="42"/>
      <c r="I13" s="42"/>
      <c r="J13" s="43"/>
      <c r="K13" s="44"/>
      <c r="M13" s="20" t="str">
        <f t="shared" si="1"/>
        <v>PONDASI</v>
      </c>
    </row>
    <row r="14" spans="1:13" s="20" customFormat="1" ht="18" customHeight="1" x14ac:dyDescent="0.25">
      <c r="A14" s="1"/>
      <c r="B14" s="34">
        <v>8</v>
      </c>
      <c r="C14" s="45" t="s">
        <v>24</v>
      </c>
      <c r="D14" s="36">
        <f>IFERROR(HLOOKUP($J$1,[1]DB!$C$1:$K$172,14,FALSE),"")</f>
        <v>62</v>
      </c>
      <c r="E14" s="36">
        <f>SUMIFS('[1]Rincian Keluar'!$G:$G,'[1]Rincian Keluar'!$E:$E,'RIDHO 01'!C14,'[1]Rincian Keluar'!$D:$D,'RIDHO 01'!$D$1,'[1]Rincian Keluar'!$H:$H,'RIDHO 01'!$J$1,'[1]Rincian Keluar'!$F:$F,'RIDHO 01'!M14)</f>
        <v>51</v>
      </c>
      <c r="F14" s="37">
        <v>60700</v>
      </c>
      <c r="G14" s="38">
        <f t="shared" si="0"/>
        <v>3095700</v>
      </c>
      <c r="H14" s="47"/>
      <c r="I14" s="47"/>
      <c r="J14" s="48"/>
      <c r="K14" s="49"/>
      <c r="M14" s="20" t="str">
        <f t="shared" si="1"/>
        <v>PONDASI</v>
      </c>
    </row>
    <row r="15" spans="1:13" ht="18" customHeight="1" x14ac:dyDescent="0.25">
      <c r="B15" s="29" t="s">
        <v>25</v>
      </c>
      <c r="C15" s="50" t="s">
        <v>26</v>
      </c>
      <c r="D15" s="31"/>
      <c r="E15" s="31"/>
      <c r="F15" s="31"/>
      <c r="G15" s="31"/>
      <c r="H15" s="31"/>
      <c r="I15" s="32"/>
      <c r="J15" s="31"/>
      <c r="K15" s="33"/>
    </row>
    <row r="16" spans="1:13" ht="18" customHeight="1" x14ac:dyDescent="0.25">
      <c r="B16" s="34">
        <v>1</v>
      </c>
      <c r="C16" s="35" t="s">
        <v>22</v>
      </c>
      <c r="D16" s="36">
        <f>IFERROR(HLOOKUP($J$1,[1]DB!$C$1:$K$172,16,FALSE),"")</f>
        <v>51</v>
      </c>
      <c r="E16" s="36">
        <f>SUMIFS('[1]Rincian Keluar'!$G:$G,'[1]Rincian Keluar'!$E:$E,'RIDHO 01'!C16,'[1]Rincian Keluar'!$D:$D,'RIDHO 01'!$D$1,'[1]Rincian Keluar'!$H:$H,'RIDHO 01'!$J$1,'[1]Rincian Keluar'!$F:$F,'RIDHO 01'!M16)</f>
        <v>47</v>
      </c>
      <c r="F16" s="37">
        <v>150000</v>
      </c>
      <c r="G16" s="38">
        <f>E16*F16</f>
        <v>7050000</v>
      </c>
      <c r="H16" s="51">
        <v>1087000</v>
      </c>
      <c r="I16" s="39">
        <f>IFERROR(VLOOKUP($C15,[1]HK!$B$5:$C$14,2,FALSE),"")*$J1</f>
        <v>1336000</v>
      </c>
      <c r="J16" s="52">
        <f>I16-H16</f>
        <v>249000</v>
      </c>
      <c r="K16" s="41">
        <v>1</v>
      </c>
      <c r="M16" s="20" t="str">
        <f>$C$15</f>
        <v>URUG</v>
      </c>
    </row>
    <row r="17" spans="2:13" ht="18" customHeight="1" x14ac:dyDescent="0.25">
      <c r="B17" s="34">
        <v>2</v>
      </c>
      <c r="C17" s="35" t="s">
        <v>27</v>
      </c>
      <c r="D17" s="36">
        <f>IFERROR(HLOOKUP($J$1,[1]DB!$C$1:$K$172,17,FALSE),"")</f>
        <v>2</v>
      </c>
      <c r="E17" s="36">
        <f>SUMIFS('[1]Rincian Keluar'!$G:$G,'[1]Rincian Keluar'!$E:$E,'RIDHO 01'!C17,'[1]Rincian Keluar'!$D:$D,'RIDHO 01'!$D$1,'[1]Rincian Keluar'!$H:$H,'RIDHO 01'!$J$1,'[1]Rincian Keluar'!$F:$F,'RIDHO 01'!M17)</f>
        <v>2</v>
      </c>
      <c r="F17" s="37">
        <v>133500</v>
      </c>
      <c r="G17" s="38">
        <f t="shared" ref="G17:G18" si="2">E17*F17</f>
        <v>267000</v>
      </c>
      <c r="H17" s="53"/>
      <c r="I17" s="42"/>
      <c r="J17" s="54"/>
      <c r="K17" s="44"/>
      <c r="M17" s="20" t="str">
        <f t="shared" ref="M17:M18" si="3">$C$15</f>
        <v>URUG</v>
      </c>
    </row>
    <row r="18" spans="2:13" ht="18" customHeight="1" x14ac:dyDescent="0.25">
      <c r="B18" s="34">
        <v>3</v>
      </c>
      <c r="C18" s="35" t="s">
        <v>28</v>
      </c>
      <c r="D18" s="36">
        <f>IFERROR(HLOOKUP($J$1,[1]DB!$C$1:$K$172,18,FALSE),"")</f>
        <v>2</v>
      </c>
      <c r="E18" s="36">
        <f>SUMIFS('[1]Rincian Keluar'!$G:$G,'[1]Rincian Keluar'!$E:$E,'RIDHO 01'!C18,'[1]Rincian Keluar'!$D:$D,'RIDHO 01'!$D$1,'[1]Rincian Keluar'!$H:$H,'RIDHO 01'!$J$1,'[1]Rincian Keluar'!$F:$F,'RIDHO 01'!M18)</f>
        <v>2</v>
      </c>
      <c r="F18" s="37">
        <v>48000</v>
      </c>
      <c r="G18" s="38">
        <f t="shared" si="2"/>
        <v>96000</v>
      </c>
      <c r="H18" s="55"/>
      <c r="I18" s="47"/>
      <c r="J18" s="56"/>
      <c r="K18" s="49"/>
      <c r="M18" s="20" t="str">
        <f t="shared" si="3"/>
        <v>URUG</v>
      </c>
    </row>
    <row r="19" spans="2:13" ht="18" customHeight="1" x14ac:dyDescent="0.25">
      <c r="B19" s="207" t="s">
        <v>29</v>
      </c>
      <c r="C19" s="208" t="s">
        <v>30</v>
      </c>
      <c r="D19" s="209"/>
      <c r="E19" s="209"/>
      <c r="F19" s="209"/>
      <c r="G19" s="209"/>
      <c r="H19" s="209"/>
      <c r="I19" s="210"/>
      <c r="J19" s="209"/>
      <c r="K19" s="211"/>
    </row>
    <row r="20" spans="2:13" ht="18" customHeight="1" x14ac:dyDescent="0.25">
      <c r="B20" s="34">
        <v>1</v>
      </c>
      <c r="C20" s="35" t="s">
        <v>17</v>
      </c>
      <c r="D20" s="36">
        <f>IFERROR(HLOOKUP($J$1,[1]DB!$C$1:$K$172,20,FALSE),"")</f>
        <v>25</v>
      </c>
      <c r="E20" s="36">
        <f>SUMIFS('[1]Rincian Keluar'!$G:$G,'[1]Rincian Keluar'!$E:$E,'RIDHO 01'!C20,'[1]Rincian Keluar'!$D:$D,'RIDHO 01'!$D$1,'[1]Rincian Keluar'!$H:$H,'RIDHO 01'!$J$1,'[1]Rincian Keluar'!$F:$F,'RIDHO 01'!M20)</f>
        <v>25</v>
      </c>
      <c r="F20" s="37">
        <v>22000</v>
      </c>
      <c r="G20" s="38">
        <f>E20*F20</f>
        <v>550000</v>
      </c>
      <c r="H20" s="51">
        <v>879000</v>
      </c>
      <c r="I20" s="39">
        <f>IFERROR(VLOOKUP($C19,[1]HK!$B$5:$C$14,2,FALSE),"")*$J1</f>
        <v>800000</v>
      </c>
      <c r="J20" s="40">
        <f>I20-H20</f>
        <v>-79000</v>
      </c>
      <c r="K20" s="41">
        <v>1</v>
      </c>
      <c r="M20" s="20" t="str">
        <f>$C$19</f>
        <v>COR LANTAI</v>
      </c>
    </row>
    <row r="21" spans="2:13" ht="18" customHeight="1" x14ac:dyDescent="0.25">
      <c r="B21" s="34">
        <v>2</v>
      </c>
      <c r="C21" s="35" t="s">
        <v>31</v>
      </c>
      <c r="D21" s="36">
        <f>IFERROR(HLOOKUP($J$1,[1]DB!$C$1:$K$172,21,FALSE),"")</f>
        <v>8</v>
      </c>
      <c r="E21" s="36">
        <f>SUMIFS('[1]Rincian Keluar'!$G:$G,'[1]Rincian Keluar'!$E:$E,'RIDHO 01'!C21,'[1]Rincian Keluar'!$D:$D,'RIDHO 01'!$D$1,'[1]Rincian Keluar'!$H:$H,'RIDHO 01'!$J$1,'[1]Rincian Keluar'!$F:$F,'RIDHO 01'!M21)</f>
        <v>7</v>
      </c>
      <c r="F21" s="37">
        <v>150000</v>
      </c>
      <c r="G21" s="38">
        <f t="shared" ref="G21:G23" si="4">E21*F21</f>
        <v>1050000</v>
      </c>
      <c r="H21" s="53"/>
      <c r="I21" s="42"/>
      <c r="J21" s="43"/>
      <c r="K21" s="44"/>
      <c r="M21" s="20" t="str">
        <f t="shared" ref="M21:M23" si="5">$C$19</f>
        <v>COR LANTAI</v>
      </c>
    </row>
    <row r="22" spans="2:13" ht="18" customHeight="1" x14ac:dyDescent="0.25">
      <c r="B22" s="34">
        <v>3</v>
      </c>
      <c r="C22" s="45" t="s">
        <v>24</v>
      </c>
      <c r="D22" s="36">
        <f>IFERROR(HLOOKUP($J$1,[1]DB!$C$1:$K$172,22,FALSE),"")</f>
        <v>22</v>
      </c>
      <c r="E22" s="36">
        <f>SUMIFS('[1]Rincian Keluar'!$G:$G,'[1]Rincian Keluar'!$E:$E,'RIDHO 01'!C22,'[1]Rincian Keluar'!$D:$D,'RIDHO 01'!$D$1,'[1]Rincian Keluar'!$H:$H,'RIDHO 01'!$J$1,'[1]Rincian Keluar'!$F:$F,'RIDHO 01'!M22)</f>
        <v>24</v>
      </c>
      <c r="F22" s="37">
        <v>60700</v>
      </c>
      <c r="G22" s="38">
        <f t="shared" si="4"/>
        <v>1456800</v>
      </c>
      <c r="H22" s="53"/>
      <c r="I22" s="42"/>
      <c r="J22" s="43"/>
      <c r="K22" s="44"/>
      <c r="M22" s="20" t="str">
        <f t="shared" si="5"/>
        <v>COR LANTAI</v>
      </c>
    </row>
    <row r="23" spans="2:13" ht="18" customHeight="1" x14ac:dyDescent="0.25">
      <c r="B23" s="34">
        <v>4</v>
      </c>
      <c r="C23" s="35" t="s">
        <v>32</v>
      </c>
      <c r="D23" s="36">
        <f>IFERROR(HLOOKUP($J$1,[1]DB!$C$1:$K$172,23,FALSE),"")</f>
        <v>11</v>
      </c>
      <c r="E23" s="36">
        <f>SUMIFS('[1]Rincian Keluar'!$G:$G,'[1]Rincian Keluar'!$E:$E,'RIDHO 01'!C23,'[1]Rincian Keluar'!$D:$D,'RIDHO 01'!$D$1,'[1]Rincian Keluar'!$H:$H,'RIDHO 01'!$J$1,'[1]Rincian Keluar'!$F:$F,'RIDHO 01'!M23)</f>
        <v>8</v>
      </c>
      <c r="F23" s="57">
        <v>15000</v>
      </c>
      <c r="G23" s="38">
        <f t="shared" si="4"/>
        <v>120000</v>
      </c>
      <c r="H23" s="55"/>
      <c r="I23" s="47"/>
      <c r="J23" s="48"/>
      <c r="K23" s="49"/>
      <c r="M23" s="20" t="str">
        <f t="shared" si="5"/>
        <v>COR LANTAI</v>
      </c>
    </row>
    <row r="24" spans="2:13" ht="18" customHeight="1" x14ac:dyDescent="0.25">
      <c r="B24" s="29" t="s">
        <v>33</v>
      </c>
      <c r="C24" s="58" t="s">
        <v>34</v>
      </c>
      <c r="D24" s="31"/>
      <c r="E24" s="31"/>
      <c r="F24" s="31"/>
      <c r="G24" s="31"/>
      <c r="H24" s="31"/>
      <c r="I24" s="32"/>
      <c r="J24" s="31"/>
      <c r="K24" s="33"/>
    </row>
    <row r="25" spans="2:13" ht="18" customHeight="1" x14ac:dyDescent="0.25">
      <c r="B25" s="34">
        <v>1</v>
      </c>
      <c r="C25" s="45" t="s">
        <v>35</v>
      </c>
      <c r="D25" s="36">
        <f>IFERROR(HLOOKUP($J$1,[1]DB!$C$1:$K$172,25,FALSE),"")</f>
        <v>2</v>
      </c>
      <c r="E25" s="36">
        <f>SUMIFS('[1]Rincian Keluar'!$G:$G,'[1]Rincian Keluar'!$E:$E,'RIDHO 01'!C25,'[1]Rincian Keluar'!$D:$D,'RIDHO 01'!$D$1,'[1]Rincian Keluar'!$H:$H,'RIDHO 01'!$J$1,'[1]Rincian Keluar'!$F:$F,'RIDHO 01'!M25)</f>
        <v>0</v>
      </c>
      <c r="F25" s="46">
        <v>1550000</v>
      </c>
      <c r="G25" s="59">
        <f>E25*F25</f>
        <v>0</v>
      </c>
      <c r="H25" s="60"/>
      <c r="I25" s="61" t="e">
        <f>IFERROR(VLOOKUP($C24,[1]HK!$B$5:$C$14,2,FALSE),"")*$J1</f>
        <v>#VALUE!</v>
      </c>
      <c r="J25" s="62"/>
      <c r="K25" s="63"/>
      <c r="M25" s="20" t="str">
        <f>$C$24</f>
        <v>PINTU</v>
      </c>
    </row>
    <row r="26" spans="2:13" ht="18" customHeight="1" x14ac:dyDescent="0.25">
      <c r="B26" s="34">
        <v>2</v>
      </c>
      <c r="C26" s="45" t="s">
        <v>36</v>
      </c>
      <c r="D26" s="36">
        <f>IFERROR(HLOOKUP($J$1,[1]DB!$C$1:$K$172,26,FALSE),"")</f>
        <v>3</v>
      </c>
      <c r="E26" s="36">
        <f>SUMIFS('[1]Rincian Keluar'!$G:$G,'[1]Rincian Keluar'!$E:$E,'RIDHO 01'!C26,'[1]Rincian Keluar'!$D:$D,'RIDHO 01'!$D$1,'[1]Rincian Keluar'!$H:$H,'RIDHO 01'!$J$1,'[1]Rincian Keluar'!$F:$F,'RIDHO 01'!M26)</f>
        <v>0</v>
      </c>
      <c r="F26" s="46">
        <v>775000</v>
      </c>
      <c r="G26" s="59">
        <f t="shared" ref="G26:G36" si="6">E26*F26</f>
        <v>0</v>
      </c>
      <c r="H26" s="60"/>
      <c r="I26" s="61"/>
      <c r="J26" s="62"/>
      <c r="K26" s="63"/>
      <c r="M26" s="20" t="str">
        <f t="shared" ref="M26:M36" si="7">$C$24</f>
        <v>PINTU</v>
      </c>
    </row>
    <row r="27" spans="2:13" ht="18" customHeight="1" x14ac:dyDescent="0.25">
      <c r="B27" s="34">
        <v>3</v>
      </c>
      <c r="C27" s="45" t="s">
        <v>37</v>
      </c>
      <c r="D27" s="36">
        <f>IFERROR(HLOOKUP($J$1,[1]DB!$C$1:$K$172,27,FALSE),"")</f>
        <v>2</v>
      </c>
      <c r="E27" s="36">
        <f>SUMIFS('[1]Rincian Keluar'!$G:$G,'[1]Rincian Keluar'!$E:$E,'RIDHO 01'!C27,'[1]Rincian Keluar'!$D:$D,'RIDHO 01'!$D$1,'[1]Rincian Keluar'!$H:$H,'RIDHO 01'!$J$1,'[1]Rincian Keluar'!$F:$F,'RIDHO 01'!M27)</f>
        <v>0</v>
      </c>
      <c r="F27" s="46">
        <v>260000</v>
      </c>
      <c r="G27" s="59">
        <f t="shared" si="6"/>
        <v>0</v>
      </c>
      <c r="H27" s="60"/>
      <c r="I27" s="61"/>
      <c r="J27" s="62"/>
      <c r="K27" s="63"/>
      <c r="M27" s="20" t="str">
        <f t="shared" si="7"/>
        <v>PINTU</v>
      </c>
    </row>
    <row r="28" spans="2:13" ht="18" customHeight="1" x14ac:dyDescent="0.25">
      <c r="B28" s="34">
        <v>4</v>
      </c>
      <c r="C28" s="45" t="s">
        <v>38</v>
      </c>
      <c r="D28" s="36">
        <f>IFERROR(HLOOKUP($J$1,[1]DB!$C$1:$K$172,28,FALSE),"")</f>
        <v>1</v>
      </c>
      <c r="E28" s="36">
        <f>SUMIFS('[1]Rincian Keluar'!$G:$G,'[1]Rincian Keluar'!$E:$E,'RIDHO 01'!C28,'[1]Rincian Keluar'!$D:$D,'RIDHO 01'!$D$1,'[1]Rincian Keluar'!$H:$H,'RIDHO 01'!$J$1,'[1]Rincian Keluar'!$F:$F,'RIDHO 01'!M28)</f>
        <v>0</v>
      </c>
      <c r="F28" s="46">
        <v>799000</v>
      </c>
      <c r="G28" s="59">
        <f t="shared" si="6"/>
        <v>0</v>
      </c>
      <c r="H28" s="60"/>
      <c r="I28" s="61"/>
      <c r="J28" s="62"/>
      <c r="K28" s="63"/>
      <c r="M28" s="20" t="str">
        <f t="shared" si="7"/>
        <v>PINTU</v>
      </c>
    </row>
    <row r="29" spans="2:13" ht="18" customHeight="1" x14ac:dyDescent="0.25">
      <c r="B29" s="34">
        <v>5</v>
      </c>
      <c r="C29" s="45" t="s">
        <v>39</v>
      </c>
      <c r="D29" s="36">
        <f>IFERROR(HLOOKUP($J$1,[1]DB!$C$1:$K$172,29,FALSE),"")</f>
        <v>15</v>
      </c>
      <c r="E29" s="36">
        <f>SUMIFS('[1]Rincian Keluar'!$G:$G,'[1]Rincian Keluar'!$E:$E,'RIDHO 01'!C29,'[1]Rincian Keluar'!$D:$D,'RIDHO 01'!$D$1,'[1]Rincian Keluar'!$H:$H,'RIDHO 01'!$J$1,'[1]Rincian Keluar'!$F:$F,'RIDHO 01'!M29)</f>
        <v>0</v>
      </c>
      <c r="F29" s="46">
        <v>15000</v>
      </c>
      <c r="G29" s="59">
        <f t="shared" si="6"/>
        <v>0</v>
      </c>
      <c r="H29" s="60"/>
      <c r="I29" s="61"/>
      <c r="J29" s="62"/>
      <c r="K29" s="63"/>
      <c r="M29" s="20" t="str">
        <f t="shared" si="7"/>
        <v>PINTU</v>
      </c>
    </row>
    <row r="30" spans="2:13" ht="18" customHeight="1" x14ac:dyDescent="0.25">
      <c r="B30" s="34">
        <v>6</v>
      </c>
      <c r="C30" s="45" t="s">
        <v>40</v>
      </c>
      <c r="D30" s="36">
        <f>IFERROR(HLOOKUP($J$1,[1]DB!$C$1:$K$172,30,FALSE),"")</f>
        <v>2</v>
      </c>
      <c r="E30" s="36">
        <f>SUMIFS('[1]Rincian Keluar'!$G:$G,'[1]Rincian Keluar'!$E:$E,'RIDHO 01'!C30,'[1]Rincian Keluar'!$D:$D,'RIDHO 01'!$D$1,'[1]Rincian Keluar'!$H:$H,'RIDHO 01'!$J$1,'[1]Rincian Keluar'!$F:$F,'RIDHO 01'!M30)</f>
        <v>0</v>
      </c>
      <c r="F30" s="46">
        <v>100000</v>
      </c>
      <c r="G30" s="59">
        <f t="shared" si="6"/>
        <v>0</v>
      </c>
      <c r="H30" s="60"/>
      <c r="I30" s="61"/>
      <c r="J30" s="62"/>
      <c r="K30" s="63"/>
      <c r="M30" s="20" t="str">
        <f t="shared" si="7"/>
        <v>PINTU</v>
      </c>
    </row>
    <row r="31" spans="2:13" ht="18" customHeight="1" x14ac:dyDescent="0.25">
      <c r="B31" s="34">
        <v>7</v>
      </c>
      <c r="C31" s="45" t="s">
        <v>41</v>
      </c>
      <c r="D31" s="36">
        <f>IFERROR(HLOOKUP($J$1,[1]DB!$C$1:$K$172,31,FALSE),"")</f>
        <v>1</v>
      </c>
      <c r="E31" s="36">
        <f>SUMIFS('[1]Rincian Keluar'!$G:$G,'[1]Rincian Keluar'!$E:$E,'RIDHO 01'!C31,'[1]Rincian Keluar'!$D:$D,'RIDHO 01'!$D$1,'[1]Rincian Keluar'!$H:$H,'RIDHO 01'!$J$1,'[1]Rincian Keluar'!$F:$F,'RIDHO 01'!M31)</f>
        <v>0</v>
      </c>
      <c r="F31" s="46">
        <v>60000</v>
      </c>
      <c r="G31" s="59">
        <f t="shared" si="6"/>
        <v>0</v>
      </c>
      <c r="H31" s="60"/>
      <c r="I31" s="61"/>
      <c r="J31" s="62"/>
      <c r="K31" s="63"/>
      <c r="M31" s="20" t="str">
        <f t="shared" si="7"/>
        <v>PINTU</v>
      </c>
    </row>
    <row r="32" spans="2:13" ht="18" customHeight="1" x14ac:dyDescent="0.25">
      <c r="B32" s="34">
        <v>8</v>
      </c>
      <c r="C32" s="45" t="s">
        <v>42</v>
      </c>
      <c r="D32" s="36">
        <f>IFERROR(HLOOKUP($J$1,[1]DB!$C$1:$K$172,32,FALSE),"")</f>
        <v>3</v>
      </c>
      <c r="E32" s="36">
        <f>SUMIFS('[1]Rincian Keluar'!$G:$G,'[1]Rincian Keluar'!$E:$E,'RIDHO 01'!C32,'[1]Rincian Keluar'!$D:$D,'RIDHO 01'!$D$1,'[1]Rincian Keluar'!$H:$H,'RIDHO 01'!$J$1,'[1]Rincian Keluar'!$F:$F,'RIDHO 01'!M32)</f>
        <v>0</v>
      </c>
      <c r="F32" s="46">
        <v>65000</v>
      </c>
      <c r="G32" s="59">
        <f t="shared" si="6"/>
        <v>0</v>
      </c>
      <c r="H32" s="60"/>
      <c r="I32" s="61"/>
      <c r="J32" s="62"/>
      <c r="K32" s="63"/>
      <c r="M32" s="20" t="str">
        <f t="shared" si="7"/>
        <v>PINTU</v>
      </c>
    </row>
    <row r="33" spans="1:13" ht="18" customHeight="1" x14ac:dyDescent="0.25">
      <c r="B33" s="34">
        <v>9</v>
      </c>
      <c r="C33" s="35" t="s">
        <v>43</v>
      </c>
      <c r="D33" s="36">
        <f>IFERROR(HLOOKUP($J$1,[1]DB!$C$1:$K$172,33,FALSE),"")</f>
        <v>4</v>
      </c>
      <c r="E33" s="36">
        <f>SUMIFS('[1]Rincian Keluar'!$G:$G,'[1]Rincian Keluar'!$E:$E,'RIDHO 01'!C33,'[1]Rincian Keluar'!$D:$D,'RIDHO 01'!$D$1,'[1]Rincian Keluar'!$H:$H,'RIDHO 01'!$J$1,'[1]Rincian Keluar'!$F:$F,'RIDHO 01'!M33)</f>
        <v>0</v>
      </c>
      <c r="F33" s="64">
        <v>83000</v>
      </c>
      <c r="G33" s="59">
        <f t="shared" si="6"/>
        <v>0</v>
      </c>
      <c r="H33" s="60"/>
      <c r="I33" s="61"/>
      <c r="J33" s="62"/>
      <c r="K33" s="63"/>
      <c r="M33" s="20" t="str">
        <f t="shared" si="7"/>
        <v>PINTU</v>
      </c>
    </row>
    <row r="34" spans="1:13" ht="18" customHeight="1" x14ac:dyDescent="0.25">
      <c r="B34" s="34">
        <v>10</v>
      </c>
      <c r="C34" s="35" t="s">
        <v>44</v>
      </c>
      <c r="D34" s="36">
        <f>IFERROR(HLOOKUP($J$1,[1]DB!$C$1:$K$172,34,FALSE),"")</f>
        <v>2</v>
      </c>
      <c r="E34" s="36">
        <f>SUMIFS('[1]Rincian Keluar'!$G:$G,'[1]Rincian Keluar'!$E:$E,'RIDHO 01'!C34,'[1]Rincian Keluar'!$D:$D,'RIDHO 01'!$D$1,'[1]Rincian Keluar'!$H:$H,'RIDHO 01'!$J$1,'[1]Rincian Keluar'!$F:$F,'RIDHO 01'!M34)</f>
        <v>0</v>
      </c>
      <c r="F34" s="64">
        <v>23000</v>
      </c>
      <c r="G34" s="59">
        <f t="shared" si="6"/>
        <v>0</v>
      </c>
      <c r="H34" s="60"/>
      <c r="I34" s="61"/>
      <c r="J34" s="62"/>
      <c r="K34" s="63"/>
      <c r="M34" s="20" t="str">
        <f t="shared" si="7"/>
        <v>PINTU</v>
      </c>
    </row>
    <row r="35" spans="1:13" ht="18" customHeight="1" x14ac:dyDescent="0.25">
      <c r="B35" s="34">
        <v>11</v>
      </c>
      <c r="C35" s="35" t="s">
        <v>45</v>
      </c>
      <c r="D35" s="36">
        <f>IFERROR(HLOOKUP($J$1,[1]DB!$C$1:$K$172,35,FALSE),"")</f>
        <v>1</v>
      </c>
      <c r="E35" s="36">
        <f>SUMIFS('[1]Rincian Keluar'!$G:$G,'[1]Rincian Keluar'!$E:$E,'RIDHO 01'!C35,'[1]Rincian Keluar'!$D:$D,'RIDHO 01'!$D$1,'[1]Rincian Keluar'!$H:$H,'RIDHO 01'!$J$1,'[1]Rincian Keluar'!$F:$F,'RIDHO 01'!M35)</f>
        <v>0</v>
      </c>
      <c r="F35" s="64">
        <v>17000</v>
      </c>
      <c r="G35" s="59">
        <f t="shared" si="6"/>
        <v>0</v>
      </c>
      <c r="H35" s="60"/>
      <c r="I35" s="61"/>
      <c r="J35" s="62"/>
      <c r="K35" s="63"/>
      <c r="M35" s="20" t="str">
        <f t="shared" si="7"/>
        <v>PINTU</v>
      </c>
    </row>
    <row r="36" spans="1:13" ht="18" customHeight="1" x14ac:dyDescent="0.25">
      <c r="B36" s="34">
        <v>12</v>
      </c>
      <c r="C36" s="35" t="s">
        <v>46</v>
      </c>
      <c r="D36" s="36">
        <f>IFERROR(HLOOKUP($J$1,[1]DB!$C$1:$K$172,36,FALSE),"")</f>
        <v>1</v>
      </c>
      <c r="E36" s="36">
        <f>SUMIFS('[1]Rincian Keluar'!$G:$G,'[1]Rincian Keluar'!$E:$E,'RIDHO 01'!C36,'[1]Rincian Keluar'!$D:$D,'RIDHO 01'!$D$1,'[1]Rincian Keluar'!$H:$H,'RIDHO 01'!$J$1,'[1]Rincian Keluar'!$F:$F,'RIDHO 01'!M36)</f>
        <v>0</v>
      </c>
      <c r="F36" s="64">
        <v>11000</v>
      </c>
      <c r="G36" s="59">
        <f t="shared" si="6"/>
        <v>0</v>
      </c>
      <c r="H36" s="60"/>
      <c r="I36" s="61"/>
      <c r="J36" s="62"/>
      <c r="K36" s="63"/>
      <c r="M36" s="20" t="str">
        <f t="shared" si="7"/>
        <v>PINTU</v>
      </c>
    </row>
    <row r="37" spans="1:13" ht="18" customHeight="1" x14ac:dyDescent="0.25">
      <c r="B37" s="91" t="s">
        <v>47</v>
      </c>
      <c r="C37" s="182" t="s">
        <v>48</v>
      </c>
      <c r="D37" s="93"/>
      <c r="E37" s="93"/>
      <c r="F37" s="93"/>
      <c r="G37" s="93"/>
      <c r="H37" s="93"/>
      <c r="I37" s="94"/>
      <c r="J37" s="93"/>
      <c r="K37" s="95"/>
      <c r="M37" s="20"/>
    </row>
    <row r="38" spans="1:13" s="66" customFormat="1" ht="18" customHeight="1" x14ac:dyDescent="0.25">
      <c r="B38" s="34">
        <v>1</v>
      </c>
      <c r="C38" s="45" t="s">
        <v>49</v>
      </c>
      <c r="D38" s="36">
        <f>IFERROR(HLOOKUP($J$1,[1]DB!$C$1:$K$172,38,FALSE),"")</f>
        <v>38</v>
      </c>
      <c r="E38" s="36">
        <f>SUMIFS('[1]Rincian Keluar'!$G:$G,'[1]Rincian Keluar'!$E:$E,'RIDHO 01'!C38,'[1]Rincian Keluar'!$D:$D,'RIDHO 01'!$D$1,'[1]Rincian Keluar'!$H:$H,'RIDHO 01'!$J$1,'[1]Rincian Keluar'!$F:$F,'RIDHO 01'!M38)</f>
        <v>0</v>
      </c>
      <c r="F38" s="37">
        <v>11000</v>
      </c>
      <c r="G38" s="67">
        <f>E38*F38</f>
        <v>0</v>
      </c>
      <c r="H38" s="68">
        <v>965000</v>
      </c>
      <c r="I38" s="61">
        <f>IFERROR(VLOOKUP($C37,[1]HK!$B$5:$C$14,2,FALSE),"")*$J1</f>
        <v>5560000</v>
      </c>
      <c r="J38" s="69">
        <f>I38-H38</f>
        <v>4595000</v>
      </c>
      <c r="K38" s="70">
        <v>1</v>
      </c>
      <c r="M38" s="20" t="str">
        <f>$C$37</f>
        <v>BATA</v>
      </c>
    </row>
    <row r="39" spans="1:13" s="66" customFormat="1" ht="18" customHeight="1" x14ac:dyDescent="0.25">
      <c r="B39" s="34">
        <v>2</v>
      </c>
      <c r="C39" s="45" t="s">
        <v>19</v>
      </c>
      <c r="D39" s="36">
        <f>IFERROR(HLOOKUP($J$1,[1]DB!$C$1:$K$172,39,FALSE),"")</f>
        <v>41</v>
      </c>
      <c r="E39" s="36">
        <f>SUMIFS('[1]Rincian Keluar'!$G:$G,'[1]Rincian Keluar'!$E:$E,'RIDHO 01'!C39,'[1]Rincian Keluar'!$D:$D,'RIDHO 01'!$D$1,'[1]Rincian Keluar'!$H:$H,'RIDHO 01'!$J$1,'[1]Rincian Keluar'!$F:$F,'RIDHO 01'!M39)</f>
        <v>0</v>
      </c>
      <c r="F39" s="46">
        <v>11000</v>
      </c>
      <c r="G39" s="67">
        <f t="shared" ref="G39:G59" si="8">E39*F39</f>
        <v>0</v>
      </c>
      <c r="H39" s="68"/>
      <c r="I39" s="61"/>
      <c r="J39" s="71"/>
      <c r="K39" s="70"/>
      <c r="M39" s="20" t="str">
        <f t="shared" ref="M39:M59" si="9">$C$37</f>
        <v>BATA</v>
      </c>
    </row>
    <row r="40" spans="1:13" ht="18" customHeight="1" x14ac:dyDescent="0.25">
      <c r="B40" s="34">
        <v>3</v>
      </c>
      <c r="C40" s="45" t="s">
        <v>17</v>
      </c>
      <c r="D40" s="36">
        <f>IFERROR(HLOOKUP($J$1,[1]DB!$C$1:$K$172,40,FALSE),"")</f>
        <v>8</v>
      </c>
      <c r="E40" s="36">
        <f>SUMIFS('[1]Rincian Keluar'!$G:$G,'[1]Rincian Keluar'!$E:$E,'RIDHO 01'!C40,'[1]Rincian Keluar'!$D:$D,'RIDHO 01'!$D$1,'[1]Rincian Keluar'!$H:$H,'RIDHO 01'!$J$1,'[1]Rincian Keluar'!$F:$F,'RIDHO 01'!M40)</f>
        <v>0</v>
      </c>
      <c r="F40" s="37">
        <v>22000</v>
      </c>
      <c r="G40" s="67">
        <f t="shared" si="8"/>
        <v>0</v>
      </c>
      <c r="H40" s="68"/>
      <c r="I40" s="61"/>
      <c r="J40" s="71"/>
      <c r="K40" s="70"/>
      <c r="M40" s="20" t="str">
        <f t="shared" si="9"/>
        <v>BATA</v>
      </c>
    </row>
    <row r="41" spans="1:13" ht="18" customHeight="1" x14ac:dyDescent="0.25">
      <c r="B41" s="34">
        <v>4</v>
      </c>
      <c r="C41" s="45" t="s">
        <v>50</v>
      </c>
      <c r="D41" s="36">
        <f>IFERROR(HLOOKUP($J$1,[1]DB!$C$1:$K$172,41,FALSE),"")</f>
        <v>14</v>
      </c>
      <c r="E41" s="36">
        <f>SUMIFS('[1]Rincian Keluar'!$G:$G,'[1]Rincian Keluar'!$E:$E,'RIDHO 01'!C41,'[1]Rincian Keluar'!$D:$D,'RIDHO 01'!$D$1,'[1]Rincian Keluar'!$H:$H,'RIDHO 01'!$J$1,'[1]Rincian Keluar'!$F:$F,'RIDHO 01'!M41)</f>
        <v>0</v>
      </c>
      <c r="F41" s="37">
        <v>35000</v>
      </c>
      <c r="G41" s="67">
        <f t="shared" si="8"/>
        <v>0</v>
      </c>
      <c r="H41" s="68"/>
      <c r="I41" s="61"/>
      <c r="J41" s="71"/>
      <c r="K41" s="70"/>
      <c r="M41" s="20" t="str">
        <f t="shared" si="9"/>
        <v>BATA</v>
      </c>
    </row>
    <row r="42" spans="1:13" ht="18" customHeight="1" x14ac:dyDescent="0.25">
      <c r="B42" s="34">
        <v>5</v>
      </c>
      <c r="C42" s="45" t="s">
        <v>51</v>
      </c>
      <c r="D42" s="36">
        <f>IFERROR(HLOOKUP($J$1,[1]DB!$C$1:$K$172,42,FALSE),"")</f>
        <v>3</v>
      </c>
      <c r="E42" s="36">
        <f>SUMIFS('[1]Rincian Keluar'!$G:$G,'[1]Rincian Keluar'!$E:$E,'RIDHO 01'!C42,'[1]Rincian Keluar'!$D:$D,'RIDHO 01'!$D$1,'[1]Rincian Keluar'!$H:$H,'RIDHO 01'!$J$1,'[1]Rincian Keluar'!$F:$F,'RIDHO 01'!M42)</f>
        <v>0</v>
      </c>
      <c r="F42" s="37">
        <f>F40</f>
        <v>22000</v>
      </c>
      <c r="G42" s="67">
        <f t="shared" si="8"/>
        <v>0</v>
      </c>
      <c r="H42" s="68"/>
      <c r="I42" s="61"/>
      <c r="J42" s="71"/>
      <c r="K42" s="70"/>
      <c r="M42" s="20" t="str">
        <f t="shared" si="9"/>
        <v>BATA</v>
      </c>
    </row>
    <row r="43" spans="1:13" ht="18" customHeight="1" x14ac:dyDescent="0.25">
      <c r="B43" s="34">
        <v>6</v>
      </c>
      <c r="C43" s="45" t="s">
        <v>52</v>
      </c>
      <c r="D43" s="36">
        <f>IFERROR(HLOOKUP($J$1,[1]DB!$C$1:$K$172,43,FALSE),"")</f>
        <v>1</v>
      </c>
      <c r="E43" s="36">
        <f>SUMIFS('[1]Rincian Keluar'!$G:$G,'[1]Rincian Keluar'!$E:$E,'RIDHO 01'!C43,'[1]Rincian Keluar'!$D:$D,'RIDHO 01'!$D$1,'[1]Rincian Keluar'!$H:$H,'RIDHO 01'!$J$1,'[1]Rincian Keluar'!$F:$F,'RIDHO 01'!M43)</f>
        <v>0</v>
      </c>
      <c r="F43" s="46">
        <v>363250</v>
      </c>
      <c r="G43" s="67">
        <f t="shared" si="8"/>
        <v>0</v>
      </c>
      <c r="H43" s="68"/>
      <c r="I43" s="61"/>
      <c r="J43" s="71"/>
      <c r="K43" s="70"/>
      <c r="M43" s="20" t="str">
        <f t="shared" si="9"/>
        <v>BATA</v>
      </c>
    </row>
    <row r="44" spans="1:13" ht="18" customHeight="1" x14ac:dyDescent="0.25">
      <c r="B44" s="34">
        <v>7</v>
      </c>
      <c r="C44" s="45" t="s">
        <v>53</v>
      </c>
      <c r="D44" s="36">
        <f>IFERROR(HLOOKUP($J$1,[1]DB!$C$1:$K$172,44,FALSE),"")</f>
        <v>3</v>
      </c>
      <c r="E44" s="36">
        <f>SUMIFS('[1]Rincian Keluar'!$G:$G,'[1]Rincian Keluar'!$E:$E,'RIDHO 01'!C44,'[1]Rincian Keluar'!$D:$D,'RIDHO 01'!$D$1,'[1]Rincian Keluar'!$H:$H,'RIDHO 01'!$J$1,'[1]Rincian Keluar'!$F:$F,'RIDHO 01'!M44)</f>
        <v>0</v>
      </c>
      <c r="F44" s="46">
        <v>337050</v>
      </c>
      <c r="G44" s="67">
        <f t="shared" si="8"/>
        <v>0</v>
      </c>
      <c r="H44" s="68"/>
      <c r="I44" s="61"/>
      <c r="J44" s="71"/>
      <c r="K44" s="70"/>
      <c r="M44" s="20" t="str">
        <f t="shared" si="9"/>
        <v>BATA</v>
      </c>
    </row>
    <row r="45" spans="1:13" ht="18" customHeight="1" x14ac:dyDescent="0.25">
      <c r="B45" s="34">
        <v>8</v>
      </c>
      <c r="C45" s="72" t="s">
        <v>54</v>
      </c>
      <c r="D45" s="36">
        <f>IFERROR(HLOOKUP($J$1,[1]DB!$C$1:$K$172,45,FALSE),"")</f>
        <v>3727</v>
      </c>
      <c r="E45" s="36">
        <f>SUMIFS('[1]Rincian Keluar'!$G:$G,'[1]Rincian Keluar'!$E:$E,'RIDHO 01'!C45,'[1]Rincian Keluar'!$D:$D,'RIDHO 01'!$D$1,'[1]Rincian Keluar'!$H:$H,'RIDHO 01'!$J$1,'[1]Rincian Keluar'!$F:$F,'RIDHO 01'!M45)</f>
        <v>0</v>
      </c>
      <c r="F45" s="37">
        <v>1850</v>
      </c>
      <c r="G45" s="67">
        <f t="shared" si="8"/>
        <v>0</v>
      </c>
      <c r="H45" s="68"/>
      <c r="I45" s="61"/>
      <c r="J45" s="71"/>
      <c r="K45" s="70"/>
      <c r="M45" s="20" t="str">
        <f t="shared" si="9"/>
        <v>BATA</v>
      </c>
    </row>
    <row r="46" spans="1:13" ht="18" customHeight="1" x14ac:dyDescent="0.25">
      <c r="B46" s="34">
        <v>9</v>
      </c>
      <c r="C46" s="45" t="s">
        <v>24</v>
      </c>
      <c r="D46" s="36">
        <f>IFERROR(HLOOKUP($J$1,[1]DB!$C$1:$K$172,46,FALSE),"")</f>
        <v>31</v>
      </c>
      <c r="E46" s="36">
        <f>SUMIFS('[1]Rincian Keluar'!$G:$G,'[1]Rincian Keluar'!$E:$E,'RIDHO 01'!C46,'[1]Rincian Keluar'!$D:$D,'RIDHO 01'!$D$1,'[1]Rincian Keluar'!$H:$H,'RIDHO 01'!$J$1,'[1]Rincian Keluar'!$F:$F,'RIDHO 01'!M46)</f>
        <v>4</v>
      </c>
      <c r="F46" s="37">
        <v>60700</v>
      </c>
      <c r="G46" s="67">
        <f t="shared" si="8"/>
        <v>242800</v>
      </c>
      <c r="H46" s="68"/>
      <c r="I46" s="61"/>
      <c r="J46" s="71"/>
      <c r="K46" s="70"/>
      <c r="M46" s="20" t="str">
        <f t="shared" si="9"/>
        <v>BATA</v>
      </c>
    </row>
    <row r="47" spans="1:13" ht="18" customHeight="1" x14ac:dyDescent="0.25">
      <c r="B47" s="34">
        <v>10</v>
      </c>
      <c r="C47" s="72" t="s">
        <v>31</v>
      </c>
      <c r="D47" s="36">
        <f>IFERROR(HLOOKUP($J$1,[1]DB!$C$1:$K$172,47,FALSE),"")</f>
        <v>8</v>
      </c>
      <c r="E47" s="36">
        <f>SUMIFS('[1]Rincian Keluar'!$G:$G,'[1]Rincian Keluar'!$E:$E,'RIDHO 01'!C47,'[1]Rincian Keluar'!$D:$D,'RIDHO 01'!$D$1,'[1]Rincian Keluar'!$H:$H,'RIDHO 01'!$J$1,'[1]Rincian Keluar'!$F:$F,'RIDHO 01'!M47)</f>
        <v>1</v>
      </c>
      <c r="F47" s="37">
        <v>150000</v>
      </c>
      <c r="G47" s="67">
        <f t="shared" si="8"/>
        <v>150000</v>
      </c>
      <c r="H47" s="68"/>
      <c r="I47" s="61"/>
      <c r="J47" s="71"/>
      <c r="K47" s="70"/>
      <c r="M47" s="20" t="str">
        <f t="shared" si="9"/>
        <v>BATA</v>
      </c>
    </row>
    <row r="48" spans="1:13" s="20" customFormat="1" ht="18" customHeight="1" x14ac:dyDescent="0.25">
      <c r="A48" s="1"/>
      <c r="B48" s="34">
        <v>11</v>
      </c>
      <c r="C48" s="72" t="s">
        <v>17</v>
      </c>
      <c r="D48" s="36">
        <f>IFERROR(HLOOKUP($J$1,[1]DB!$C$1:$K$172,48,FALSE),"")</f>
        <v>8</v>
      </c>
      <c r="E48" s="36">
        <f>SUMIFS('[1]Rincian Keluar'!$G:$G,'[1]Rincian Keluar'!$E:$E,'RIDHO 01'!C48,'[1]Rincian Keluar'!$D:$D,'RIDHO 01'!$D$1,'[1]Rincian Keluar'!$H:$H,'RIDHO 01'!$J$1,'[1]Rincian Keluar'!$F:$F,'RIDHO 01'!M48)</f>
        <v>0</v>
      </c>
      <c r="F48" s="64">
        <f>F7</f>
        <v>21500</v>
      </c>
      <c r="G48" s="67">
        <f t="shared" si="8"/>
        <v>0</v>
      </c>
      <c r="H48" s="68"/>
      <c r="I48" s="61"/>
      <c r="J48" s="71"/>
      <c r="K48" s="70"/>
      <c r="M48" s="20" t="str">
        <f t="shared" si="9"/>
        <v>BATA</v>
      </c>
    </row>
    <row r="49" spans="1:15" s="20" customFormat="1" ht="18" customHeight="1" x14ac:dyDescent="0.25">
      <c r="A49" s="1"/>
      <c r="B49" s="29" t="s">
        <v>55</v>
      </c>
      <c r="C49" s="65" t="s">
        <v>56</v>
      </c>
      <c r="D49" s="73"/>
      <c r="E49" s="73"/>
      <c r="F49" s="73"/>
      <c r="G49" s="74"/>
      <c r="H49" s="68"/>
      <c r="I49" s="61"/>
      <c r="J49" s="71"/>
      <c r="K49" s="70"/>
      <c r="M49" s="20" t="str">
        <f t="shared" si="9"/>
        <v>BATA</v>
      </c>
    </row>
    <row r="50" spans="1:15" s="20" customFormat="1" ht="18" customHeight="1" x14ac:dyDescent="0.25">
      <c r="A50" s="1"/>
      <c r="B50" s="34">
        <v>1</v>
      </c>
      <c r="C50" s="45" t="s">
        <v>24</v>
      </c>
      <c r="D50" s="36">
        <f>IFERROR(HLOOKUP($J$1,[1]DB!$C$1:$K$172,50,FALSE),"")</f>
        <v>8</v>
      </c>
      <c r="E50" s="36">
        <f>SUMIFS('[1]Rincian Keluar'!$G:$G,'[1]Rincian Keluar'!$E:$E,'RIDHO 01'!C50,'[1]Rincian Keluar'!$D:$D,'RIDHO 01'!$D$1,'[1]Rincian Keluar'!$H:$H,'RIDHO 01'!$J$1,'[1]Rincian Keluar'!$F:$F,'RIDHO 01'!M50)</f>
        <v>4</v>
      </c>
      <c r="F50" s="37">
        <v>60700</v>
      </c>
      <c r="G50" s="67">
        <f t="shared" si="8"/>
        <v>242800</v>
      </c>
      <c r="H50" s="68"/>
      <c r="I50" s="61"/>
      <c r="J50" s="71"/>
      <c r="K50" s="70"/>
      <c r="M50" s="20" t="str">
        <f t="shared" si="9"/>
        <v>BATA</v>
      </c>
    </row>
    <row r="51" spans="1:15" s="20" customFormat="1" ht="18" customHeight="1" x14ac:dyDescent="0.25">
      <c r="A51" s="1"/>
      <c r="B51" s="34">
        <v>2</v>
      </c>
      <c r="C51" s="72" t="s">
        <v>31</v>
      </c>
      <c r="D51" s="36">
        <f>IFERROR(HLOOKUP($J$1,[1]DB!$C$1:$K$172,51,FALSE),"")</f>
        <v>2</v>
      </c>
      <c r="E51" s="36">
        <f>SUMIFS('[1]Rincian Keluar'!$G:$G,'[1]Rincian Keluar'!$E:$E,'RIDHO 01'!C51,'[1]Rincian Keluar'!$D:$D,'RIDHO 01'!$D$1,'[1]Rincian Keluar'!$H:$H,'RIDHO 01'!$J$1,'[1]Rincian Keluar'!$F:$F,'RIDHO 01'!M51)</f>
        <v>1</v>
      </c>
      <c r="F51" s="37">
        <v>150000</v>
      </c>
      <c r="G51" s="67">
        <f t="shared" si="8"/>
        <v>150000</v>
      </c>
      <c r="H51" s="68"/>
      <c r="I51" s="61"/>
      <c r="J51" s="71"/>
      <c r="K51" s="70"/>
      <c r="M51" s="20" t="str">
        <f t="shared" si="9"/>
        <v>BATA</v>
      </c>
    </row>
    <row r="52" spans="1:15" s="20" customFormat="1" ht="18" customHeight="1" x14ac:dyDescent="0.25">
      <c r="A52" s="1"/>
      <c r="B52" s="34">
        <v>3</v>
      </c>
      <c r="C52" s="72" t="s">
        <v>23</v>
      </c>
      <c r="D52" s="36">
        <f>IFERROR(HLOOKUP($J$1,[1]DB!$C$1:$K$172,52,FALSE),"")</f>
        <v>3</v>
      </c>
      <c r="E52" s="36">
        <f>SUMIFS('[1]Rincian Keluar'!$G:$G,'[1]Rincian Keluar'!$E:$E,'RIDHO 01'!C52,'[1]Rincian Keluar'!$D:$D,'RIDHO 01'!$D$1,'[1]Rincian Keluar'!$H:$H,'RIDHO 01'!$J$1,'[1]Rincian Keluar'!$F:$F,'RIDHO 01'!M52)</f>
        <v>0</v>
      </c>
      <c r="F52" s="37"/>
      <c r="G52" s="67">
        <f t="shared" si="8"/>
        <v>0</v>
      </c>
      <c r="H52" s="68"/>
      <c r="I52" s="61"/>
      <c r="J52" s="71"/>
      <c r="K52" s="70"/>
      <c r="M52" s="20" t="str">
        <f t="shared" si="9"/>
        <v>BATA</v>
      </c>
    </row>
    <row r="53" spans="1:15" s="20" customFormat="1" ht="18" customHeight="1" x14ac:dyDescent="0.25">
      <c r="A53" s="1"/>
      <c r="B53" s="34">
        <v>4</v>
      </c>
      <c r="C53" s="45" t="s">
        <v>51</v>
      </c>
      <c r="D53" s="36">
        <f>IFERROR(HLOOKUP($J$1,[1]DB!$C$1:$K$172,53,FALSE),"")</f>
        <v>5</v>
      </c>
      <c r="E53" s="36">
        <f>SUMIFS('[1]Rincian Keluar'!$G:$G,'[1]Rincian Keluar'!$E:$E,'RIDHO 01'!C53,'[1]Rincian Keluar'!$D:$D,'RIDHO 01'!$D$1,'[1]Rincian Keluar'!$H:$H,'RIDHO 01'!$J$1,'[1]Rincian Keluar'!$F:$F,'RIDHO 01'!M53)</f>
        <v>0</v>
      </c>
      <c r="F53" s="37">
        <v>22000</v>
      </c>
      <c r="G53" s="67">
        <f t="shared" si="8"/>
        <v>0</v>
      </c>
      <c r="H53" s="68"/>
      <c r="I53" s="61"/>
      <c r="J53" s="71"/>
      <c r="K53" s="70"/>
      <c r="M53" s="20" t="str">
        <f t="shared" si="9"/>
        <v>BATA</v>
      </c>
    </row>
    <row r="54" spans="1:15" s="20" customFormat="1" ht="18" customHeight="1" x14ac:dyDescent="0.25">
      <c r="A54" s="1"/>
      <c r="B54" s="34">
        <v>5</v>
      </c>
      <c r="C54" s="45" t="s">
        <v>57</v>
      </c>
      <c r="D54" s="36">
        <f>IFERROR(HLOOKUP($J$1,[1]DB!$C$1:$K$172,54,FALSE),"")</f>
        <v>6</v>
      </c>
      <c r="E54" s="36">
        <f>SUMIFS('[1]Rincian Keluar'!$G:$G,'[1]Rincian Keluar'!$E:$E,'RIDHO 01'!C54,'[1]Rincian Keluar'!$D:$D,'RIDHO 01'!$D$1,'[1]Rincian Keluar'!$H:$H,'RIDHO 01'!$J$1,'[1]Rincian Keluar'!$F:$F,'RIDHO 01'!M54)</f>
        <v>0</v>
      </c>
      <c r="F54" s="37">
        <v>35000</v>
      </c>
      <c r="G54" s="67">
        <f t="shared" si="8"/>
        <v>0</v>
      </c>
      <c r="H54" s="68"/>
      <c r="I54" s="61"/>
      <c r="J54" s="71"/>
      <c r="K54" s="70"/>
      <c r="M54" s="20" t="str">
        <f t="shared" si="9"/>
        <v>BATA</v>
      </c>
    </row>
    <row r="55" spans="1:15" s="20" customFormat="1" ht="18" customHeight="1" x14ac:dyDescent="0.25">
      <c r="A55" s="1"/>
      <c r="B55" s="34">
        <v>6</v>
      </c>
      <c r="C55" s="45" t="s">
        <v>58</v>
      </c>
      <c r="D55" s="36">
        <f>IFERROR(HLOOKUP($J$1,[1]DB!$C$1:$K$172,55,FALSE),"")</f>
        <v>2</v>
      </c>
      <c r="E55" s="36">
        <f>SUMIFS('[1]Rincian Keluar'!$G:$G,'[1]Rincian Keluar'!$E:$E,'RIDHO 01'!C55,'[1]Rincian Keluar'!$D:$D,'RIDHO 01'!$D$1,'[1]Rincian Keluar'!$H:$H,'RIDHO 01'!$J$1,'[1]Rincian Keluar'!$F:$F,'RIDHO 01'!M55)</f>
        <v>0</v>
      </c>
      <c r="F55" s="37">
        <v>130000</v>
      </c>
      <c r="G55" s="67">
        <f t="shared" si="8"/>
        <v>0</v>
      </c>
      <c r="H55" s="68"/>
      <c r="I55" s="61"/>
      <c r="J55" s="71"/>
      <c r="K55" s="70"/>
      <c r="M55" s="20" t="str">
        <f t="shared" si="9"/>
        <v>BATA</v>
      </c>
    </row>
    <row r="56" spans="1:15" s="20" customFormat="1" ht="18" customHeight="1" x14ac:dyDescent="0.25">
      <c r="A56" s="1"/>
      <c r="B56" s="34">
        <v>7</v>
      </c>
      <c r="C56" s="45" t="s">
        <v>19</v>
      </c>
      <c r="D56" s="36">
        <f>IFERROR(HLOOKUP($J$1,[1]DB!$C$1:$K$172,56,FALSE),"")</f>
        <v>32</v>
      </c>
      <c r="E56" s="36">
        <f>SUMIFS('[1]Rincian Keluar'!$G:$G,'[1]Rincian Keluar'!$E:$E,'RIDHO 01'!C56,'[1]Rincian Keluar'!$D:$D,'RIDHO 01'!$D$1,'[1]Rincian Keluar'!$H:$H,'RIDHO 01'!$J$1,'[1]Rincian Keluar'!$F:$F,'RIDHO 01'!M56)</f>
        <v>0</v>
      </c>
      <c r="F56" s="46">
        <v>11000</v>
      </c>
      <c r="G56" s="67">
        <f t="shared" si="8"/>
        <v>0</v>
      </c>
      <c r="H56" s="68"/>
      <c r="I56" s="61"/>
      <c r="J56" s="71"/>
      <c r="K56" s="70"/>
      <c r="M56" s="20" t="str">
        <f t="shared" si="9"/>
        <v>BATA</v>
      </c>
    </row>
    <row r="57" spans="1:15" s="20" customFormat="1" ht="18" customHeight="1" x14ac:dyDescent="0.25">
      <c r="A57" s="1"/>
      <c r="B57" s="34">
        <v>8</v>
      </c>
      <c r="C57" s="45" t="s">
        <v>54</v>
      </c>
      <c r="D57" s="36">
        <f>IFERROR(HLOOKUP($J$1,[1]DB!$C$1:$K$172,57,FALSE),"")</f>
        <v>118</v>
      </c>
      <c r="E57" s="36">
        <f>SUMIFS('[1]Rincian Keluar'!$G:$G,'[1]Rincian Keluar'!$E:$E,'RIDHO 01'!C57,'[1]Rincian Keluar'!$D:$D,'RIDHO 01'!$D$1,'[1]Rincian Keluar'!$H:$H,'RIDHO 01'!$J$1,'[1]Rincian Keluar'!$F:$F,'RIDHO 01'!M57)</f>
        <v>0</v>
      </c>
      <c r="F57" s="37">
        <v>1850</v>
      </c>
      <c r="G57" s="67">
        <f t="shared" si="8"/>
        <v>0</v>
      </c>
      <c r="H57" s="68"/>
      <c r="I57" s="61"/>
      <c r="J57" s="71"/>
      <c r="K57" s="70"/>
      <c r="M57" s="20" t="str">
        <f t="shared" si="9"/>
        <v>BATA</v>
      </c>
    </row>
    <row r="58" spans="1:15" s="20" customFormat="1" ht="18" customHeight="1" x14ac:dyDescent="0.25">
      <c r="A58" s="1"/>
      <c r="B58" s="34">
        <v>9</v>
      </c>
      <c r="C58" s="45" t="s">
        <v>20</v>
      </c>
      <c r="D58" s="36">
        <f>IFERROR(HLOOKUP($J$1,[1]DB!$C$1:$K$172,58,FALSE),"")</f>
        <v>12</v>
      </c>
      <c r="E58" s="36">
        <f>SUMIFS('[1]Rincian Keluar'!$G:$G,'[1]Rincian Keluar'!$E:$E,'RIDHO 01'!C58,'[1]Rincian Keluar'!$D:$D,'RIDHO 01'!$D$1,'[1]Rincian Keluar'!$H:$H,'RIDHO 01'!$J$1,'[1]Rincian Keluar'!$F:$F,'RIDHO 01'!M58)</f>
        <v>0</v>
      </c>
      <c r="F58" s="37">
        <v>8000</v>
      </c>
      <c r="G58" s="67">
        <f t="shared" si="8"/>
        <v>0</v>
      </c>
      <c r="H58" s="68"/>
      <c r="I58" s="61"/>
      <c r="J58" s="71"/>
      <c r="K58" s="70"/>
      <c r="M58" s="20" t="str">
        <f t="shared" si="9"/>
        <v>BATA</v>
      </c>
    </row>
    <row r="59" spans="1:15" s="20" customFormat="1" ht="18" customHeight="1" x14ac:dyDescent="0.25">
      <c r="A59" s="1"/>
      <c r="B59" s="34">
        <v>10</v>
      </c>
      <c r="C59" s="45" t="s">
        <v>21</v>
      </c>
      <c r="D59" s="36">
        <f>IFERROR(HLOOKUP($J$1,[1]DB!$C$1:$K$172,59,FALSE),"")</f>
        <v>11</v>
      </c>
      <c r="E59" s="36">
        <f>SUMIFS('[1]Rincian Keluar'!$G:$G,'[1]Rincian Keluar'!$E:$E,'RIDHO 01'!C59,'[1]Rincian Keluar'!$D:$D,'RIDHO 01'!$D$1,'[1]Rincian Keluar'!$H:$H,'RIDHO 01'!$J$1,'[1]Rincian Keluar'!$F:$F,'RIDHO 01'!M59)</f>
        <v>0</v>
      </c>
      <c r="F59" s="37">
        <v>11000</v>
      </c>
      <c r="G59" s="67">
        <f t="shared" si="8"/>
        <v>0</v>
      </c>
      <c r="H59" s="68"/>
      <c r="I59" s="61"/>
      <c r="J59" s="71"/>
      <c r="K59" s="70"/>
      <c r="M59" s="20" t="str">
        <f t="shared" si="9"/>
        <v>BATA</v>
      </c>
    </row>
    <row r="60" spans="1:15" s="20" customFormat="1" ht="18" customHeight="1" x14ac:dyDescent="0.25">
      <c r="A60" s="1"/>
      <c r="B60" s="91" t="s">
        <v>59</v>
      </c>
      <c r="C60" s="182" t="s">
        <v>60</v>
      </c>
      <c r="D60" s="93"/>
      <c r="E60" s="93"/>
      <c r="F60" s="93"/>
      <c r="G60" s="93"/>
      <c r="H60" s="93"/>
      <c r="I60" s="94"/>
      <c r="J60" s="93"/>
      <c r="K60" s="95"/>
    </row>
    <row r="61" spans="1:15" s="20" customFormat="1" ht="18" customHeight="1" x14ac:dyDescent="0.25">
      <c r="A61" s="1"/>
      <c r="B61" s="34">
        <v>1</v>
      </c>
      <c r="C61" s="45" t="s">
        <v>24</v>
      </c>
      <c r="D61" s="36">
        <f>IFERROR(HLOOKUP($J$1,[1]DB!$C$1:$K$172,61,FALSE),"")</f>
        <v>56</v>
      </c>
      <c r="E61" s="36">
        <f>SUMIFS('[1]Rincian Keluar'!$G:$G,'[1]Rincian Keluar'!$E:$E,'RIDHO 01'!C61,'[1]Rincian Keluar'!$D:$D,'RIDHO 01'!$D$1,'[1]Rincian Keluar'!$H:$H,'RIDHO 01'!$J$1,'[1]Rincian Keluar'!$F:$F,'RIDHO 01'!M61)</f>
        <v>53</v>
      </c>
      <c r="F61" s="37">
        <v>60700</v>
      </c>
      <c r="G61" s="75">
        <f>E61*F61</f>
        <v>3217100</v>
      </c>
      <c r="H61" s="212">
        <v>4687500</v>
      </c>
      <c r="I61" s="76">
        <f>IFERROR(VLOOKUP($C60,[1]HK!$B$5:$C$14,2,FALSE),"")*$J1</f>
        <v>5000000</v>
      </c>
      <c r="J61" s="169">
        <f>I61-H61</f>
        <v>312500</v>
      </c>
      <c r="K61" s="41">
        <v>0.95</v>
      </c>
      <c r="M61" s="20" t="str">
        <f>$C$60</f>
        <v>PLASTER</v>
      </c>
      <c r="O61" s="20" t="s">
        <v>61</v>
      </c>
    </row>
    <row r="62" spans="1:15" s="20" customFormat="1" ht="18" customHeight="1" x14ac:dyDescent="0.25">
      <c r="A62" s="1"/>
      <c r="B62" s="34">
        <v>2</v>
      </c>
      <c r="C62" s="72" t="s">
        <v>31</v>
      </c>
      <c r="D62" s="36">
        <f>IFERROR(HLOOKUP($J$1,[1]DB!$C$1:$K$172,62,FALSE),"")</f>
        <v>12</v>
      </c>
      <c r="E62" s="36">
        <f>SUMIFS('[1]Rincian Keluar'!$G:$G,'[1]Rincian Keluar'!$E:$E,'RIDHO 01'!C62,'[1]Rincian Keluar'!$D:$D,'RIDHO 01'!$D$1,'[1]Rincian Keluar'!$H:$H,'RIDHO 01'!$J$1,'[1]Rincian Keluar'!$F:$F,'RIDHO 01'!M62)</f>
        <v>10</v>
      </c>
      <c r="F62" s="37">
        <v>150000</v>
      </c>
      <c r="G62" s="75">
        <f t="shared" ref="G62:G63" si="10">E62*F62</f>
        <v>1500000</v>
      </c>
      <c r="H62" s="213"/>
      <c r="I62" s="78"/>
      <c r="J62" s="170"/>
      <c r="K62" s="44"/>
      <c r="M62" s="20" t="str">
        <f t="shared" ref="M62:M63" si="11">$C$60</f>
        <v>PLASTER</v>
      </c>
    </row>
    <row r="63" spans="1:15" ht="18" customHeight="1" x14ac:dyDescent="0.25">
      <c r="B63" s="34">
        <v>3</v>
      </c>
      <c r="C63" s="72" t="s">
        <v>62</v>
      </c>
      <c r="D63" s="36">
        <f>IFERROR(HLOOKUP($J$1,[1]DB!$C$1:$K$172,63,FALSE),"")</f>
        <v>11</v>
      </c>
      <c r="E63" s="36">
        <f>SUMIFS('[1]Rincian Keluar'!$G:$G,'[1]Rincian Keluar'!$E:$E,'RIDHO 01'!C63,'[1]Rincian Keluar'!$D:$D,'RIDHO 01'!$D$1,'[1]Rincian Keluar'!$H:$H,'RIDHO 01'!$J$1,'[1]Rincian Keluar'!$F:$F,'RIDHO 01'!M63)</f>
        <v>8</v>
      </c>
      <c r="F63" s="57">
        <v>8600</v>
      </c>
      <c r="G63" s="75">
        <f t="shared" si="10"/>
        <v>68800</v>
      </c>
      <c r="H63" s="214"/>
      <c r="I63" s="80"/>
      <c r="J63" s="171"/>
      <c r="K63" s="49"/>
      <c r="M63" s="20" t="str">
        <f t="shared" si="11"/>
        <v>PLASTER</v>
      </c>
    </row>
    <row r="64" spans="1:15" ht="18" customHeight="1" x14ac:dyDescent="0.25">
      <c r="B64" s="91" t="s">
        <v>63</v>
      </c>
      <c r="C64" s="92" t="s">
        <v>64</v>
      </c>
      <c r="D64" s="93"/>
      <c r="E64" s="93"/>
      <c r="F64" s="93"/>
      <c r="G64" s="93"/>
      <c r="H64" s="93"/>
      <c r="I64" s="94"/>
      <c r="J64" s="93"/>
      <c r="K64" s="95"/>
      <c r="M64" s="20"/>
    </row>
    <row r="65" spans="1:13" ht="18" customHeight="1" x14ac:dyDescent="0.25">
      <c r="B65" s="34">
        <v>1</v>
      </c>
      <c r="C65" s="45" t="s">
        <v>19</v>
      </c>
      <c r="D65" s="36">
        <f>IFERROR(HLOOKUP($J$1,[1]DB!$C$1:$K$172,65,FALSE),"")</f>
        <v>96</v>
      </c>
      <c r="E65" s="36">
        <f>SUMIFS('[1]Rincian Keluar'!$G:$G,'[1]Rincian Keluar'!$E:$E,'RIDHO 01'!C65,'[1]Rincian Keluar'!$D:$D,'RIDHO 01'!$D$1,'[1]Rincian Keluar'!$H:$H,'RIDHO 01'!$J$1,'[1]Rincian Keluar'!$F:$F,'RIDHO 01'!M65)</f>
        <v>145</v>
      </c>
      <c r="F65" s="46">
        <v>11000</v>
      </c>
      <c r="G65" s="82">
        <f>E65*F65</f>
        <v>1595000</v>
      </c>
      <c r="H65" s="51">
        <v>3732800</v>
      </c>
      <c r="I65" s="39">
        <f>IFERROR(VLOOKUP($C64,[1]HK!$B$5:$C$14,2,FALSE),"")*$J1</f>
        <v>2672000</v>
      </c>
      <c r="J65" s="83">
        <f>I65-H65</f>
        <v>-1060800</v>
      </c>
      <c r="K65" s="84">
        <v>1</v>
      </c>
      <c r="M65" s="20" t="str">
        <f>$C$64</f>
        <v>ATAP</v>
      </c>
    </row>
    <row r="66" spans="1:13" ht="18" customHeight="1" x14ac:dyDescent="0.25">
      <c r="B66" s="34">
        <v>2</v>
      </c>
      <c r="C66" s="45" t="s">
        <v>65</v>
      </c>
      <c r="D66" s="36">
        <f>IFERROR(HLOOKUP($J$1,[1]DB!$C$1:$K$172,66,FALSE),"")</f>
        <v>64</v>
      </c>
      <c r="E66" s="36">
        <f>SUMIFS('[1]Rincian Keluar'!$G:$G,'[1]Rincian Keluar'!$E:$E,'RIDHO 01'!C66,'[1]Rincian Keluar'!$D:$D,'RIDHO 01'!$D$1,'[1]Rincian Keluar'!$H:$H,'RIDHO 01'!$J$1,'[1]Rincian Keluar'!$F:$F,'RIDHO 01'!M66)</f>
        <v>112</v>
      </c>
      <c r="F66" s="85">
        <v>15000</v>
      </c>
      <c r="G66" s="82">
        <f t="shared" ref="G66:G74" si="12">E66*F66</f>
        <v>1680000</v>
      </c>
      <c r="H66" s="53"/>
      <c r="I66" s="42"/>
      <c r="J66" s="86"/>
      <c r="K66" s="87"/>
      <c r="M66" s="20" t="str">
        <f t="shared" ref="M66:M74" si="13">$C$64</f>
        <v>ATAP</v>
      </c>
    </row>
    <row r="67" spans="1:13" ht="18" customHeight="1" x14ac:dyDescent="0.25">
      <c r="B67" s="34">
        <v>3</v>
      </c>
      <c r="C67" s="45" t="s">
        <v>66</v>
      </c>
      <c r="D67" s="36">
        <f>IFERROR(HLOOKUP($J$1,[1]DB!$C$1:$K$172,67,FALSE),"")</f>
        <v>47</v>
      </c>
      <c r="E67" s="36">
        <f>SUMIFS('[1]Rincian Keluar'!$G:$G,'[1]Rincian Keluar'!$E:$E,'RIDHO 01'!C67,'[1]Rincian Keluar'!$D:$D,'RIDHO 01'!$D$1,'[1]Rincian Keluar'!$H:$H,'RIDHO 01'!$J$1,'[1]Rincian Keluar'!$F:$F,'RIDHO 01'!M67)</f>
        <v>55</v>
      </c>
      <c r="F67" s="85">
        <v>30000</v>
      </c>
      <c r="G67" s="82">
        <f t="shared" si="12"/>
        <v>1650000</v>
      </c>
      <c r="H67" s="53"/>
      <c r="I67" s="42"/>
      <c r="J67" s="86"/>
      <c r="K67" s="87"/>
      <c r="M67" s="20" t="str">
        <f t="shared" si="13"/>
        <v>ATAP</v>
      </c>
    </row>
    <row r="68" spans="1:13" ht="18" customHeight="1" x14ac:dyDescent="0.25">
      <c r="B68" s="34">
        <v>4</v>
      </c>
      <c r="C68" s="35" t="s">
        <v>67</v>
      </c>
      <c r="D68" s="36">
        <f>IFERROR(HLOOKUP($J$1,[1]DB!$C$1:$K$172,68,FALSE),"")</f>
        <v>15</v>
      </c>
      <c r="E68" s="36">
        <f>SUMIFS('[1]Rincian Keluar'!$G:$G,'[1]Rincian Keluar'!$E:$E,'RIDHO 01'!C68,'[1]Rincian Keluar'!$D:$D,'RIDHO 01'!$D$1,'[1]Rincian Keluar'!$H:$H,'RIDHO 01'!$J$1,'[1]Rincian Keluar'!$F:$F,'RIDHO 01'!M68)</f>
        <v>10</v>
      </c>
      <c r="F68" s="88">
        <v>60000</v>
      </c>
      <c r="G68" s="82">
        <f t="shared" si="12"/>
        <v>600000</v>
      </c>
      <c r="H68" s="53"/>
      <c r="I68" s="42"/>
      <c r="J68" s="86"/>
      <c r="K68" s="87"/>
      <c r="M68" s="20" t="str">
        <f t="shared" si="13"/>
        <v>ATAP</v>
      </c>
    </row>
    <row r="69" spans="1:13" ht="18" customHeight="1" x14ac:dyDescent="0.25">
      <c r="B69" s="34">
        <v>5</v>
      </c>
      <c r="C69" s="35" t="s">
        <v>68</v>
      </c>
      <c r="D69" s="36">
        <f>IFERROR(HLOOKUP($J$1,[1]DB!$C$1:$K$172,69,FALSE),"")</f>
        <v>110</v>
      </c>
      <c r="E69" s="36">
        <f>SUMIFS('[1]Rincian Keluar'!$G:$G,'[1]Rincian Keluar'!$E:$E,'RIDHO 01'!C69,'[1]Rincian Keluar'!$D:$D,'RIDHO 01'!$D$1,'[1]Rincian Keluar'!$H:$H,'RIDHO 01'!$J$1,'[1]Rincian Keluar'!$F:$F,'RIDHO 01'!M69)</f>
        <v>116</v>
      </c>
      <c r="F69" s="88">
        <v>52000</v>
      </c>
      <c r="G69" s="82">
        <f t="shared" si="12"/>
        <v>6032000</v>
      </c>
      <c r="H69" s="53"/>
      <c r="I69" s="42"/>
      <c r="J69" s="86"/>
      <c r="K69" s="87"/>
      <c r="M69" s="20" t="str">
        <f t="shared" si="13"/>
        <v>ATAP</v>
      </c>
    </row>
    <row r="70" spans="1:13" ht="18" customHeight="1" x14ac:dyDescent="0.25">
      <c r="B70" s="34">
        <v>6</v>
      </c>
      <c r="C70" s="35" t="s">
        <v>69</v>
      </c>
      <c r="D70" s="36">
        <f>IFERROR(HLOOKUP($J$1,[1]DB!$C$1:$K$172,70,FALSE),"")</f>
        <v>0</v>
      </c>
      <c r="E70" s="36">
        <f>SUMIFS('[1]Rincian Keluar'!$G:$G,'[1]Rincian Keluar'!$E:$E,'RIDHO 01'!C70,'[1]Rincian Keluar'!$D:$D,'RIDHO 01'!$D$1,'[1]Rincian Keluar'!$H:$H,'RIDHO 01'!$J$1,'[1]Rincian Keluar'!$F:$F,'RIDHO 01'!M70)</f>
        <v>0</v>
      </c>
      <c r="F70" s="88">
        <v>36000</v>
      </c>
      <c r="G70" s="82">
        <f t="shared" si="12"/>
        <v>0</v>
      </c>
      <c r="H70" s="53"/>
      <c r="I70" s="42"/>
      <c r="J70" s="86"/>
      <c r="K70" s="87"/>
      <c r="M70" s="20" t="str">
        <f t="shared" si="13"/>
        <v>ATAP</v>
      </c>
    </row>
    <row r="71" spans="1:13" ht="18" customHeight="1" x14ac:dyDescent="0.25">
      <c r="B71" s="34">
        <v>7</v>
      </c>
      <c r="C71" s="35" t="s">
        <v>70</v>
      </c>
      <c r="D71" s="36">
        <f>IFERROR(HLOOKUP($J$1,[1]DB!$C$1:$K$172,71,FALSE),"")</f>
        <v>0</v>
      </c>
      <c r="E71" s="36">
        <f>SUMIFS('[1]Rincian Keluar'!$G:$G,'[1]Rincian Keluar'!$E:$E,'RIDHO 01'!C71,'[1]Rincian Keluar'!$D:$D,'RIDHO 01'!$D$1,'[1]Rincian Keluar'!$H:$H,'RIDHO 01'!$J$1,'[1]Rincian Keluar'!$F:$F,'RIDHO 01'!M71)</f>
        <v>0</v>
      </c>
      <c r="F71" s="88">
        <v>50000</v>
      </c>
      <c r="G71" s="82">
        <f t="shared" si="12"/>
        <v>0</v>
      </c>
      <c r="H71" s="53"/>
      <c r="I71" s="42"/>
      <c r="J71" s="86"/>
      <c r="K71" s="87"/>
      <c r="M71" s="20" t="str">
        <f t="shared" si="13"/>
        <v>ATAP</v>
      </c>
    </row>
    <row r="72" spans="1:13" ht="18" customHeight="1" x14ac:dyDescent="0.25">
      <c r="B72" s="34">
        <v>8</v>
      </c>
      <c r="C72" s="35" t="s">
        <v>71</v>
      </c>
      <c r="D72" s="36">
        <f>IFERROR(HLOOKUP($J$1,[1]DB!$C$1:$K$172,72,FALSE),"")</f>
        <v>1.5</v>
      </c>
      <c r="E72" s="36">
        <f>SUMIFS('[1]Rincian Keluar'!$G:$G,'[1]Rincian Keluar'!$E:$E,'RIDHO 01'!C72,'[1]Rincian Keluar'!$D:$D,'RIDHO 01'!$D$1,'[1]Rincian Keluar'!$H:$H,'RIDHO 01'!$J$1,'[1]Rincian Keluar'!$F:$F,'RIDHO 01'!M72)</f>
        <v>1.5</v>
      </c>
      <c r="F72" s="88">
        <v>650000</v>
      </c>
      <c r="G72" s="82">
        <f t="shared" si="12"/>
        <v>975000</v>
      </c>
      <c r="H72" s="53"/>
      <c r="I72" s="42"/>
      <c r="J72" s="86"/>
      <c r="K72" s="87"/>
      <c r="M72" s="20" t="str">
        <f t="shared" si="13"/>
        <v>ATAP</v>
      </c>
    </row>
    <row r="73" spans="1:13" ht="18" customHeight="1" x14ac:dyDescent="0.25">
      <c r="B73" s="34">
        <v>9</v>
      </c>
      <c r="C73" s="35" t="s">
        <v>72</v>
      </c>
      <c r="D73" s="36">
        <f>IFERROR(HLOOKUP($J$1,[1]DB!$C$1:$K$172,73,FALSE),"")</f>
        <v>2</v>
      </c>
      <c r="E73" s="36">
        <f>SUMIFS('[1]Rincian Keluar'!$G:$G,'[1]Rincian Keluar'!$E:$E,'RIDHO 01'!C73,'[1]Rincian Keluar'!$D:$D,'RIDHO 01'!$D$1,'[1]Rincian Keluar'!$H:$H,'RIDHO 01'!$J$1,'[1]Rincian Keluar'!$F:$F,'RIDHO 01'!M73)</f>
        <v>1</v>
      </c>
      <c r="F73" s="88">
        <v>130000</v>
      </c>
      <c r="G73" s="82">
        <f t="shared" si="12"/>
        <v>130000</v>
      </c>
      <c r="H73" s="53"/>
      <c r="I73" s="42"/>
      <c r="J73" s="86"/>
      <c r="K73" s="87"/>
      <c r="M73" s="20" t="str">
        <f t="shared" si="13"/>
        <v>ATAP</v>
      </c>
    </row>
    <row r="74" spans="1:13" ht="18" customHeight="1" x14ac:dyDescent="0.25">
      <c r="B74" s="34">
        <v>10</v>
      </c>
      <c r="C74" s="35" t="s">
        <v>73</v>
      </c>
      <c r="D74" s="36">
        <f>IFERROR(HLOOKUP($J$1,[1]DB!$C$1:$K$172,74,FALSE),"")</f>
        <v>2</v>
      </c>
      <c r="E74" s="36">
        <f>SUMIFS('[1]Rincian Keluar'!$G:$G,'[1]Rincian Keluar'!$E:$E,'RIDHO 01'!C74,'[1]Rincian Keluar'!$D:$D,'RIDHO 01'!$D$1,'[1]Rincian Keluar'!$H:$H,'RIDHO 01'!$J$1,'[1]Rincian Keluar'!$F:$F,'RIDHO 01'!M74)</f>
        <v>1</v>
      </c>
      <c r="F74" s="88">
        <v>130000</v>
      </c>
      <c r="G74" s="82">
        <f t="shared" si="12"/>
        <v>130000</v>
      </c>
      <c r="H74" s="55"/>
      <c r="I74" s="47"/>
      <c r="J74" s="89"/>
      <c r="K74" s="90"/>
      <c r="M74" s="20" t="str">
        <f t="shared" si="13"/>
        <v>ATAP</v>
      </c>
    </row>
    <row r="75" spans="1:13" ht="18" customHeight="1" x14ac:dyDescent="0.25">
      <c r="B75" s="29" t="s">
        <v>74</v>
      </c>
      <c r="C75" s="50" t="s">
        <v>75</v>
      </c>
      <c r="D75" s="31"/>
      <c r="E75" s="31"/>
      <c r="F75" s="31"/>
      <c r="G75" s="31"/>
      <c r="H75" s="31"/>
      <c r="I75" s="32"/>
      <c r="J75" s="31"/>
      <c r="K75" s="33"/>
      <c r="M75" s="20"/>
    </row>
    <row r="76" spans="1:13" ht="18" customHeight="1" x14ac:dyDescent="0.25">
      <c r="B76" s="96">
        <v>1</v>
      </c>
      <c r="C76" s="97" t="s">
        <v>19</v>
      </c>
      <c r="D76" s="36">
        <f>IFERROR(HLOOKUP($J$1,[1]DB!$C$1:$K$172,76,FALSE),"")</f>
        <v>139</v>
      </c>
      <c r="E76" s="36">
        <f>SUMIFS('[1]Rincian Keluar'!$G:$G,'[1]Rincian Keluar'!$E:$E,'RIDHO 01'!C76,'[1]Rincian Keluar'!$D:$D,'RIDHO 01'!$D$1,'[1]Rincian Keluar'!$H:$H,'RIDHO 01'!$J$1,'[1]Rincian Keluar'!$F:$F,'RIDHO 01'!M76)</f>
        <v>195</v>
      </c>
      <c r="F76" s="46">
        <v>11000</v>
      </c>
      <c r="G76" s="98">
        <f>E76*F76</f>
        <v>2145000</v>
      </c>
      <c r="H76" s="108">
        <v>1212496</v>
      </c>
      <c r="I76" s="39">
        <f>IFERROR(VLOOKUP($C75,[1]HK!$B$5:$C$14,2,FALSE),"")*$J1</f>
        <v>1560000</v>
      </c>
      <c r="J76" s="109">
        <f>I76-H76</f>
        <v>347504</v>
      </c>
      <c r="K76" s="103">
        <v>1</v>
      </c>
      <c r="M76" s="20" t="str">
        <f>$C$75</f>
        <v>DEK</v>
      </c>
    </row>
    <row r="77" spans="1:13" ht="18" customHeight="1" x14ac:dyDescent="0.25">
      <c r="B77" s="96">
        <v>2</v>
      </c>
      <c r="C77" s="97" t="s">
        <v>76</v>
      </c>
      <c r="D77" s="36">
        <f>IFERROR(HLOOKUP($J$1,[1]DB!$C$1:$K$172,77,FALSE),"")</f>
        <v>37</v>
      </c>
      <c r="E77" s="36">
        <f>SUMIFS('[1]Rincian Keluar'!$G:$G,'[1]Rincian Keluar'!$E:$E,'RIDHO 01'!C77,'[1]Rincian Keluar'!$D:$D,'RIDHO 01'!$D$1,'[1]Rincian Keluar'!$H:$H,'RIDHO 01'!$J$1,'[1]Rincian Keluar'!$F:$F,'RIDHO 01'!M77)</f>
        <v>33</v>
      </c>
      <c r="F77" s="57">
        <v>60000</v>
      </c>
      <c r="G77" s="98">
        <f t="shared" ref="G77:G81" si="14">E77*F77</f>
        <v>1980000</v>
      </c>
      <c r="H77" s="110"/>
      <c r="I77" s="42"/>
      <c r="J77" s="111"/>
      <c r="K77" s="105"/>
      <c r="M77" s="20" t="str">
        <f t="shared" ref="M77:M81" si="15">$C$75</f>
        <v>DEK</v>
      </c>
    </row>
    <row r="78" spans="1:13" ht="18" customHeight="1" x14ac:dyDescent="0.25">
      <c r="B78" s="96">
        <v>3</v>
      </c>
      <c r="C78" s="97" t="s">
        <v>77</v>
      </c>
      <c r="D78" s="36">
        <f>IFERROR(HLOOKUP($J$1,[1]DB!$C$1:$K$172,78,FALSE),"")</f>
        <v>6</v>
      </c>
      <c r="E78" s="36">
        <f>SUMIFS('[1]Rincian Keluar'!$G:$G,'[1]Rincian Keluar'!$E:$E,'RIDHO 01'!C78,'[1]Rincian Keluar'!$D:$D,'RIDHO 01'!$D$1,'[1]Rincian Keluar'!$H:$H,'RIDHO 01'!$J$1,'[1]Rincian Keluar'!$F:$F,'RIDHO 01'!M78)</f>
        <v>7</v>
      </c>
      <c r="F78" s="57">
        <v>37000</v>
      </c>
      <c r="G78" s="98">
        <f t="shared" si="14"/>
        <v>259000</v>
      </c>
      <c r="H78" s="110"/>
      <c r="I78" s="42"/>
      <c r="J78" s="111"/>
      <c r="K78" s="105"/>
      <c r="M78" s="20" t="str">
        <f t="shared" si="15"/>
        <v>DEK</v>
      </c>
    </row>
    <row r="79" spans="1:13" s="20" customFormat="1" ht="18" customHeight="1" x14ac:dyDescent="0.25">
      <c r="A79" s="1"/>
      <c r="B79" s="96">
        <v>4</v>
      </c>
      <c r="C79" s="97" t="s">
        <v>78</v>
      </c>
      <c r="D79" s="36">
        <f>IFERROR(HLOOKUP($J$1,[1]DB!$C$1:$K$172,79,FALSE),"")</f>
        <v>2</v>
      </c>
      <c r="E79" s="36">
        <f>SUMIFS('[1]Rincian Keluar'!$G:$G,'[1]Rincian Keluar'!$E:$E,'RIDHO 01'!C79,'[1]Rincian Keluar'!$D:$D,'RIDHO 01'!$D$1,'[1]Rincian Keluar'!$H:$H,'RIDHO 01'!$J$1,'[1]Rincian Keluar'!$F:$F,'RIDHO 01'!M79)</f>
        <v>2</v>
      </c>
      <c r="F79" s="57">
        <v>5000</v>
      </c>
      <c r="G79" s="98">
        <f t="shared" si="14"/>
        <v>10000</v>
      </c>
      <c r="H79" s="110"/>
      <c r="I79" s="42"/>
      <c r="J79" s="111"/>
      <c r="K79" s="105"/>
      <c r="M79" s="20" t="str">
        <f t="shared" si="15"/>
        <v>DEK</v>
      </c>
    </row>
    <row r="80" spans="1:13" s="20" customFormat="1" ht="18" customHeight="1" x14ac:dyDescent="0.25">
      <c r="A80" s="1"/>
      <c r="B80" s="96">
        <v>5</v>
      </c>
      <c r="C80" s="97" t="s">
        <v>79</v>
      </c>
      <c r="D80" s="36">
        <f>IFERROR(HLOOKUP($J$1,[1]DB!$C$1:$K$172,80,FALSE),"")</f>
        <v>2</v>
      </c>
      <c r="E80" s="36">
        <f>SUMIFS('[1]Rincian Keluar'!$G:$G,'[1]Rincian Keluar'!$E:$E,'RIDHO 01'!C80,'[1]Rincian Keluar'!$D:$D,'RIDHO 01'!$D$1,'[1]Rincian Keluar'!$H:$H,'RIDHO 01'!$J$1,'[1]Rincian Keluar'!$F:$F,'RIDHO 01'!M80)</f>
        <v>2</v>
      </c>
      <c r="F80" s="57">
        <v>130000</v>
      </c>
      <c r="G80" s="98">
        <f t="shared" si="14"/>
        <v>260000</v>
      </c>
      <c r="H80" s="110"/>
      <c r="I80" s="42"/>
      <c r="J80" s="111"/>
      <c r="K80" s="105"/>
      <c r="M80" s="20" t="str">
        <f t="shared" si="15"/>
        <v>DEK</v>
      </c>
    </row>
    <row r="81" spans="1:13" s="20" customFormat="1" ht="18" customHeight="1" x14ac:dyDescent="0.25">
      <c r="A81" s="1"/>
      <c r="B81" s="96">
        <v>6</v>
      </c>
      <c r="C81" s="97" t="s">
        <v>80</v>
      </c>
      <c r="D81" s="36">
        <f>IFERROR(HLOOKUP($J$1,[1]DB!$C$1:$K$172,81,FALSE),"")</f>
        <v>2</v>
      </c>
      <c r="E81" s="36">
        <f>SUMIFS('[1]Rincian Keluar'!$G:$G,'[1]Rincian Keluar'!$E:$E,'RIDHO 01'!C81,'[1]Rincian Keluar'!$D:$D,'RIDHO 01'!$D$1,'[1]Rincian Keluar'!$H:$H,'RIDHO 01'!$J$1,'[1]Rincian Keluar'!$F:$F,'RIDHO 01'!M81)</f>
        <v>2</v>
      </c>
      <c r="F81" s="57">
        <v>130000</v>
      </c>
      <c r="G81" s="98">
        <f t="shared" si="14"/>
        <v>260000</v>
      </c>
      <c r="H81" s="112"/>
      <c r="I81" s="47"/>
      <c r="J81" s="113"/>
      <c r="K81" s="107"/>
      <c r="M81" s="20" t="str">
        <f t="shared" si="15"/>
        <v>DEK</v>
      </c>
    </row>
    <row r="82" spans="1:13" s="20" customFormat="1" ht="18" customHeight="1" x14ac:dyDescent="0.25">
      <c r="A82" s="1"/>
      <c r="B82" s="29" t="s">
        <v>81</v>
      </c>
      <c r="C82" s="50" t="s">
        <v>82</v>
      </c>
      <c r="D82" s="31"/>
      <c r="E82" s="31"/>
      <c r="F82" s="31"/>
      <c r="G82" s="31"/>
      <c r="H82" s="31"/>
      <c r="I82" s="32"/>
      <c r="J82" s="31"/>
      <c r="K82" s="33"/>
    </row>
    <row r="83" spans="1:13" s="20" customFormat="1" ht="18" customHeight="1" x14ac:dyDescent="0.25">
      <c r="A83" s="1"/>
      <c r="B83" s="96">
        <v>1</v>
      </c>
      <c r="C83" s="97" t="s">
        <v>54</v>
      </c>
      <c r="D83" s="36">
        <f>IFERROR(HLOOKUP($J$1,[1]DB!$C$1:$K$172,83,FALSE),"")</f>
        <v>175</v>
      </c>
      <c r="E83" s="36">
        <f>SUMIFS('[1]Rincian Keluar'!$G:$G,'[1]Rincian Keluar'!$E:$E,'RIDHO 01'!C83,'[1]Rincian Keluar'!$D:$D,'RIDHO 01'!$D$1,'[1]Rincian Keluar'!$H:$H,'RIDHO 01'!$J$1,'[1]Rincian Keluar'!$F:$F,'RIDHO 01'!M83)</f>
        <v>140</v>
      </c>
      <c r="F83" s="37">
        <v>1850</v>
      </c>
      <c r="G83" s="98">
        <f>E83*F83</f>
        <v>259000</v>
      </c>
      <c r="H83" s="108">
        <v>1190000</v>
      </c>
      <c r="I83" s="39">
        <f>IFERROR(VLOOKUP($C82,[1]HK!$B$5:$C$20,2,FALSE),"")*$J1+504000</f>
        <v>1512000</v>
      </c>
      <c r="J83" s="109">
        <f>I83-H83</f>
        <v>322000</v>
      </c>
      <c r="K83" s="103">
        <v>1</v>
      </c>
      <c r="M83" s="20" t="str">
        <f>$C$82</f>
        <v>MINIMALIS</v>
      </c>
    </row>
    <row r="84" spans="1:13" s="20" customFormat="1" ht="18" customHeight="1" x14ac:dyDescent="0.25">
      <c r="A84" s="1"/>
      <c r="B84" s="96">
        <v>2</v>
      </c>
      <c r="C84" s="97" t="s">
        <v>31</v>
      </c>
      <c r="D84" s="36">
        <f>IFERROR(HLOOKUP($J$1,[1]DB!$C$1:$K$172,84,FALSE),"")</f>
        <v>5</v>
      </c>
      <c r="E84" s="36">
        <f>SUMIFS('[1]Rincian Keluar'!$G:$G,'[1]Rincian Keluar'!$E:$E,'RIDHO 01'!C84,'[1]Rincian Keluar'!$D:$D,'RIDHO 01'!$D$1,'[1]Rincian Keluar'!$H:$H,'RIDHO 01'!$J$1,'[1]Rincian Keluar'!$F:$F,'RIDHO 01'!M84)</f>
        <v>2</v>
      </c>
      <c r="F84" s="37">
        <v>150000</v>
      </c>
      <c r="G84" s="98">
        <f t="shared" ref="G84:G86" si="16">E84*F84</f>
        <v>300000</v>
      </c>
      <c r="H84" s="110"/>
      <c r="I84" s="42"/>
      <c r="J84" s="111"/>
      <c r="K84" s="105"/>
      <c r="M84" s="20" t="str">
        <f t="shared" ref="M84:M86" si="17">$C$82</f>
        <v>MINIMALIS</v>
      </c>
    </row>
    <row r="85" spans="1:13" s="20" customFormat="1" ht="18" customHeight="1" x14ac:dyDescent="0.25">
      <c r="A85" s="1"/>
      <c r="B85" s="96">
        <v>3</v>
      </c>
      <c r="C85" s="45" t="s">
        <v>24</v>
      </c>
      <c r="D85" s="36">
        <f>IFERROR(HLOOKUP($J$1,[1]DB!$C$1:$K$172,85,FALSE),"")</f>
        <v>15</v>
      </c>
      <c r="E85" s="36">
        <f>SUMIFS('[1]Rincian Keluar'!$G:$G,'[1]Rincian Keluar'!$E:$E,'RIDHO 01'!C85,'[1]Rincian Keluar'!$D:$D,'RIDHO 01'!$D$1,'[1]Rincian Keluar'!$H:$H,'RIDHO 01'!$J$1,'[1]Rincian Keluar'!$F:$F,'RIDHO 01'!M85)</f>
        <v>11</v>
      </c>
      <c r="F85" s="37">
        <v>60700</v>
      </c>
      <c r="G85" s="98">
        <f t="shared" si="16"/>
        <v>667700</v>
      </c>
      <c r="H85" s="110"/>
      <c r="I85" s="42"/>
      <c r="J85" s="111"/>
      <c r="K85" s="105"/>
      <c r="M85" s="20" t="str">
        <f t="shared" si="17"/>
        <v>MINIMALIS</v>
      </c>
    </row>
    <row r="86" spans="1:13" s="20" customFormat="1" ht="18" customHeight="1" x14ac:dyDescent="0.25">
      <c r="A86" s="1"/>
      <c r="B86" s="96">
        <v>4</v>
      </c>
      <c r="C86" s="45" t="s">
        <v>83</v>
      </c>
      <c r="D86" s="36">
        <f>IFERROR(HLOOKUP($J$1,[1]DB!$C$1:$K$172,86,FALSE),"")</f>
        <v>7</v>
      </c>
      <c r="E86" s="36">
        <f>SUMIFS('[1]Rincian Keluar'!$G:$G,'[1]Rincian Keluar'!$E:$E,'RIDHO 01'!C86,'[1]Rincian Keluar'!$D:$D,'RIDHO 01'!$D$1,'[1]Rincian Keluar'!$H:$H,'RIDHO 01'!$J$1,'[1]Rincian Keluar'!$F:$F,'RIDHO 01'!M86)</f>
        <v>7</v>
      </c>
      <c r="F86" s="37">
        <v>165000</v>
      </c>
      <c r="G86" s="98">
        <f t="shared" si="16"/>
        <v>1155000</v>
      </c>
      <c r="H86" s="112"/>
      <c r="I86" s="47"/>
      <c r="J86" s="113"/>
      <c r="K86" s="107"/>
      <c r="M86" s="20" t="str">
        <f t="shared" si="17"/>
        <v>MINIMALIS</v>
      </c>
    </row>
    <row r="87" spans="1:13" s="20" customFormat="1" ht="18" customHeight="1" x14ac:dyDescent="0.25">
      <c r="A87" s="1"/>
      <c r="B87" s="29" t="s">
        <v>110</v>
      </c>
      <c r="C87" s="50" t="s">
        <v>85</v>
      </c>
      <c r="D87" s="31"/>
      <c r="E87" s="31"/>
      <c r="F87" s="31"/>
      <c r="G87" s="31"/>
      <c r="H87" s="31"/>
      <c r="I87" s="32"/>
      <c r="J87" s="31"/>
      <c r="K87" s="33"/>
    </row>
    <row r="88" spans="1:13" s="20" customFormat="1" ht="18" customHeight="1" x14ac:dyDescent="0.25">
      <c r="A88" s="1"/>
      <c r="B88" s="34">
        <v>1</v>
      </c>
      <c r="C88" s="45" t="s">
        <v>24</v>
      </c>
      <c r="D88" s="36">
        <f>IFERROR(HLOOKUP($J$1,[1]DB!$C$1:$K$172,88,FALSE),"")</f>
        <v>22</v>
      </c>
      <c r="E88" s="36">
        <f>SUMIFS('[1]Rincian Keluar'!$G:$G,'[1]Rincian Keluar'!$E:$E,'RIDHO 01'!C88,'[1]Rincian Keluar'!$D:$D,'RIDHO 01'!$D$1,'[1]Rincian Keluar'!$H:$H,'RIDHO 01'!$J$1,'[1]Rincian Keluar'!$F:$F,'RIDHO 01'!M88)</f>
        <v>0</v>
      </c>
      <c r="F88" s="37">
        <v>60700</v>
      </c>
      <c r="G88" s="98">
        <f>E88*F88</f>
        <v>0</v>
      </c>
      <c r="H88" s="172"/>
      <c r="I88" s="39">
        <f>IFERROR(VLOOKUP($C87,[1]HK!$B$5:$C$20,2,FALSE),"")*$J1</f>
        <v>1336000</v>
      </c>
      <c r="J88" s="173"/>
      <c r="K88" s="103"/>
      <c r="M88" s="20" t="str">
        <f>$C$87</f>
        <v>CARPORT</v>
      </c>
    </row>
    <row r="89" spans="1:13" s="20" customFormat="1" ht="18" customHeight="1" x14ac:dyDescent="0.25">
      <c r="A89" s="1"/>
      <c r="B89" s="34">
        <v>2</v>
      </c>
      <c r="C89" s="35" t="s">
        <v>19</v>
      </c>
      <c r="D89" s="36">
        <f>IFERROR(HLOOKUP($J$1,[1]DB!$C$1:$K$172,89,FALSE),"")</f>
        <v>8</v>
      </c>
      <c r="E89" s="36">
        <f>SUMIFS('[1]Rincian Keluar'!$G:$G,'[1]Rincian Keluar'!$E:$E,'RIDHO 01'!C89,'[1]Rincian Keluar'!$D:$D,'RIDHO 01'!$D$1,'[1]Rincian Keluar'!$H:$H,'RIDHO 01'!$J$1,'[1]Rincian Keluar'!$F:$F,'RIDHO 01'!M89)</f>
        <v>0</v>
      </c>
      <c r="F89" s="46">
        <v>11000</v>
      </c>
      <c r="G89" s="98">
        <f t="shared" ref="G89:G95" si="18">E89*F89</f>
        <v>0</v>
      </c>
      <c r="H89" s="119"/>
      <c r="I89" s="42"/>
      <c r="J89" s="111"/>
      <c r="K89" s="105"/>
      <c r="M89" s="20" t="str">
        <f t="shared" ref="M89:M96" si="19">$C$87</f>
        <v>CARPORT</v>
      </c>
    </row>
    <row r="90" spans="1:13" s="20" customFormat="1" ht="18" customHeight="1" x14ac:dyDescent="0.25">
      <c r="A90" s="1"/>
      <c r="B90" s="34">
        <v>3</v>
      </c>
      <c r="C90" s="35" t="s">
        <v>20</v>
      </c>
      <c r="D90" s="36">
        <f>IFERROR(HLOOKUP($J$1,[1]DB!$C$1:$K$172,90,FALSE),"")</f>
        <v>5</v>
      </c>
      <c r="E90" s="36">
        <f>SUMIFS('[1]Rincian Keluar'!$G:$G,'[1]Rincian Keluar'!$E:$E,'RIDHO 01'!C90,'[1]Rincian Keluar'!$D:$D,'RIDHO 01'!$D$1,'[1]Rincian Keluar'!$H:$H,'RIDHO 01'!$J$1,'[1]Rincian Keluar'!$F:$F,'RIDHO 01'!M90)</f>
        <v>0</v>
      </c>
      <c r="F90" s="37">
        <v>8000</v>
      </c>
      <c r="G90" s="98">
        <f t="shared" si="18"/>
        <v>0</v>
      </c>
      <c r="H90" s="119"/>
      <c r="I90" s="42"/>
      <c r="J90" s="111"/>
      <c r="K90" s="105"/>
      <c r="M90" s="20" t="str">
        <f t="shared" si="19"/>
        <v>CARPORT</v>
      </c>
    </row>
    <row r="91" spans="1:13" s="20" customFormat="1" ht="18" customHeight="1" x14ac:dyDescent="0.25">
      <c r="A91" s="1"/>
      <c r="B91" s="34">
        <v>4</v>
      </c>
      <c r="C91" s="35" t="s">
        <v>21</v>
      </c>
      <c r="D91" s="36">
        <f>IFERROR(HLOOKUP($J$1,[1]DB!$C$1:$K$172,91,FALSE),"")</f>
        <v>10</v>
      </c>
      <c r="E91" s="36">
        <f>SUMIFS('[1]Rincian Keluar'!$G:$G,'[1]Rincian Keluar'!$E:$E,'RIDHO 01'!C91,'[1]Rincian Keluar'!$D:$D,'RIDHO 01'!$D$1,'[1]Rincian Keluar'!$H:$H,'RIDHO 01'!$J$1,'[1]Rincian Keluar'!$F:$F,'RIDHO 01'!M91)</f>
        <v>0</v>
      </c>
      <c r="F91" s="37">
        <v>11000</v>
      </c>
      <c r="G91" s="98">
        <f t="shared" si="18"/>
        <v>0</v>
      </c>
      <c r="H91" s="119"/>
      <c r="I91" s="42"/>
      <c r="J91" s="111"/>
      <c r="K91" s="105"/>
      <c r="M91" s="20" t="str">
        <f t="shared" si="19"/>
        <v>CARPORT</v>
      </c>
    </row>
    <row r="92" spans="1:13" s="20" customFormat="1" ht="18" customHeight="1" x14ac:dyDescent="0.25">
      <c r="A92" s="1"/>
      <c r="B92" s="34">
        <v>5</v>
      </c>
      <c r="C92" s="35" t="s">
        <v>32</v>
      </c>
      <c r="D92" s="36">
        <f>IFERROR(HLOOKUP($J$1,[1]DB!$C$1:$K$172,92,FALSE),"")</f>
        <v>7</v>
      </c>
      <c r="E92" s="36">
        <f>SUMIFS('[1]Rincian Keluar'!$G:$G,'[1]Rincian Keluar'!$E:$E,'RIDHO 01'!C92,'[1]Rincian Keluar'!$D:$D,'RIDHO 01'!$D$1,'[1]Rincian Keluar'!$H:$H,'RIDHO 01'!$J$1,'[1]Rincian Keluar'!$F:$F,'RIDHO 01'!M92)</f>
        <v>0</v>
      </c>
      <c r="F92" s="57">
        <v>15000</v>
      </c>
      <c r="G92" s="98">
        <f t="shared" si="18"/>
        <v>0</v>
      </c>
      <c r="H92" s="119"/>
      <c r="I92" s="42"/>
      <c r="J92" s="111"/>
      <c r="K92" s="105"/>
      <c r="M92" s="20" t="str">
        <f t="shared" si="19"/>
        <v>CARPORT</v>
      </c>
    </row>
    <row r="93" spans="1:13" s="20" customFormat="1" ht="18" customHeight="1" x14ac:dyDescent="0.25">
      <c r="A93" s="1"/>
      <c r="B93" s="34">
        <v>6</v>
      </c>
      <c r="C93" s="45" t="s">
        <v>17</v>
      </c>
      <c r="D93" s="36">
        <f>IFERROR(HLOOKUP($J$1,[1]DB!$C$1:$K$172,93,FALSE),"")</f>
        <v>2</v>
      </c>
      <c r="E93" s="36">
        <f>SUMIFS('[1]Rincian Keluar'!$G:$G,'[1]Rincian Keluar'!$E:$E,'RIDHO 01'!C93,'[1]Rincian Keluar'!$D:$D,'RIDHO 01'!$D$1,'[1]Rincian Keluar'!$H:$H,'RIDHO 01'!$J$1,'[1]Rincian Keluar'!$F:$F,'RIDHO 01'!M93)</f>
        <v>0</v>
      </c>
      <c r="F93" s="37">
        <v>22000</v>
      </c>
      <c r="G93" s="98">
        <f t="shared" si="18"/>
        <v>0</v>
      </c>
      <c r="H93" s="119"/>
      <c r="I93" s="42"/>
      <c r="J93" s="111"/>
      <c r="K93" s="105"/>
      <c r="M93" s="20" t="str">
        <f t="shared" si="19"/>
        <v>CARPORT</v>
      </c>
    </row>
    <row r="94" spans="1:13" s="20" customFormat="1" ht="18" customHeight="1" x14ac:dyDescent="0.25">
      <c r="A94" s="1"/>
      <c r="B94" s="34">
        <v>7</v>
      </c>
      <c r="C94" s="45" t="s">
        <v>57</v>
      </c>
      <c r="D94" s="36">
        <f>IFERROR(HLOOKUP($J$1,[1]DB!$C$1:$K$172,94,FALSE),"")</f>
        <v>15</v>
      </c>
      <c r="E94" s="36">
        <f>SUMIFS('[1]Rincian Keluar'!$G:$G,'[1]Rincian Keluar'!$E:$E,'RIDHO 01'!C94,'[1]Rincian Keluar'!$D:$D,'RIDHO 01'!$D$1,'[1]Rincian Keluar'!$H:$H,'RIDHO 01'!$J$1,'[1]Rincian Keluar'!$F:$F,'RIDHO 01'!M94)</f>
        <v>0</v>
      </c>
      <c r="F94" s="37">
        <v>35000</v>
      </c>
      <c r="G94" s="98">
        <f t="shared" si="18"/>
        <v>0</v>
      </c>
      <c r="H94" s="119"/>
      <c r="I94" s="42"/>
      <c r="J94" s="111"/>
      <c r="K94" s="105"/>
      <c r="M94" s="20" t="str">
        <f t="shared" si="19"/>
        <v>CARPORT</v>
      </c>
    </row>
    <row r="95" spans="1:13" s="20" customFormat="1" ht="18" customHeight="1" x14ac:dyDescent="0.25">
      <c r="A95" s="1"/>
      <c r="B95" s="34">
        <v>8</v>
      </c>
      <c r="C95" s="45" t="s">
        <v>23</v>
      </c>
      <c r="D95" s="36">
        <f>IFERROR(HLOOKUP($J$1,[1]DB!$C$1:$K$172,95,FALSE),"")</f>
        <v>1</v>
      </c>
      <c r="E95" s="36">
        <f>SUMIFS('[1]Rincian Keluar'!$G:$G,'[1]Rincian Keluar'!$E:$E,'RIDHO 01'!C95,'[1]Rincian Keluar'!$D:$D,'RIDHO 01'!$D$1,'[1]Rincian Keluar'!$H:$H,'RIDHO 01'!$J$1,'[1]Rincian Keluar'!$F:$F,'RIDHO 01'!M95)</f>
        <v>0</v>
      </c>
      <c r="F95" s="37">
        <v>500000</v>
      </c>
      <c r="G95" s="98">
        <f t="shared" si="18"/>
        <v>0</v>
      </c>
      <c r="H95" s="119"/>
      <c r="I95" s="42"/>
      <c r="J95" s="111"/>
      <c r="K95" s="105"/>
      <c r="M95" s="20" t="str">
        <f t="shared" si="19"/>
        <v>CARPORT</v>
      </c>
    </row>
    <row r="96" spans="1:13" s="20" customFormat="1" ht="18" customHeight="1" x14ac:dyDescent="0.25">
      <c r="A96" s="1"/>
      <c r="B96" s="34">
        <v>9</v>
      </c>
      <c r="C96" s="45" t="s">
        <v>31</v>
      </c>
      <c r="D96" s="36">
        <f>IFERROR(HLOOKUP($J$1,[1]DB!$C$1:$K$172,96,FALSE),"")</f>
        <v>6</v>
      </c>
      <c r="E96" s="36">
        <f>SUMIFS('[1]Rincian Keluar'!$G:$G,'[1]Rincian Keluar'!$E:$E,'RIDHO 01'!C96,'[1]Rincian Keluar'!$D:$D,'RIDHO 01'!$D$1,'[1]Rincian Keluar'!$H:$H,'RIDHO 01'!$J$1,'[1]Rincian Keluar'!$F:$F,'RIDHO 01'!M96)</f>
        <v>0</v>
      </c>
      <c r="F96" s="37">
        <v>150000</v>
      </c>
      <c r="G96" s="98">
        <f>E96*F96</f>
        <v>0</v>
      </c>
      <c r="H96" s="122"/>
      <c r="I96" s="47"/>
      <c r="J96" s="113"/>
      <c r="K96" s="107"/>
      <c r="M96" s="20" t="str">
        <f t="shared" si="19"/>
        <v>CARPORT</v>
      </c>
    </row>
    <row r="97" spans="1:13" s="20" customFormat="1" ht="18" customHeight="1" x14ac:dyDescent="0.25">
      <c r="A97" s="1"/>
      <c r="B97" s="34">
        <v>10</v>
      </c>
      <c r="C97" s="45" t="s">
        <v>83</v>
      </c>
      <c r="D97" s="36">
        <f>IFERROR(HLOOKUP($J$1,[1]DB!$C$1:$K$172,97,FALSE),"")</f>
        <v>31</v>
      </c>
      <c r="E97" s="36">
        <f>SUMIFS('[1]Rincian Keluar'!$G:$G,'[1]Rincian Keluar'!$E:$E,'RIDHO 01'!C97,'[1]Rincian Keluar'!$D:$D,'RIDHO 01'!$D$1,'[1]Rincian Keluar'!$H:$H,'RIDHO 01'!$J$1,'[1]Rincian Keluar'!$F:$F,'RIDHO 01'!M97)</f>
        <v>0</v>
      </c>
      <c r="F97" s="37">
        <v>165000</v>
      </c>
      <c r="G97" s="98">
        <f>E97*F97</f>
        <v>0</v>
      </c>
      <c r="H97" s="114"/>
      <c r="I97" s="115"/>
      <c r="J97" s="116"/>
      <c r="K97" s="117"/>
    </row>
    <row r="98" spans="1:13" s="20" customFormat="1" ht="18" customHeight="1" x14ac:dyDescent="0.25">
      <c r="A98" s="1"/>
      <c r="B98" s="29" t="s">
        <v>86</v>
      </c>
      <c r="C98" s="50" t="s">
        <v>87</v>
      </c>
      <c r="D98" s="31"/>
      <c r="E98" s="31"/>
      <c r="F98" s="31"/>
      <c r="G98" s="31"/>
      <c r="H98" s="31"/>
      <c r="I98" s="32"/>
      <c r="J98" s="31"/>
      <c r="K98" s="33"/>
    </row>
    <row r="99" spans="1:13" s="20" customFormat="1" ht="18" customHeight="1" x14ac:dyDescent="0.25">
      <c r="A99" s="1"/>
      <c r="B99" s="34">
        <v>1</v>
      </c>
      <c r="C99" s="45" t="s">
        <v>88</v>
      </c>
      <c r="D99" s="36">
        <f>IFERROR(HLOOKUP($J$1,[1]DB!$C$1:$K$172,99,FALSE),"")</f>
        <v>35</v>
      </c>
      <c r="E99" s="36">
        <f>SUMIFS('[1]Rincian Keluar'!$G:$G,'[1]Rincian Keluar'!$E:$E,'RIDHO 01'!C99,'[1]Rincian Keluar'!$D:$D,'RIDHO 01'!$D$1,'[1]Rincian Keluar'!$H:$H,'RIDHO 01'!$J$1,'[1]Rincian Keluar'!$F:$F,'RIDHO 01'!M99)</f>
        <v>0</v>
      </c>
      <c r="F99" s="37">
        <v>118000</v>
      </c>
      <c r="G99" s="98">
        <f>E99*F99</f>
        <v>0</v>
      </c>
      <c r="H99" s="172"/>
      <c r="I99" s="39">
        <f>IFERROR(VLOOKUP($C98,[1]HK!$B$5:$C$20,2,FALSE),"")*$J1</f>
        <v>2224000</v>
      </c>
      <c r="J99" s="172"/>
      <c r="K99" s="174"/>
      <c r="M99" s="20" t="str">
        <f>$C$98</f>
        <v>KERAMIK</v>
      </c>
    </row>
    <row r="100" spans="1:13" s="20" customFormat="1" ht="18" customHeight="1" x14ac:dyDescent="0.25">
      <c r="A100" s="1"/>
      <c r="B100" s="34">
        <v>2</v>
      </c>
      <c r="C100" s="45" t="s">
        <v>83</v>
      </c>
      <c r="D100" s="36">
        <f>IFERROR(HLOOKUP($J$1,[1]DB!$C$1:$K$172,100,FALSE),"")</f>
        <v>14</v>
      </c>
      <c r="E100" s="36">
        <f>SUMIFS('[1]Rincian Keluar'!$G:$G,'[1]Rincian Keluar'!$E:$E,'RIDHO 01'!C100,'[1]Rincian Keluar'!$D:$D,'RIDHO 01'!$D$1,'[1]Rincian Keluar'!$H:$H,'RIDHO 01'!$J$1,'[1]Rincian Keluar'!$F:$F,'RIDHO 01'!M100)</f>
        <v>0</v>
      </c>
      <c r="F100" s="37">
        <v>165000</v>
      </c>
      <c r="G100" s="98">
        <f t="shared" ref="G100:G103" si="20">E100*F100</f>
        <v>0</v>
      </c>
      <c r="H100" s="119"/>
      <c r="I100" s="42"/>
      <c r="J100" s="119"/>
      <c r="K100" s="175"/>
      <c r="M100" s="20" t="str">
        <f t="shared" ref="M100:M103" si="21">$C$98</f>
        <v>KERAMIK</v>
      </c>
    </row>
    <row r="101" spans="1:13" s="20" customFormat="1" ht="18" customHeight="1" x14ac:dyDescent="0.25">
      <c r="A101" s="1"/>
      <c r="B101" s="34">
        <v>3</v>
      </c>
      <c r="C101" s="45" t="s">
        <v>31</v>
      </c>
      <c r="D101" s="36">
        <f>IFERROR(HLOOKUP($J$1,[1]DB!$C$1:$K$172,101,FALSE),"")</f>
        <v>5</v>
      </c>
      <c r="E101" s="36">
        <f>SUMIFS('[1]Rincian Keluar'!$G:$G,'[1]Rincian Keluar'!$E:$E,'RIDHO 01'!C101,'[1]Rincian Keluar'!$D:$D,'RIDHO 01'!$D$1,'[1]Rincian Keluar'!$H:$H,'RIDHO 01'!$J$1,'[1]Rincian Keluar'!$F:$F,'RIDHO 01'!M101)</f>
        <v>0</v>
      </c>
      <c r="F101" s="37">
        <v>150000</v>
      </c>
      <c r="G101" s="98">
        <f t="shared" si="20"/>
        <v>0</v>
      </c>
      <c r="H101" s="119"/>
      <c r="I101" s="42"/>
      <c r="J101" s="119"/>
      <c r="K101" s="175"/>
      <c r="M101" s="20" t="str">
        <f t="shared" si="21"/>
        <v>KERAMIK</v>
      </c>
    </row>
    <row r="102" spans="1:13" s="20" customFormat="1" ht="18" customHeight="1" x14ac:dyDescent="0.25">
      <c r="A102" s="1"/>
      <c r="B102" s="34">
        <v>4</v>
      </c>
      <c r="C102" s="45" t="s">
        <v>24</v>
      </c>
      <c r="D102" s="36">
        <f>IFERROR(HLOOKUP($J$1,[1]DB!$C$1:$K$172,102,FALSE),"")</f>
        <v>24</v>
      </c>
      <c r="E102" s="36">
        <f>SUMIFS('[1]Rincian Keluar'!$G:$G,'[1]Rincian Keluar'!$E:$E,'RIDHO 01'!C102,'[1]Rincian Keluar'!$D:$D,'RIDHO 01'!$D$1,'[1]Rincian Keluar'!$H:$H,'RIDHO 01'!$J$1,'[1]Rincian Keluar'!$F:$F,'RIDHO 01'!M102)</f>
        <v>0</v>
      </c>
      <c r="F102" s="37">
        <v>60700</v>
      </c>
      <c r="G102" s="98">
        <f t="shared" si="20"/>
        <v>0</v>
      </c>
      <c r="H102" s="119"/>
      <c r="I102" s="42"/>
      <c r="J102" s="119"/>
      <c r="K102" s="175"/>
      <c r="M102" s="20" t="str">
        <f t="shared" si="21"/>
        <v>KERAMIK</v>
      </c>
    </row>
    <row r="103" spans="1:13" s="20" customFormat="1" ht="18" customHeight="1" x14ac:dyDescent="0.25">
      <c r="A103" s="1"/>
      <c r="B103" s="34">
        <v>5</v>
      </c>
      <c r="C103" s="45" t="s">
        <v>89</v>
      </c>
      <c r="D103" s="36">
        <f>IFERROR(HLOOKUP($J$1,[1]DB!$C$1:$K$172,103,FALSE),"")</f>
        <v>5</v>
      </c>
      <c r="E103" s="36">
        <v>0</v>
      </c>
      <c r="F103" s="121">
        <v>15000</v>
      </c>
      <c r="G103" s="98">
        <f t="shared" si="20"/>
        <v>0</v>
      </c>
      <c r="H103" s="176"/>
      <c r="I103" s="47"/>
      <c r="J103" s="122"/>
      <c r="K103" s="177"/>
      <c r="M103" s="20" t="str">
        <f t="shared" si="21"/>
        <v>KERAMIK</v>
      </c>
    </row>
    <row r="104" spans="1:13" s="20" customFormat="1" ht="18" customHeight="1" x14ac:dyDescent="0.25">
      <c r="A104" s="1"/>
      <c r="B104" s="29" t="s">
        <v>90</v>
      </c>
      <c r="C104" s="50" t="s">
        <v>91</v>
      </c>
      <c r="D104" s="31"/>
      <c r="E104" s="31"/>
      <c r="F104" s="31"/>
      <c r="G104" s="31"/>
      <c r="H104" s="31"/>
      <c r="I104" s="32"/>
      <c r="J104" s="31"/>
      <c r="K104" s="33"/>
    </row>
    <row r="105" spans="1:13" s="20" customFormat="1" ht="18" customHeight="1" x14ac:dyDescent="0.25">
      <c r="A105" s="1"/>
      <c r="B105" s="34">
        <v>1</v>
      </c>
      <c r="C105" s="45" t="s">
        <v>92</v>
      </c>
      <c r="D105" s="36">
        <f>IFERROR(HLOOKUP($J$1,[1]DB!$C$1:$K$172,105,FALSE),"")</f>
        <v>6</v>
      </c>
      <c r="E105" s="36">
        <f>SUMIFS('[1]Rincian Keluar'!$G:$G,'[1]Rincian Keluar'!$E:$E,'RIDHO 01'!C105,'[1]Rincian Keluar'!$D:$D,'RIDHO 01'!$D$1,'[1]Rincian Keluar'!$H:$H,'RIDHO 01'!$J$1,'[1]Rincian Keluar'!$F:$F,'RIDHO 01'!M105)</f>
        <v>6</v>
      </c>
      <c r="F105" s="57">
        <v>60000</v>
      </c>
      <c r="G105" s="98">
        <f>E105*F105</f>
        <v>360000</v>
      </c>
      <c r="H105" s="108">
        <v>725000</v>
      </c>
      <c r="I105" s="39">
        <f>IFERROR(VLOOKUP($C104,[1]HK!$B$5:$C$100,2,FALSE),"")*$J1+360000+270000</f>
        <v>990000</v>
      </c>
      <c r="J105" s="215">
        <f>I105-H105</f>
        <v>265000</v>
      </c>
      <c r="K105" s="103">
        <v>1</v>
      </c>
      <c r="M105" s="20" t="str">
        <f t="shared" ref="M105:M116" si="22">$C$104</f>
        <v>WC</v>
      </c>
    </row>
    <row r="106" spans="1:13" s="20" customFormat="1" ht="18" customHeight="1" x14ac:dyDescent="0.25">
      <c r="A106" s="1"/>
      <c r="B106" s="34">
        <v>2</v>
      </c>
      <c r="C106" s="45" t="s">
        <v>93</v>
      </c>
      <c r="D106" s="36">
        <f>IFERROR(HLOOKUP($J$1,[1]DB!$C$1:$K$172,106,FALSE),"")</f>
        <v>22</v>
      </c>
      <c r="E106" s="36">
        <f>SUMIFS('[1]Rincian Keluar'!$G:$G,'[1]Rincian Keluar'!$E:$E,'RIDHO 01'!C106,'[1]Rincian Keluar'!$D:$D,'RIDHO 01'!$D$1,'[1]Rincian Keluar'!$H:$H,'RIDHO 01'!$J$1,'[1]Rincian Keluar'!$F:$F,'RIDHO 01'!M106)</f>
        <v>11</v>
      </c>
      <c r="F106" s="57">
        <v>60000</v>
      </c>
      <c r="G106" s="98">
        <f t="shared" ref="G106:G116" si="23">E106*F106</f>
        <v>660000</v>
      </c>
      <c r="H106" s="110"/>
      <c r="I106" s="42"/>
      <c r="J106" s="216"/>
      <c r="K106" s="105"/>
      <c r="M106" s="20" t="str">
        <f t="shared" si="22"/>
        <v>WC</v>
      </c>
    </row>
    <row r="107" spans="1:13" s="20" customFormat="1" ht="18" customHeight="1" x14ac:dyDescent="0.25">
      <c r="A107" s="1"/>
      <c r="B107" s="34">
        <v>3</v>
      </c>
      <c r="C107" s="45" t="s">
        <v>94</v>
      </c>
      <c r="D107" s="36">
        <f>IFERROR(HLOOKUP($J$1,[1]DB!$C$1:$K$172,107,FALSE),"")</f>
        <v>2</v>
      </c>
      <c r="E107" s="36">
        <f>SUMIFS('[1]Rincian Keluar'!$G:$G,'[1]Rincian Keluar'!$E:$E,'RIDHO 01'!C107,'[1]Rincian Keluar'!$D:$D,'RIDHO 01'!$D$1,'[1]Rincian Keluar'!$H:$H,'RIDHO 01'!$J$1,'[1]Rincian Keluar'!$F:$F,'RIDHO 01'!M107)</f>
        <v>0</v>
      </c>
      <c r="F107" s="57">
        <v>270000</v>
      </c>
      <c r="G107" s="98">
        <f t="shared" si="23"/>
        <v>0</v>
      </c>
      <c r="H107" s="110"/>
      <c r="I107" s="42"/>
      <c r="J107" s="216"/>
      <c r="K107" s="105"/>
      <c r="M107" s="20" t="str">
        <f t="shared" si="22"/>
        <v>WC</v>
      </c>
    </row>
    <row r="108" spans="1:13" s="20" customFormat="1" ht="18" customHeight="1" x14ac:dyDescent="0.25">
      <c r="A108" s="1"/>
      <c r="B108" s="34">
        <v>4</v>
      </c>
      <c r="C108" s="45" t="s">
        <v>95</v>
      </c>
      <c r="D108" s="36">
        <f>IFERROR(HLOOKUP($J$1,[1]DB!$C$1:$K$172,108,FALSE),"")</f>
        <v>1</v>
      </c>
      <c r="E108" s="36">
        <f>SUMIFS('[1]Rincian Keluar'!$G:$G,'[1]Rincian Keluar'!$E:$E,'RIDHO 01'!C108,'[1]Rincian Keluar'!$D:$D,'RIDHO 01'!$D$1,'[1]Rincian Keluar'!$H:$H,'RIDHO 01'!$J$1,'[1]Rincian Keluar'!$F:$F,'RIDHO 01'!M108)</f>
        <v>0</v>
      </c>
      <c r="F108" s="57">
        <v>780000</v>
      </c>
      <c r="G108" s="98">
        <f t="shared" si="23"/>
        <v>0</v>
      </c>
      <c r="H108" s="110"/>
      <c r="I108" s="42"/>
      <c r="J108" s="216"/>
      <c r="K108" s="105"/>
      <c r="M108" s="20" t="str">
        <f t="shared" si="22"/>
        <v>WC</v>
      </c>
    </row>
    <row r="109" spans="1:13" s="20" customFormat="1" ht="18" customHeight="1" x14ac:dyDescent="0.25">
      <c r="A109" s="1"/>
      <c r="B109" s="34">
        <v>5</v>
      </c>
      <c r="C109" s="45" t="s">
        <v>96</v>
      </c>
      <c r="D109" s="36">
        <f>IFERROR(HLOOKUP($J$1,[1]DB!$C$1:$K$172,109,FALSE),"")</f>
        <v>2</v>
      </c>
      <c r="E109" s="36">
        <f>SUMIFS('[1]Rincian Keluar'!$G:$G,'[1]Rincian Keluar'!$E:$E,'RIDHO 01'!C109,'[1]Rincian Keluar'!$D:$D,'RIDHO 01'!$D$1,'[1]Rincian Keluar'!$H:$H,'RIDHO 01'!$J$1,'[1]Rincian Keluar'!$F:$F,'RIDHO 01'!M109)</f>
        <v>1</v>
      </c>
      <c r="F109" s="57">
        <v>5000</v>
      </c>
      <c r="G109" s="98">
        <f t="shared" si="23"/>
        <v>5000</v>
      </c>
      <c r="H109" s="110"/>
      <c r="I109" s="42"/>
      <c r="J109" s="216"/>
      <c r="K109" s="105"/>
      <c r="M109" s="20" t="str">
        <f t="shared" si="22"/>
        <v>WC</v>
      </c>
    </row>
    <row r="110" spans="1:13" s="20" customFormat="1" ht="18" customHeight="1" x14ac:dyDescent="0.25">
      <c r="A110" s="1"/>
      <c r="B110" s="34">
        <v>6</v>
      </c>
      <c r="C110" s="45" t="s">
        <v>31</v>
      </c>
      <c r="D110" s="36">
        <f>IFERROR(HLOOKUP($J$1,[1]DB!$C$1:$K$172,110,FALSE),"")</f>
        <v>1</v>
      </c>
      <c r="E110" s="36">
        <f>SUMIFS('[1]Rincian Keluar'!$G:$G,'[1]Rincian Keluar'!$E:$E,'RIDHO 01'!C110,'[1]Rincian Keluar'!$D:$D,'RIDHO 01'!$D$1,'[1]Rincian Keluar'!$H:$H,'RIDHO 01'!$J$1,'[1]Rincian Keluar'!$F:$F,'RIDHO 01'!M110)</f>
        <v>1</v>
      </c>
      <c r="F110" s="57">
        <v>150000</v>
      </c>
      <c r="G110" s="98">
        <f t="shared" si="23"/>
        <v>150000</v>
      </c>
      <c r="H110" s="110"/>
      <c r="I110" s="42"/>
      <c r="J110" s="216"/>
      <c r="K110" s="105"/>
      <c r="M110" s="20" t="str">
        <f t="shared" si="22"/>
        <v>WC</v>
      </c>
    </row>
    <row r="111" spans="1:13" s="20" customFormat="1" ht="18" customHeight="1" x14ac:dyDescent="0.25">
      <c r="A111" s="1"/>
      <c r="B111" s="34">
        <v>7</v>
      </c>
      <c r="C111" s="45" t="s">
        <v>24</v>
      </c>
      <c r="D111" s="36">
        <f>IFERROR(HLOOKUP($J$1,[1]DB!$C$1:$K$172,111,FALSE),"")</f>
        <v>4</v>
      </c>
      <c r="E111" s="36">
        <f>SUMIFS('[1]Rincian Keluar'!$G:$G,'[1]Rincian Keluar'!$E:$E,'RIDHO 01'!C111,'[1]Rincian Keluar'!$D:$D,'RIDHO 01'!$D$1,'[1]Rincian Keluar'!$H:$H,'RIDHO 01'!$J$1,'[1]Rincian Keluar'!$F:$F,'RIDHO 01'!M111)</f>
        <v>5</v>
      </c>
      <c r="F111" s="37">
        <v>60700</v>
      </c>
      <c r="G111" s="98">
        <f t="shared" si="23"/>
        <v>303500</v>
      </c>
      <c r="H111" s="110"/>
      <c r="I111" s="42"/>
      <c r="J111" s="216"/>
      <c r="K111" s="105"/>
      <c r="M111" s="20" t="str">
        <f t="shared" si="22"/>
        <v>WC</v>
      </c>
    </row>
    <row r="112" spans="1:13" s="20" customFormat="1" ht="18" customHeight="1" x14ac:dyDescent="0.25">
      <c r="A112" s="1"/>
      <c r="B112" s="34">
        <v>8</v>
      </c>
      <c r="C112" s="45" t="s">
        <v>97</v>
      </c>
      <c r="D112" s="36">
        <f>IFERROR(HLOOKUP($J$1,[1]DB!$C$1:$K$172,112,FALSE),"")</f>
        <v>2</v>
      </c>
      <c r="E112" s="36">
        <f>SUMIFS('[1]Rincian Keluar'!$G:$G,'[1]Rincian Keluar'!$E:$E,'RIDHO 01'!C112,'[1]Rincian Keluar'!$D:$D,'RIDHO 01'!$D$1,'[1]Rincian Keluar'!$H:$H,'RIDHO 01'!$J$1,'[1]Rincian Keluar'!$F:$F,'RIDHO 01'!M112)</f>
        <v>0</v>
      </c>
      <c r="F112" s="57">
        <v>140000</v>
      </c>
      <c r="G112" s="98">
        <f t="shared" si="23"/>
        <v>0</v>
      </c>
      <c r="H112" s="110"/>
      <c r="I112" s="42"/>
      <c r="J112" s="216"/>
      <c r="K112" s="105"/>
      <c r="M112" s="20" t="str">
        <f t="shared" si="22"/>
        <v>WC</v>
      </c>
    </row>
    <row r="113" spans="1:13" s="20" customFormat="1" ht="18" customHeight="1" x14ac:dyDescent="0.25">
      <c r="A113" s="1"/>
      <c r="B113" s="34">
        <v>9</v>
      </c>
      <c r="C113" s="45" t="s">
        <v>98</v>
      </c>
      <c r="D113" s="36">
        <f>IFERROR(HLOOKUP($J$1,[1]DB!$C$1:$K$172,113,FALSE),"")</f>
        <v>2</v>
      </c>
      <c r="E113" s="36">
        <f>SUMIFS('[1]Rincian Keluar'!$G:$G,'[1]Rincian Keluar'!$E:$E,'RIDHO 01'!C113,'[1]Rincian Keluar'!$D:$D,'RIDHO 01'!$D$1,'[1]Rincian Keluar'!$H:$H,'RIDHO 01'!$J$1,'[1]Rincian Keluar'!$F:$F,'RIDHO 01'!M113)</f>
        <v>0</v>
      </c>
      <c r="F113" s="57">
        <v>18000</v>
      </c>
      <c r="G113" s="98">
        <f t="shared" si="23"/>
        <v>0</v>
      </c>
      <c r="H113" s="110"/>
      <c r="I113" s="42"/>
      <c r="J113" s="216"/>
      <c r="K113" s="105"/>
      <c r="M113" s="20" t="str">
        <f t="shared" si="22"/>
        <v>WC</v>
      </c>
    </row>
    <row r="114" spans="1:13" s="20" customFormat="1" ht="18" customHeight="1" x14ac:dyDescent="0.25">
      <c r="A114" s="1"/>
      <c r="B114" s="34">
        <v>10</v>
      </c>
      <c r="C114" s="45" t="s">
        <v>99</v>
      </c>
      <c r="D114" s="36">
        <f>IFERROR(HLOOKUP($J$1,[1]DB!$C$1:$K$172,114,FALSE),"")</f>
        <v>6</v>
      </c>
      <c r="E114" s="36">
        <f>SUMIFS('[1]Rincian Keluar'!$G:$G,'[1]Rincian Keluar'!$E:$E,'RIDHO 01'!C114,'[1]Rincian Keluar'!$D:$D,'RIDHO 01'!$D$1,'[1]Rincian Keluar'!$H:$H,'RIDHO 01'!$J$1,'[1]Rincian Keluar'!$F:$F,'RIDHO 01'!M114)</f>
        <v>0</v>
      </c>
      <c r="F114" s="57">
        <v>2500</v>
      </c>
      <c r="G114" s="98">
        <f t="shared" si="23"/>
        <v>0</v>
      </c>
      <c r="H114" s="110"/>
      <c r="I114" s="42"/>
      <c r="J114" s="216"/>
      <c r="K114" s="105"/>
      <c r="M114" s="20" t="str">
        <f t="shared" si="22"/>
        <v>WC</v>
      </c>
    </row>
    <row r="115" spans="1:13" s="20" customFormat="1" ht="18" customHeight="1" x14ac:dyDescent="0.25">
      <c r="A115" s="1"/>
      <c r="B115" s="34">
        <v>11</v>
      </c>
      <c r="C115" s="45" t="s">
        <v>100</v>
      </c>
      <c r="D115" s="36">
        <f>IFERROR(HLOOKUP($J$1,[1]DB!$C$1:$K$172,115,FALSE),"")</f>
        <v>3</v>
      </c>
      <c r="E115" s="36">
        <f>SUMIFS('[1]Rincian Keluar'!$G:$G,'[1]Rincian Keluar'!$E:$E,'RIDHO 01'!C115,'[1]Rincian Keluar'!$D:$D,'RIDHO 01'!$D$1,'[1]Rincian Keluar'!$H:$H,'RIDHO 01'!$J$1,'[1]Rincian Keluar'!$F:$F,'RIDHO 01'!M115)</f>
        <v>0</v>
      </c>
      <c r="F115" s="57">
        <v>10000</v>
      </c>
      <c r="G115" s="98">
        <f t="shared" si="23"/>
        <v>0</v>
      </c>
      <c r="H115" s="110"/>
      <c r="I115" s="42"/>
      <c r="J115" s="216"/>
      <c r="K115" s="105"/>
      <c r="M115" s="20" t="str">
        <f t="shared" si="22"/>
        <v>WC</v>
      </c>
    </row>
    <row r="116" spans="1:13" ht="18" customHeight="1" x14ac:dyDescent="0.25">
      <c r="B116" s="34">
        <v>12</v>
      </c>
      <c r="C116" s="45" t="s">
        <v>101</v>
      </c>
      <c r="D116" s="36">
        <f>IFERROR(HLOOKUP($J$1,[1]DB!$C$1:$K$172,116,FALSE),"")</f>
        <v>1</v>
      </c>
      <c r="E116" s="36">
        <f>SUMIFS('[1]Rincian Keluar'!$G:$G,'[1]Rincian Keluar'!$E:$E,'RIDHO 01'!C116,'[1]Rincian Keluar'!$D:$D,'RIDHO 01'!$D$1,'[1]Rincian Keluar'!$H:$H,'RIDHO 01'!$J$1,'[1]Rincian Keluar'!$F:$F,'RIDHO 01'!M116)</f>
        <v>0</v>
      </c>
      <c r="F116" s="57">
        <v>5000</v>
      </c>
      <c r="G116" s="98">
        <f t="shared" si="23"/>
        <v>0</v>
      </c>
      <c r="H116" s="112"/>
      <c r="I116" s="47"/>
      <c r="J116" s="217"/>
      <c r="K116" s="107"/>
      <c r="M116" s="20" t="str">
        <f t="shared" si="22"/>
        <v>WC</v>
      </c>
    </row>
    <row r="117" spans="1:13" ht="18" customHeight="1" x14ac:dyDescent="0.25">
      <c r="B117" s="29" t="s">
        <v>102</v>
      </c>
      <c r="C117" s="124" t="s">
        <v>103</v>
      </c>
      <c r="D117" s="31"/>
      <c r="E117" s="31"/>
      <c r="F117" s="31"/>
      <c r="G117" s="31"/>
      <c r="H117" s="31"/>
      <c r="I117" s="32"/>
      <c r="J117" s="31"/>
      <c r="K117" s="33"/>
      <c r="M117" s="20"/>
    </row>
    <row r="118" spans="1:13" ht="18" customHeight="1" x14ac:dyDescent="0.25">
      <c r="B118" s="34">
        <v>1</v>
      </c>
      <c r="C118" s="72" t="s">
        <v>104</v>
      </c>
      <c r="D118" s="36">
        <f>IFERROR(HLOOKUP($J$1,[1]DB!$C$1:$K$172,118,FALSE),"")</f>
        <v>3</v>
      </c>
      <c r="E118" s="36">
        <f>SUMIFS('[1]Rincian Keluar'!$G:$G,'[1]Rincian Keluar'!$E:$E,'RIDHO 01'!C118,'[1]Rincian Keluar'!$D:$D,'RIDHO 01'!$D$1,'[1]Rincian Keluar'!$H:$H,'RIDHO 01'!$J$1,'[1]Rincian Keluar'!$F:$F,'RIDHO 01'!M118)</f>
        <v>0</v>
      </c>
      <c r="F118" s="57">
        <v>124500</v>
      </c>
      <c r="G118" s="98">
        <f>E118*F118</f>
        <v>0</v>
      </c>
      <c r="H118" s="36"/>
      <c r="I118" s="126">
        <f>IFERROR(VLOOKUP($C117,[1]HK!$B$5:$C$20,2,FALSE),"")*$J1+434000</f>
        <v>1302000</v>
      </c>
      <c r="J118" s="127"/>
      <c r="K118" s="178"/>
      <c r="M118" s="20" t="str">
        <f>$C$117</f>
        <v>ACI MINIMALIS</v>
      </c>
    </row>
    <row r="119" spans="1:13" ht="18" customHeight="1" x14ac:dyDescent="0.25">
      <c r="B119" s="91" t="s">
        <v>105</v>
      </c>
      <c r="C119" s="205" t="s">
        <v>106</v>
      </c>
      <c r="D119" s="93"/>
      <c r="E119" s="93"/>
      <c r="F119" s="93"/>
      <c r="G119" s="93"/>
      <c r="H119" s="93"/>
      <c r="I119" s="94"/>
      <c r="J119" s="93"/>
      <c r="K119" s="95"/>
      <c r="M119" s="20"/>
    </row>
    <row r="120" spans="1:13" ht="18" customHeight="1" x14ac:dyDescent="0.25">
      <c r="B120" s="34">
        <v>1</v>
      </c>
      <c r="C120" s="35" t="s">
        <v>107</v>
      </c>
      <c r="D120" s="36">
        <f>IFERROR(HLOOKUP($J$1,[1]DB!$C$1:$K$172,120,FALSE),"")</f>
        <v>1</v>
      </c>
      <c r="E120" s="36">
        <f>SUMIFS('[1]Rincian Keluar'!$G:$G,'[1]Rincian Keluar'!$E:$E,'RIDHO 01'!C120,'[1]Rincian Keluar'!$D:$D,'RIDHO 01'!$D$1,'[1]Rincian Keluar'!$H:$H,'RIDHO 01'!$J$1,'[1]Rincian Keluar'!$F:$F,'RIDHO 01'!M120)</f>
        <v>0</v>
      </c>
      <c r="F120" s="64">
        <v>2434900</v>
      </c>
      <c r="G120" s="98">
        <f>E120*F120</f>
        <v>0</v>
      </c>
      <c r="H120" s="108">
        <v>1020000</v>
      </c>
      <c r="I120" s="39">
        <f>IFERROR(VLOOKUP($C119,[1]HK!$B$5:$C$20,2,FALSE),"")*$J1</f>
        <v>2780000</v>
      </c>
      <c r="J120" s="109">
        <f>I120-H120</f>
        <v>1760000</v>
      </c>
      <c r="K120" s="103">
        <v>0.42</v>
      </c>
      <c r="M120" s="20" t="str">
        <f>$C$119</f>
        <v>CAT</v>
      </c>
    </row>
    <row r="121" spans="1:13" ht="18" customHeight="1" x14ac:dyDescent="0.25">
      <c r="B121" s="34">
        <v>2</v>
      </c>
      <c r="C121" s="35" t="s">
        <v>108</v>
      </c>
      <c r="D121" s="36">
        <f>IFERROR(HLOOKUP($J$1,[1]DB!$C$1:$K$172,121,FALSE),"")</f>
        <v>3</v>
      </c>
      <c r="E121" s="36">
        <f>SUMIFS('[1]Rincian Keluar'!$G:$G,'[1]Rincian Keluar'!$E:$E,'RIDHO 01'!C121,'[1]Rincian Keluar'!$D:$D,'RIDHO 01'!$D$1,'[1]Rincian Keluar'!$H:$H,'RIDHO 01'!$J$1,'[1]Rincian Keluar'!$F:$F,'RIDHO 01'!M121)</f>
        <v>1.5</v>
      </c>
      <c r="F121" s="64">
        <v>275000</v>
      </c>
      <c r="G121" s="98">
        <f t="shared" ref="G121:G123" si="24">E121*F121</f>
        <v>412500</v>
      </c>
      <c r="H121" s="110"/>
      <c r="I121" s="42"/>
      <c r="J121" s="111"/>
      <c r="K121" s="105"/>
      <c r="M121" s="20" t="str">
        <f>$C$119</f>
        <v>CAT</v>
      </c>
    </row>
    <row r="122" spans="1:13" ht="18" customHeight="1" x14ac:dyDescent="0.25">
      <c r="B122" s="34">
        <v>3</v>
      </c>
      <c r="C122" s="72" t="s">
        <v>104</v>
      </c>
      <c r="D122" s="36">
        <f>IFERROR(HLOOKUP($J$1,[1]DB!$C$1:$K$172,122,FALSE),"")</f>
        <v>13</v>
      </c>
      <c r="E122" s="36">
        <f>SUMIFS('[1]Rincian Keluar'!$G:$G,'[1]Rincian Keluar'!$E:$E,'RIDHO 01'!C122,'[1]Rincian Keluar'!$D:$D,'RIDHO 01'!$D$1,'[1]Rincian Keluar'!$H:$H,'RIDHO 01'!$J$1,'[1]Rincian Keluar'!$F:$F,'RIDHO 01'!M122)</f>
        <v>13</v>
      </c>
      <c r="F122" s="57">
        <v>124500</v>
      </c>
      <c r="G122" s="98">
        <f t="shared" si="24"/>
        <v>1618500</v>
      </c>
      <c r="H122" s="110"/>
      <c r="I122" s="42"/>
      <c r="J122" s="111"/>
      <c r="K122" s="105"/>
      <c r="M122" s="20" t="str">
        <f>$C$119</f>
        <v>CAT</v>
      </c>
    </row>
    <row r="123" spans="1:13" ht="18" customHeight="1" x14ac:dyDescent="0.25">
      <c r="B123" s="34">
        <v>4</v>
      </c>
      <c r="C123" s="72" t="s">
        <v>109</v>
      </c>
      <c r="D123" s="36">
        <f>IFERROR(HLOOKUP($J$1,[1]DB!$C$1:$K$172,123,FALSE),"")</f>
        <v>1</v>
      </c>
      <c r="E123" s="36">
        <f>SUMIFS('[1]Rincian Keluar'!$G:$G,'[1]Rincian Keluar'!$E:$E,'RIDHO 01'!C123,'[1]Rincian Keluar'!$D:$D,'RIDHO 01'!$D$1,'[1]Rincian Keluar'!$H:$H,'RIDHO 01'!$J$1,'[1]Rincian Keluar'!$F:$F,'RIDHO 01'!M123)</f>
        <v>1</v>
      </c>
      <c r="F123" s="57">
        <v>115000</v>
      </c>
      <c r="G123" s="98">
        <f t="shared" si="24"/>
        <v>115000</v>
      </c>
      <c r="H123" s="112"/>
      <c r="I123" s="47"/>
      <c r="J123" s="113"/>
      <c r="K123" s="107"/>
      <c r="M123" s="20" t="str">
        <f>$C$119</f>
        <v>CAT</v>
      </c>
    </row>
    <row r="124" spans="1:13" ht="18" customHeight="1" x14ac:dyDescent="0.25">
      <c r="B124" s="91" t="s">
        <v>110</v>
      </c>
      <c r="C124" s="205" t="s">
        <v>111</v>
      </c>
      <c r="D124" s="218"/>
      <c r="E124" s="218"/>
      <c r="F124" s="218"/>
      <c r="G124" s="218"/>
      <c r="H124" s="218"/>
      <c r="I124" s="219"/>
      <c r="J124" s="218"/>
      <c r="K124" s="220"/>
      <c r="M124" s="20"/>
    </row>
    <row r="125" spans="1:13" ht="18" customHeight="1" x14ac:dyDescent="0.25">
      <c r="B125" s="34">
        <v>1</v>
      </c>
      <c r="C125" s="35" t="s">
        <v>54</v>
      </c>
      <c r="D125" s="36">
        <f>IFERROR(HLOOKUP($J$1,[1]DB!$C$1:$K$172,125,FALSE),"")</f>
        <v>100</v>
      </c>
      <c r="E125" s="36">
        <f>SUMIFS('[1]Rincian Keluar'!$G:$G,'[1]Rincian Keluar'!$E:$E,'RIDHO 01'!C125,'[1]Rincian Keluar'!$D:$D,'RIDHO 01'!$D$1,'[1]Rincian Keluar'!$H:$H,'RIDHO 01'!$J$1,'[1]Rincian Keluar'!$F:$F,'RIDHO 01'!M125)</f>
        <v>300</v>
      </c>
      <c r="F125" s="37">
        <v>1850</v>
      </c>
      <c r="G125" s="135">
        <f>E125*F125</f>
        <v>555000</v>
      </c>
      <c r="H125" s="108">
        <v>1027000</v>
      </c>
      <c r="I125" s="39">
        <f>IFERROR(VLOOKUP($C124,[1]HK!$B$5:$C$20,2,FALSE),"")*$J1+178000</f>
        <v>534000</v>
      </c>
      <c r="J125" s="129">
        <f>I125-H125</f>
        <v>-493000</v>
      </c>
      <c r="K125" s="103">
        <v>0.5</v>
      </c>
      <c r="M125" s="20" t="str">
        <f>$C$124</f>
        <v>PAGAR</v>
      </c>
    </row>
    <row r="126" spans="1:13" ht="18" customHeight="1" x14ac:dyDescent="0.25">
      <c r="B126" s="34">
        <v>2</v>
      </c>
      <c r="C126" s="35" t="s">
        <v>31</v>
      </c>
      <c r="D126" s="36">
        <f>IFERROR(HLOOKUP($J$1,[1]DB!$C$1:$K$172,126,FALSE),"")</f>
        <v>1</v>
      </c>
      <c r="E126" s="36">
        <f>SUMIFS('[1]Rincian Keluar'!$G:$G,'[1]Rincian Keluar'!$E:$E,'RIDHO 01'!C126,'[1]Rincian Keluar'!$D:$D,'RIDHO 01'!$D$1,'[1]Rincian Keluar'!$H:$H,'RIDHO 01'!$J$1,'[1]Rincian Keluar'!$F:$F,'RIDHO 01'!M126)</f>
        <v>2</v>
      </c>
      <c r="F126" s="37">
        <v>150000</v>
      </c>
      <c r="G126" s="135">
        <f t="shared" ref="G126:G129" si="25">E126*F126</f>
        <v>300000</v>
      </c>
      <c r="H126" s="110"/>
      <c r="I126" s="42"/>
      <c r="J126" s="130"/>
      <c r="K126" s="105"/>
      <c r="M126" s="20" t="str">
        <f>$C$124</f>
        <v>PAGAR</v>
      </c>
    </row>
    <row r="127" spans="1:13" ht="18" customHeight="1" x14ac:dyDescent="0.25">
      <c r="B127" s="34">
        <v>3</v>
      </c>
      <c r="C127" s="45" t="s">
        <v>24</v>
      </c>
      <c r="D127" s="36">
        <f>IFERROR(HLOOKUP($J$1,[1]DB!$C$1:$K$172,127,FALSE),"")</f>
        <v>3</v>
      </c>
      <c r="E127" s="36">
        <f>SUMIFS('[1]Rincian Keluar'!$G:$G,'[1]Rincian Keluar'!$E:$E,'RIDHO 01'!C127,'[1]Rincian Keluar'!$D:$D,'RIDHO 01'!$D$1,'[1]Rincian Keluar'!$H:$H,'RIDHO 01'!$J$1,'[1]Rincian Keluar'!$F:$F,'RIDHO 01'!M127)</f>
        <v>6</v>
      </c>
      <c r="F127" s="37">
        <v>60700</v>
      </c>
      <c r="G127" s="135">
        <f t="shared" si="25"/>
        <v>364200</v>
      </c>
      <c r="H127" s="110"/>
      <c r="I127" s="42"/>
      <c r="J127" s="130"/>
      <c r="K127" s="105"/>
      <c r="M127" s="20" t="str">
        <f>$C$124</f>
        <v>PAGAR</v>
      </c>
    </row>
    <row r="128" spans="1:13" ht="18" customHeight="1" x14ac:dyDescent="0.25">
      <c r="B128" s="34">
        <v>4</v>
      </c>
      <c r="C128" s="45" t="s">
        <v>51</v>
      </c>
      <c r="D128" s="36">
        <f>IFERROR(HLOOKUP($J$1,[1]DB!$C$1:$K$172,128,FALSE),"")</f>
        <v>2</v>
      </c>
      <c r="E128" s="36">
        <f>SUMIFS('[1]Rincian Keluar'!$G:$G,'[1]Rincian Keluar'!$E:$E,'RIDHO 01'!C128,'[1]Rincian Keluar'!$D:$D,'RIDHO 01'!$D$1,'[1]Rincian Keluar'!$H:$H,'RIDHO 01'!$J$1,'[1]Rincian Keluar'!$F:$F,'RIDHO 01'!M128)</f>
        <v>7</v>
      </c>
      <c r="F128" s="37">
        <v>22000</v>
      </c>
      <c r="G128" s="135">
        <f t="shared" si="25"/>
        <v>154000</v>
      </c>
      <c r="H128" s="110"/>
      <c r="I128" s="42"/>
      <c r="J128" s="130"/>
      <c r="K128" s="105"/>
      <c r="M128" s="20" t="str">
        <f>$C$124</f>
        <v>PAGAR</v>
      </c>
    </row>
    <row r="129" spans="2:13" ht="18" customHeight="1" x14ac:dyDescent="0.25">
      <c r="B129" s="29">
        <v>5</v>
      </c>
      <c r="C129" s="45" t="s">
        <v>57</v>
      </c>
      <c r="D129" s="36">
        <f>IFERROR(HLOOKUP($J$1,[1]DB!$C$1:$K$172,129,FALSE),"")</f>
        <v>4</v>
      </c>
      <c r="E129" s="36">
        <f>SUMIFS('[1]Rincian Keluar'!$G:$G,'[1]Rincian Keluar'!$E:$E,'RIDHO 01'!C129,'[1]Rincian Keluar'!$D:$D,'RIDHO 01'!$D$1,'[1]Rincian Keluar'!$H:$H,'RIDHO 01'!$J$1,'[1]Rincian Keluar'!$F:$F,'RIDHO 01'!M129)</f>
        <v>13</v>
      </c>
      <c r="F129" s="37">
        <v>35000</v>
      </c>
      <c r="G129" s="135">
        <f t="shared" si="25"/>
        <v>455000</v>
      </c>
      <c r="H129" s="112"/>
      <c r="I129" s="47"/>
      <c r="J129" s="131"/>
      <c r="K129" s="107"/>
      <c r="M129" s="20" t="str">
        <f>$C$124</f>
        <v>PAGAR</v>
      </c>
    </row>
    <row r="130" spans="2:13" ht="18" customHeight="1" x14ac:dyDescent="0.25">
      <c r="B130" s="29" t="s">
        <v>112</v>
      </c>
      <c r="C130" s="124" t="s">
        <v>113</v>
      </c>
      <c r="D130" s="132"/>
      <c r="E130" s="132"/>
      <c r="F130" s="132"/>
      <c r="G130" s="132"/>
      <c r="H130" s="132"/>
      <c r="I130" s="133"/>
      <c r="J130" s="132"/>
      <c r="K130" s="134"/>
      <c r="M130" s="20"/>
    </row>
    <row r="131" spans="2:13" ht="18" customHeight="1" x14ac:dyDescent="0.25">
      <c r="B131" s="34">
        <v>1</v>
      </c>
      <c r="C131" s="45" t="s">
        <v>24</v>
      </c>
      <c r="D131" s="36">
        <f>IFERROR(HLOOKUP($J$1,[1]DB!$C$1:$K$172,131,FALSE),"")</f>
        <v>9</v>
      </c>
      <c r="E131" s="36">
        <f>SUMIFS('[1]Rincian Keluar'!$G:$G,'[1]Rincian Keluar'!$E:$E,'RIDHO 01'!C131,'[1]Rincian Keluar'!$D:$D,'RIDHO 01'!$D$1,'[1]Rincian Keluar'!$H:$H,'RIDHO 01'!$J$1,'[1]Rincian Keluar'!$F:$F,'RIDHO 01'!M131)</f>
        <v>0</v>
      </c>
      <c r="F131" s="37">
        <v>60700</v>
      </c>
      <c r="G131" s="135">
        <f>E131*F131</f>
        <v>0</v>
      </c>
      <c r="H131" s="172"/>
      <c r="I131" s="39">
        <f>IFERROR(VLOOKUP($C130,[1]HK!$B$5:$C$20,2,FALSE),"")*$J1+221000</f>
        <v>663000</v>
      </c>
      <c r="J131" s="173"/>
      <c r="K131" s="103"/>
      <c r="M131" s="20" t="str">
        <f>$C$130</f>
        <v>MINIMALIS CARPORT</v>
      </c>
    </row>
    <row r="132" spans="2:13" ht="18" customHeight="1" x14ac:dyDescent="0.25">
      <c r="B132" s="34">
        <v>2</v>
      </c>
      <c r="C132" s="35" t="s">
        <v>31</v>
      </c>
      <c r="D132" s="36">
        <f>IFERROR(HLOOKUP($J$1,[1]DB!$C$1:$K$172,132,FALSE),"")</f>
        <v>2</v>
      </c>
      <c r="E132" s="36">
        <f>SUMIFS('[1]Rincian Keluar'!$G:$G,'[1]Rincian Keluar'!$E:$E,'RIDHO 01'!C132,'[1]Rincian Keluar'!$D:$D,'RIDHO 01'!$D$1,'[1]Rincian Keluar'!$H:$H,'RIDHO 01'!$J$1,'[1]Rincian Keluar'!$F:$F,'RIDHO 01'!M132)</f>
        <v>0</v>
      </c>
      <c r="F132" s="37">
        <v>150000</v>
      </c>
      <c r="G132" s="135">
        <f>E132*F132</f>
        <v>0</v>
      </c>
      <c r="H132" s="122"/>
      <c r="I132" s="47"/>
      <c r="J132" s="113"/>
      <c r="K132" s="107"/>
      <c r="M132" s="20" t="str">
        <f>$C$130</f>
        <v>MINIMALIS CARPORT</v>
      </c>
    </row>
    <row r="133" spans="2:13" ht="18" customHeight="1" x14ac:dyDescent="0.25">
      <c r="B133" s="29" t="s">
        <v>114</v>
      </c>
      <c r="C133" s="124" t="s">
        <v>115</v>
      </c>
      <c r="D133" s="132"/>
      <c r="E133" s="132"/>
      <c r="F133" s="132"/>
      <c r="G133" s="132"/>
      <c r="H133" s="132"/>
      <c r="I133" s="133"/>
      <c r="J133" s="132"/>
      <c r="K133" s="134"/>
      <c r="M133" s="20"/>
    </row>
    <row r="134" spans="2:13" s="66" customFormat="1" ht="18" customHeight="1" x14ac:dyDescent="0.25">
      <c r="B134" s="34">
        <v>1</v>
      </c>
      <c r="C134" s="35" t="s">
        <v>116</v>
      </c>
      <c r="D134" s="36" t="str">
        <f>IFERROR(HLOOKUP($J$1,[1]DB!$C$1:$K$172,1334,FALSE),"")</f>
        <v/>
      </c>
      <c r="E134" s="36">
        <f>SUMIFS('[1]Rincian Keluar'!$G:$G,'[1]Rincian Keluar'!$E:$E,'RIDHO 01'!C134,'[1]Rincian Keluar'!$D:$D,'RIDHO 01'!$D$1,'[1]Rincian Keluar'!$H:$H,'RIDHO 01'!$J$1,'[1]Rincian Keluar'!$F:$F,'RIDHO 01'!M134)</f>
        <v>0</v>
      </c>
      <c r="F134" s="37">
        <v>82000</v>
      </c>
      <c r="G134" s="135">
        <f>E134*F134</f>
        <v>0</v>
      </c>
      <c r="H134" s="136"/>
      <c r="I134" s="39"/>
      <c r="J134" s="137"/>
      <c r="K134" s="84"/>
      <c r="M134" s="20" t="str">
        <f t="shared" ref="M134:M141" si="26">$C$133</f>
        <v>TALANG AIR</v>
      </c>
    </row>
    <row r="135" spans="2:13" s="66" customFormat="1" ht="18" customHeight="1" x14ac:dyDescent="0.25">
      <c r="B135" s="34">
        <v>2</v>
      </c>
      <c r="C135" s="35" t="s">
        <v>117</v>
      </c>
      <c r="D135" s="36">
        <f>IFERROR(HLOOKUP($J$1,[1]DB!$C$1:$K$172,135,FALSE),"")</f>
        <v>2</v>
      </c>
      <c r="E135" s="36">
        <f>SUMIFS('[1]Rincian Keluar'!$G:$G,'[1]Rincian Keluar'!$E:$E,'RIDHO 01'!C135,'[1]Rincian Keluar'!$D:$D,'RIDHO 01'!$D$1,'[1]Rincian Keluar'!$H:$H,'RIDHO 01'!$J$1,'[1]Rincian Keluar'!$F:$F,'RIDHO 01'!M135)</f>
        <v>0</v>
      </c>
      <c r="F135" s="37">
        <v>50000</v>
      </c>
      <c r="G135" s="135">
        <f t="shared" ref="G135:G141" si="27">E135*F135</f>
        <v>0</v>
      </c>
      <c r="H135" s="138"/>
      <c r="I135" s="42"/>
      <c r="J135" s="104"/>
      <c r="K135" s="87"/>
      <c r="M135" s="20" t="str">
        <f t="shared" si="26"/>
        <v>TALANG AIR</v>
      </c>
    </row>
    <row r="136" spans="2:13" s="66" customFormat="1" ht="18" customHeight="1" x14ac:dyDescent="0.25">
      <c r="B136" s="34">
        <v>3</v>
      </c>
      <c r="C136" s="35" t="s">
        <v>118</v>
      </c>
      <c r="D136" s="36">
        <f>IFERROR(HLOOKUP($J$1,[1]DB!$C$1:$K$172,136,FALSE),"")</f>
        <v>2</v>
      </c>
      <c r="E136" s="36">
        <f>SUMIFS('[1]Rincian Keluar'!$G:$G,'[1]Rincian Keluar'!$E:$E,'RIDHO 01'!C136,'[1]Rincian Keluar'!$D:$D,'RIDHO 01'!$D$1,'[1]Rincian Keluar'!$H:$H,'RIDHO 01'!$J$1,'[1]Rincian Keluar'!$F:$F,'RIDHO 01'!M136)</f>
        <v>0</v>
      </c>
      <c r="F136" s="37">
        <v>4000</v>
      </c>
      <c r="G136" s="135">
        <f t="shared" si="27"/>
        <v>0</v>
      </c>
      <c r="H136" s="138"/>
      <c r="I136" s="42"/>
      <c r="J136" s="104"/>
      <c r="K136" s="87"/>
      <c r="M136" s="20" t="str">
        <f t="shared" si="26"/>
        <v>TALANG AIR</v>
      </c>
    </row>
    <row r="137" spans="2:13" s="66" customFormat="1" ht="18" customHeight="1" x14ac:dyDescent="0.25">
      <c r="B137" s="34">
        <v>4</v>
      </c>
      <c r="C137" s="35" t="s">
        <v>119</v>
      </c>
      <c r="D137" s="36">
        <f>IFERROR(HLOOKUP($J$1,[1]DB!$C$1:$K$172,137,FALSE),"")</f>
        <v>1</v>
      </c>
      <c r="E137" s="36">
        <f>SUMIFS('[1]Rincian Keluar'!$G:$G,'[1]Rincian Keluar'!$E:$E,'RIDHO 01'!C137,'[1]Rincian Keluar'!$D:$D,'RIDHO 01'!$D$1,'[1]Rincian Keluar'!$H:$H,'RIDHO 01'!$J$1,'[1]Rincian Keluar'!$F:$F,'RIDHO 01'!M137)</f>
        <v>0</v>
      </c>
      <c r="F137" s="37">
        <v>15000</v>
      </c>
      <c r="G137" s="135">
        <f t="shared" si="27"/>
        <v>0</v>
      </c>
      <c r="H137" s="138"/>
      <c r="I137" s="42"/>
      <c r="J137" s="104"/>
      <c r="K137" s="87"/>
      <c r="M137" s="20" t="str">
        <f t="shared" si="26"/>
        <v>TALANG AIR</v>
      </c>
    </row>
    <row r="138" spans="2:13" s="66" customFormat="1" ht="18" customHeight="1" x14ac:dyDescent="0.25">
      <c r="B138" s="34">
        <v>5</v>
      </c>
      <c r="C138" s="35" t="s">
        <v>120</v>
      </c>
      <c r="D138" s="36">
        <f>IFERROR(HLOOKUP($J$1,[1]DB!$C$1:$K$172,138,FALSE),"")</f>
        <v>1</v>
      </c>
      <c r="E138" s="36">
        <f>SUMIFS('[1]Rincian Keluar'!$G:$G,'[1]Rincian Keluar'!$E:$E,'RIDHO 01'!C138,'[1]Rincian Keluar'!$D:$D,'RIDHO 01'!$D$1,'[1]Rincian Keluar'!$H:$H,'RIDHO 01'!$J$1,'[1]Rincian Keluar'!$F:$F,'RIDHO 01'!M138)</f>
        <v>0</v>
      </c>
      <c r="F138" s="37">
        <v>12000</v>
      </c>
      <c r="G138" s="135">
        <f t="shared" si="27"/>
        <v>0</v>
      </c>
      <c r="H138" s="138"/>
      <c r="I138" s="42"/>
      <c r="J138" s="104"/>
      <c r="K138" s="87"/>
      <c r="M138" s="20" t="str">
        <f t="shared" si="26"/>
        <v>TALANG AIR</v>
      </c>
    </row>
    <row r="139" spans="2:13" s="66" customFormat="1" ht="18" customHeight="1" x14ac:dyDescent="0.25">
      <c r="B139" s="34">
        <v>6</v>
      </c>
      <c r="C139" s="35" t="s">
        <v>121</v>
      </c>
      <c r="D139" s="36">
        <f>IFERROR(HLOOKUP($J$1,[1]DB!$C$1:$K$172,139,FALSE),"")</f>
        <v>3</v>
      </c>
      <c r="E139" s="36">
        <f>SUMIFS('[1]Rincian Keluar'!$G:$G,'[1]Rincian Keluar'!$E:$E,'RIDHO 01'!C139,'[1]Rincian Keluar'!$D:$D,'RIDHO 01'!$D$1,'[1]Rincian Keluar'!$H:$H,'RIDHO 01'!$J$1,'[1]Rincian Keluar'!$F:$F,'RIDHO 01'!M139)</f>
        <v>0</v>
      </c>
      <c r="F139" s="37">
        <v>4000</v>
      </c>
      <c r="G139" s="135">
        <f t="shared" si="27"/>
        <v>0</v>
      </c>
      <c r="H139" s="138"/>
      <c r="I139" s="42"/>
      <c r="J139" s="104"/>
      <c r="K139" s="87"/>
      <c r="M139" s="20" t="str">
        <f t="shared" si="26"/>
        <v>TALANG AIR</v>
      </c>
    </row>
    <row r="140" spans="2:13" s="66" customFormat="1" ht="18" customHeight="1" x14ac:dyDescent="0.25">
      <c r="B140" s="34">
        <v>7</v>
      </c>
      <c r="C140" s="35" t="s">
        <v>122</v>
      </c>
      <c r="D140" s="36">
        <f>IFERROR(HLOOKUP($J$1,[1]DB!$C$1:$K$172,140,FALSE),"")</f>
        <v>1</v>
      </c>
      <c r="E140" s="36">
        <f>SUMIFS('[1]Rincian Keluar'!$G:$G,'[1]Rincian Keluar'!$E:$E,'RIDHO 01'!C140,'[1]Rincian Keluar'!$D:$D,'RIDHO 01'!$D$1,'[1]Rincian Keluar'!$H:$H,'RIDHO 01'!$J$1,'[1]Rincian Keluar'!$F:$F,'RIDHO 01'!M140)</f>
        <v>0</v>
      </c>
      <c r="F140" s="37">
        <v>8000</v>
      </c>
      <c r="G140" s="135">
        <f t="shared" si="27"/>
        <v>0</v>
      </c>
      <c r="H140" s="138"/>
      <c r="I140" s="42"/>
      <c r="J140" s="104"/>
      <c r="K140" s="87"/>
      <c r="M140" s="20" t="str">
        <f t="shared" si="26"/>
        <v>TALANG AIR</v>
      </c>
    </row>
    <row r="141" spans="2:13" s="66" customFormat="1" ht="18" customHeight="1" x14ac:dyDescent="0.25">
      <c r="B141" s="34">
        <v>8</v>
      </c>
      <c r="C141" s="139" t="s">
        <v>123</v>
      </c>
      <c r="D141" s="36">
        <f>IFERROR(HLOOKUP($J$1,[1]DB!$C$1:$K$172,141,FALSE),"")</f>
        <v>1</v>
      </c>
      <c r="E141" s="36">
        <f>SUMIFS('[1]Rincian Keluar'!$G:$G,'[1]Rincian Keluar'!$E:$E,'RIDHO 01'!C141,'[1]Rincian Keluar'!$D:$D,'RIDHO 01'!$D$1,'[1]Rincian Keluar'!$H:$H,'RIDHO 01'!$J$1,'[1]Rincian Keluar'!$F:$F,'RIDHO 01'!M141)</f>
        <v>0</v>
      </c>
      <c r="F141" s="37">
        <v>22000</v>
      </c>
      <c r="G141" s="135">
        <f t="shared" si="27"/>
        <v>0</v>
      </c>
      <c r="H141" s="140"/>
      <c r="I141" s="47"/>
      <c r="J141" s="106"/>
      <c r="K141" s="90"/>
      <c r="M141" s="20" t="str">
        <f t="shared" si="26"/>
        <v>TALANG AIR</v>
      </c>
    </row>
    <row r="142" spans="2:13" ht="18" customHeight="1" x14ac:dyDescent="0.25">
      <c r="B142" s="29" t="s">
        <v>124</v>
      </c>
      <c r="C142" s="124" t="s">
        <v>125</v>
      </c>
      <c r="D142" s="132"/>
      <c r="E142" s="132"/>
      <c r="F142" s="132"/>
      <c r="G142" s="132"/>
      <c r="H142" s="132"/>
      <c r="I142" s="133"/>
      <c r="J142" s="132"/>
      <c r="K142" s="134"/>
      <c r="M142" s="20"/>
    </row>
    <row r="143" spans="2:13" s="142" customFormat="1" ht="18" customHeight="1" x14ac:dyDescent="0.25">
      <c r="B143" s="34">
        <v>1</v>
      </c>
      <c r="C143" s="139" t="s">
        <v>126</v>
      </c>
      <c r="D143" s="36">
        <f>IFERROR(HLOOKUP($J$1,[1]DB!$C$1:$K$172,143,FALSE),"")</f>
        <v>4</v>
      </c>
      <c r="E143" s="36">
        <f>SUMIFS('[1]Rincian Keluar'!$G:$G,'[1]Rincian Keluar'!$E:$E,'RIDHO 01'!C143,'[1]Rincian Keluar'!$D:$D,'RIDHO 01'!$D$1,'[1]Rincian Keluar'!$H:$H,'RIDHO 01'!$J$1,'[1]Rincian Keluar'!$F:$F,'RIDHO 01'!M143)</f>
        <v>0</v>
      </c>
      <c r="F143" s="141">
        <v>165000</v>
      </c>
      <c r="G143" s="98">
        <f>E143*F143</f>
        <v>0</v>
      </c>
      <c r="H143" s="136"/>
      <c r="I143" s="39"/>
      <c r="J143" s="137"/>
      <c r="K143" s="84"/>
      <c r="M143" s="20" t="str">
        <f t="shared" ref="M143:M161" si="28">$C$142</f>
        <v xml:space="preserve">JENDELA </v>
      </c>
    </row>
    <row r="144" spans="2:13" s="142" customFormat="1" ht="18" customHeight="1" x14ac:dyDescent="0.25">
      <c r="B144" s="34">
        <v>2</v>
      </c>
      <c r="C144" s="139" t="s">
        <v>127</v>
      </c>
      <c r="D144" s="36">
        <f>IFERROR(HLOOKUP($J$1,[1]DB!$C$1:$K$172,144,FALSE),"")</f>
        <v>2</v>
      </c>
      <c r="E144" s="36">
        <f>SUMIFS('[1]Rincian Keluar'!$G:$G,'[1]Rincian Keluar'!$E:$E,'RIDHO 01'!C144,'[1]Rincian Keluar'!$D:$D,'RIDHO 01'!$D$1,'[1]Rincian Keluar'!$H:$H,'RIDHO 01'!$J$1,'[1]Rincian Keluar'!$F:$F,'RIDHO 01'!M144)</f>
        <v>0</v>
      </c>
      <c r="F144" s="141">
        <v>198000</v>
      </c>
      <c r="G144" s="98">
        <f t="shared" ref="G144:G161" si="29">E144*F144</f>
        <v>0</v>
      </c>
      <c r="H144" s="138"/>
      <c r="I144" s="42"/>
      <c r="J144" s="104"/>
      <c r="K144" s="87"/>
      <c r="M144" s="20" t="str">
        <f t="shared" si="28"/>
        <v xml:space="preserve">JENDELA </v>
      </c>
    </row>
    <row r="145" spans="2:13" s="142" customFormat="1" ht="18" customHeight="1" x14ac:dyDescent="0.25">
      <c r="B145" s="34">
        <v>3</v>
      </c>
      <c r="C145" s="139" t="s">
        <v>128</v>
      </c>
      <c r="D145" s="36">
        <f>IFERROR(HLOOKUP($J$1,[1]DB!$C$1:$K$172,145,FALSE),"")</f>
        <v>6</v>
      </c>
      <c r="E145" s="36">
        <f>SUMIFS('[1]Rincian Keluar'!$G:$G,'[1]Rincian Keluar'!$E:$E,'RIDHO 01'!C145,'[1]Rincian Keluar'!$D:$D,'RIDHO 01'!$D$1,'[1]Rincian Keluar'!$H:$H,'RIDHO 01'!$J$1,'[1]Rincian Keluar'!$F:$F,'RIDHO 01'!M145)</f>
        <v>0</v>
      </c>
      <c r="F145" s="141">
        <v>86000</v>
      </c>
      <c r="G145" s="98">
        <f t="shared" si="29"/>
        <v>0</v>
      </c>
      <c r="H145" s="138"/>
      <c r="I145" s="42"/>
      <c r="J145" s="104"/>
      <c r="K145" s="87"/>
      <c r="M145" s="20" t="str">
        <f t="shared" si="28"/>
        <v xml:space="preserve">JENDELA </v>
      </c>
    </row>
    <row r="146" spans="2:13" s="142" customFormat="1" ht="18" customHeight="1" x14ac:dyDescent="0.25">
      <c r="B146" s="34">
        <v>4</v>
      </c>
      <c r="C146" s="139" t="s">
        <v>129</v>
      </c>
      <c r="D146" s="36">
        <f>IFERROR(HLOOKUP($J$1,[1]DB!$C$1:$K$172,146,FALSE),"")</f>
        <v>6</v>
      </c>
      <c r="E146" s="36">
        <f>SUMIFS('[1]Rincian Keluar'!$G:$G,'[1]Rincian Keluar'!$E:$E,'RIDHO 01'!C146,'[1]Rincian Keluar'!$D:$D,'RIDHO 01'!$D$1,'[1]Rincian Keluar'!$H:$H,'RIDHO 01'!$J$1,'[1]Rincian Keluar'!$F:$F,'RIDHO 01'!M146)</f>
        <v>0</v>
      </c>
      <c r="F146" s="141">
        <v>50000</v>
      </c>
      <c r="G146" s="98">
        <f t="shared" si="29"/>
        <v>0</v>
      </c>
      <c r="H146" s="138"/>
      <c r="I146" s="42"/>
      <c r="J146" s="104"/>
      <c r="K146" s="87"/>
      <c r="M146" s="20" t="str">
        <f t="shared" si="28"/>
        <v xml:space="preserve">JENDELA </v>
      </c>
    </row>
    <row r="147" spans="2:13" s="142" customFormat="1" ht="18" customHeight="1" x14ac:dyDescent="0.25">
      <c r="B147" s="34">
        <v>5</v>
      </c>
      <c r="C147" s="139" t="s">
        <v>130</v>
      </c>
      <c r="D147" s="36">
        <f>IFERROR(HLOOKUP($J$1,[1]DB!$C$1:$K$172,147,FALSE),"")</f>
        <v>1</v>
      </c>
      <c r="E147" s="36">
        <f>SUMIFS('[1]Rincian Keluar'!$G:$G,'[1]Rincian Keluar'!$E:$E,'RIDHO 01'!C147,'[1]Rincian Keluar'!$D:$D,'RIDHO 01'!$D$1,'[1]Rincian Keluar'!$H:$H,'RIDHO 01'!$J$1,'[1]Rincian Keluar'!$F:$F,'RIDHO 01'!M147)</f>
        <v>0</v>
      </c>
      <c r="F147" s="141">
        <v>60000</v>
      </c>
      <c r="G147" s="98">
        <f t="shared" si="29"/>
        <v>0</v>
      </c>
      <c r="H147" s="138"/>
      <c r="I147" s="42"/>
      <c r="J147" s="104"/>
      <c r="K147" s="87"/>
      <c r="M147" s="20" t="str">
        <f t="shared" si="28"/>
        <v xml:space="preserve">JENDELA </v>
      </c>
    </row>
    <row r="148" spans="2:13" s="142" customFormat="1" ht="18" customHeight="1" x14ac:dyDescent="0.25">
      <c r="B148" s="34">
        <v>6</v>
      </c>
      <c r="C148" s="139" t="s">
        <v>131</v>
      </c>
      <c r="D148" s="36">
        <f>IFERROR(HLOOKUP($J$1,[1]DB!$C$1:$K$172,148,FALSE),"")</f>
        <v>2</v>
      </c>
      <c r="E148" s="36">
        <f>SUMIFS('[1]Rincian Keluar'!$G:$G,'[1]Rincian Keluar'!$E:$E,'RIDHO 01'!C148,'[1]Rincian Keluar'!$D:$D,'RIDHO 01'!$D$1,'[1]Rincian Keluar'!$H:$H,'RIDHO 01'!$J$1,'[1]Rincian Keluar'!$F:$F,'RIDHO 01'!M148)</f>
        <v>0</v>
      </c>
      <c r="F148" s="141">
        <v>55000</v>
      </c>
      <c r="G148" s="98">
        <f t="shared" si="29"/>
        <v>0</v>
      </c>
      <c r="H148" s="138"/>
      <c r="I148" s="42"/>
      <c r="J148" s="104"/>
      <c r="K148" s="87"/>
      <c r="M148" s="20" t="str">
        <f t="shared" si="28"/>
        <v xml:space="preserve">JENDELA </v>
      </c>
    </row>
    <row r="149" spans="2:13" s="142" customFormat="1" ht="18" customHeight="1" x14ac:dyDescent="0.25">
      <c r="B149" s="34">
        <v>7</v>
      </c>
      <c r="C149" s="139" t="s">
        <v>132</v>
      </c>
      <c r="D149" s="36">
        <f>IFERROR(HLOOKUP($J$1,[1]DB!$C$1:$K$172,149,FALSE),"")</f>
        <v>2</v>
      </c>
      <c r="E149" s="36">
        <f>SUMIFS('[1]Rincian Keluar'!$G:$G,'[1]Rincian Keluar'!$E:$E,'RIDHO 01'!C149,'[1]Rincian Keluar'!$D:$D,'RIDHO 01'!$D$1,'[1]Rincian Keluar'!$H:$H,'RIDHO 01'!$J$1,'[1]Rincian Keluar'!$F:$F,'RIDHO 01'!M149)</f>
        <v>0</v>
      </c>
      <c r="F149" s="141">
        <v>50000</v>
      </c>
      <c r="G149" s="98">
        <f t="shared" si="29"/>
        <v>0</v>
      </c>
      <c r="H149" s="138"/>
      <c r="I149" s="42"/>
      <c r="J149" s="104"/>
      <c r="K149" s="87"/>
      <c r="M149" s="20" t="str">
        <f t="shared" si="28"/>
        <v xml:space="preserve">JENDELA </v>
      </c>
    </row>
    <row r="150" spans="2:13" s="142" customFormat="1" ht="18" customHeight="1" x14ac:dyDescent="0.25">
      <c r="B150" s="34">
        <v>8</v>
      </c>
      <c r="C150" s="139" t="s">
        <v>133</v>
      </c>
      <c r="D150" s="36">
        <f>IFERROR(HLOOKUP($J$1,[1]DB!$C$1:$K$172,150,FALSE),"")</f>
        <v>3</v>
      </c>
      <c r="E150" s="36">
        <f>SUMIFS('[1]Rincian Keluar'!$G:$G,'[1]Rincian Keluar'!$E:$E,'RIDHO 01'!C150,'[1]Rincian Keluar'!$D:$D,'RIDHO 01'!$D$1,'[1]Rincian Keluar'!$H:$H,'RIDHO 01'!$J$1,'[1]Rincian Keluar'!$F:$F,'RIDHO 01'!M150)</f>
        <v>0</v>
      </c>
      <c r="F150" s="141">
        <v>11000</v>
      </c>
      <c r="G150" s="98">
        <f t="shared" si="29"/>
        <v>0</v>
      </c>
      <c r="H150" s="138"/>
      <c r="I150" s="42"/>
      <c r="J150" s="104"/>
      <c r="K150" s="87"/>
      <c r="M150" s="20" t="str">
        <f t="shared" si="28"/>
        <v xml:space="preserve">JENDELA </v>
      </c>
    </row>
    <row r="151" spans="2:13" s="142" customFormat="1" ht="18" customHeight="1" x14ac:dyDescent="0.25">
      <c r="B151" s="34">
        <v>9</v>
      </c>
      <c r="C151" s="139" t="s">
        <v>134</v>
      </c>
      <c r="D151" s="36">
        <f>IFERROR(HLOOKUP($J$1,[1]DB!$C$1:$K$172,151,FALSE),"")</f>
        <v>2</v>
      </c>
      <c r="E151" s="36">
        <f>SUMIFS('[1]Rincian Keluar'!$G:$G,'[1]Rincian Keluar'!$E:$E,'RIDHO 01'!C151,'[1]Rincian Keluar'!$D:$D,'RIDHO 01'!$D$1,'[1]Rincian Keluar'!$H:$H,'RIDHO 01'!$J$1,'[1]Rincian Keluar'!$F:$F,'RIDHO 01'!M151)</f>
        <v>0</v>
      </c>
      <c r="F151" s="141">
        <v>11000</v>
      </c>
      <c r="G151" s="98">
        <f t="shared" si="29"/>
        <v>0</v>
      </c>
      <c r="H151" s="138"/>
      <c r="I151" s="42"/>
      <c r="J151" s="104"/>
      <c r="K151" s="87"/>
      <c r="M151" s="20" t="str">
        <f t="shared" si="28"/>
        <v xml:space="preserve">JENDELA </v>
      </c>
    </row>
    <row r="152" spans="2:13" s="142" customFormat="1" ht="18" customHeight="1" x14ac:dyDescent="0.25">
      <c r="B152" s="34">
        <v>10</v>
      </c>
      <c r="C152" s="139" t="s">
        <v>135</v>
      </c>
      <c r="D152" s="36">
        <f>IFERROR(HLOOKUP($J$1,[1]DB!$C$1:$K$172,152,FALSE),"")</f>
        <v>5</v>
      </c>
      <c r="E152" s="36">
        <f>SUMIFS('[1]Rincian Keluar'!$G:$G,'[1]Rincian Keluar'!$E:$E,'RIDHO 01'!C152,'[1]Rincian Keluar'!$D:$D,'RIDHO 01'!$D$1,'[1]Rincian Keluar'!$H:$H,'RIDHO 01'!$J$1,'[1]Rincian Keluar'!$F:$F,'RIDHO 01'!M152)</f>
        <v>0</v>
      </c>
      <c r="F152" s="141">
        <v>17000</v>
      </c>
      <c r="G152" s="98">
        <f t="shared" si="29"/>
        <v>0</v>
      </c>
      <c r="H152" s="138"/>
      <c r="I152" s="42"/>
      <c r="J152" s="104"/>
      <c r="K152" s="87"/>
      <c r="M152" s="20" t="str">
        <f t="shared" si="28"/>
        <v xml:space="preserve">JENDELA </v>
      </c>
    </row>
    <row r="153" spans="2:13" s="142" customFormat="1" ht="18" customHeight="1" x14ac:dyDescent="0.25">
      <c r="B153" s="34">
        <v>11</v>
      </c>
      <c r="C153" s="139" t="s">
        <v>136</v>
      </c>
      <c r="D153" s="36">
        <f>IFERROR(HLOOKUP($J$1,[1]DB!$C$1:$K$172,153,FALSE),"")</f>
        <v>4</v>
      </c>
      <c r="E153" s="36">
        <f>SUMIFS('[1]Rincian Keluar'!$G:$G,'[1]Rincian Keluar'!$E:$E,'RIDHO 01'!C153,'[1]Rincian Keluar'!$D:$D,'RIDHO 01'!$D$1,'[1]Rincian Keluar'!$H:$H,'RIDHO 01'!$J$1,'[1]Rincian Keluar'!$F:$F,'RIDHO 01'!M153)</f>
        <v>0</v>
      </c>
      <c r="F153" s="141">
        <v>40000</v>
      </c>
      <c r="G153" s="98">
        <f t="shared" si="29"/>
        <v>0</v>
      </c>
      <c r="H153" s="138"/>
      <c r="I153" s="42"/>
      <c r="J153" s="104"/>
      <c r="K153" s="87"/>
      <c r="M153" s="20" t="str">
        <f t="shared" si="28"/>
        <v xml:space="preserve">JENDELA </v>
      </c>
    </row>
    <row r="154" spans="2:13" s="142" customFormat="1" ht="18" customHeight="1" x14ac:dyDescent="0.25">
      <c r="B154" s="34">
        <v>12</v>
      </c>
      <c r="C154" s="139" t="s">
        <v>137</v>
      </c>
      <c r="D154" s="36">
        <f>IFERROR(HLOOKUP($J$1,[1]DB!$C$1:$K$172,154,FALSE),"")</f>
        <v>25</v>
      </c>
      <c r="E154" s="36">
        <f>SUMIFS('[1]Rincian Keluar'!$G:$G,'[1]Rincian Keluar'!$E:$E,'RIDHO 01'!C154,'[1]Rincian Keluar'!$D:$D,'RIDHO 01'!$D$1,'[1]Rincian Keluar'!$H:$H,'RIDHO 01'!$J$1,'[1]Rincian Keluar'!$F:$F,'RIDHO 01'!M154)</f>
        <v>0</v>
      </c>
      <c r="F154" s="141">
        <v>400</v>
      </c>
      <c r="G154" s="98">
        <f t="shared" si="29"/>
        <v>0</v>
      </c>
      <c r="H154" s="138"/>
      <c r="I154" s="42"/>
      <c r="J154" s="104"/>
      <c r="K154" s="87"/>
      <c r="M154" s="20" t="str">
        <f t="shared" si="28"/>
        <v xml:space="preserve">JENDELA </v>
      </c>
    </row>
    <row r="155" spans="2:13" s="142" customFormat="1" ht="18" customHeight="1" x14ac:dyDescent="0.25">
      <c r="B155" s="34">
        <v>13</v>
      </c>
      <c r="C155" s="139" t="s">
        <v>138</v>
      </c>
      <c r="D155" s="36">
        <f>IFERROR(HLOOKUP($J$1,[1]DB!$C$1:$K$172,155,FALSE),"")</f>
        <v>40</v>
      </c>
      <c r="E155" s="36">
        <f>SUMIFS('[1]Rincian Keluar'!$G:$G,'[1]Rincian Keluar'!$E:$E,'RIDHO 01'!C155,'[1]Rincian Keluar'!$D:$D,'RIDHO 01'!$D$1,'[1]Rincian Keluar'!$H:$H,'RIDHO 01'!$J$1,'[1]Rincian Keluar'!$F:$F,'RIDHO 01'!M155)</f>
        <v>0</v>
      </c>
      <c r="F155" s="141">
        <v>15000</v>
      </c>
      <c r="G155" s="98">
        <f t="shared" si="29"/>
        <v>0</v>
      </c>
      <c r="H155" s="138"/>
      <c r="I155" s="42"/>
      <c r="J155" s="104"/>
      <c r="K155" s="87"/>
      <c r="M155" s="20" t="str">
        <f t="shared" si="28"/>
        <v xml:space="preserve">JENDELA </v>
      </c>
    </row>
    <row r="156" spans="2:13" s="142" customFormat="1" ht="18" customHeight="1" x14ac:dyDescent="0.25">
      <c r="B156" s="34">
        <v>14</v>
      </c>
      <c r="C156" s="139" t="s">
        <v>139</v>
      </c>
      <c r="D156" s="36">
        <f>IFERROR(HLOOKUP($J$1,[1]DB!$C$1:$K$172,156,FALSE),"")</f>
        <v>40</v>
      </c>
      <c r="E156" s="36">
        <f>SUMIFS('[1]Rincian Keluar'!$G:$G,'[1]Rincian Keluar'!$E:$E,'RIDHO 01'!C156,'[1]Rincian Keluar'!$D:$D,'RIDHO 01'!$D$1,'[1]Rincian Keluar'!$H:$H,'RIDHO 01'!$J$1,'[1]Rincian Keluar'!$F:$F,'RIDHO 01'!M156)</f>
        <v>0</v>
      </c>
      <c r="F156" s="141">
        <v>200</v>
      </c>
      <c r="G156" s="98" t="s">
        <v>61</v>
      </c>
      <c r="H156" s="138"/>
      <c r="I156" s="42"/>
      <c r="J156" s="104"/>
      <c r="K156" s="87"/>
      <c r="M156" s="20" t="str">
        <f t="shared" si="28"/>
        <v xml:space="preserve">JENDELA </v>
      </c>
    </row>
    <row r="157" spans="2:13" s="142" customFormat="1" ht="18" customHeight="1" x14ac:dyDescent="0.25">
      <c r="B157" s="34">
        <v>15</v>
      </c>
      <c r="C157" s="139" t="s">
        <v>140</v>
      </c>
      <c r="D157" s="36">
        <f>IFERROR(HLOOKUP($J$1,[1]DB!$C$1:$K$172,157,FALSE),"")</f>
        <v>80</v>
      </c>
      <c r="E157" s="36">
        <f>SUMIFS('[1]Rincian Keluar'!$G:$G,'[1]Rincian Keluar'!$E:$E,'RIDHO 01'!C157,'[1]Rincian Keluar'!$D:$D,'RIDHO 01'!$D$1,'[1]Rincian Keluar'!$H:$H,'RIDHO 01'!$J$1,'[1]Rincian Keluar'!$F:$F,'RIDHO 01'!M157)</f>
        <v>0</v>
      </c>
      <c r="F157" s="141">
        <v>100</v>
      </c>
      <c r="G157" s="98">
        <f t="shared" si="29"/>
        <v>0</v>
      </c>
      <c r="H157" s="138"/>
      <c r="I157" s="42"/>
      <c r="J157" s="104"/>
      <c r="K157" s="87"/>
      <c r="M157" s="20" t="str">
        <f t="shared" si="28"/>
        <v xml:space="preserve">JENDELA </v>
      </c>
    </row>
    <row r="158" spans="2:13" s="142" customFormat="1" ht="18" customHeight="1" x14ac:dyDescent="0.25">
      <c r="B158" s="34">
        <v>16</v>
      </c>
      <c r="C158" s="139" t="s">
        <v>141</v>
      </c>
      <c r="D158" s="36">
        <f>IFERROR(HLOOKUP($J$1,[1]DB!$C$1:$K$172,158,FALSE),"")</f>
        <v>1</v>
      </c>
      <c r="E158" s="36">
        <f>SUMIFS('[1]Rincian Keluar'!$G:$G,'[1]Rincian Keluar'!$E:$E,'RIDHO 01'!C158,'[1]Rincian Keluar'!$D:$D,'RIDHO 01'!$D$1,'[1]Rincian Keluar'!$H:$H,'RIDHO 01'!$J$1,'[1]Rincian Keluar'!$F:$F,'RIDHO 01'!M158)</f>
        <v>0</v>
      </c>
      <c r="F158" s="141">
        <v>55000</v>
      </c>
      <c r="G158" s="98">
        <f t="shared" si="29"/>
        <v>0</v>
      </c>
      <c r="H158" s="138"/>
      <c r="I158" s="42"/>
      <c r="J158" s="104"/>
      <c r="K158" s="87"/>
      <c r="M158" s="20" t="str">
        <f t="shared" si="28"/>
        <v xml:space="preserve">JENDELA </v>
      </c>
    </row>
    <row r="159" spans="2:13" s="142" customFormat="1" ht="18" customHeight="1" x14ac:dyDescent="0.25">
      <c r="B159" s="34">
        <v>17</v>
      </c>
      <c r="C159" s="139" t="s">
        <v>142</v>
      </c>
      <c r="D159" s="36">
        <f>IFERROR(HLOOKUP($J$1,[1]DB!$C$1:$K$172,159,FALSE),"")</f>
        <v>1</v>
      </c>
      <c r="E159" s="36">
        <f>SUMIFS('[1]Rincian Keluar'!$G:$G,'[1]Rincian Keluar'!$E:$E,'RIDHO 01'!C159,'[1]Rincian Keluar'!$D:$D,'RIDHO 01'!$D$1,'[1]Rincian Keluar'!$H:$H,'RIDHO 01'!$J$1,'[1]Rincian Keluar'!$F:$F,'RIDHO 01'!M159)</f>
        <v>0</v>
      </c>
      <c r="F159" s="141">
        <v>10000</v>
      </c>
      <c r="G159" s="98">
        <f t="shared" si="29"/>
        <v>0</v>
      </c>
      <c r="H159" s="138"/>
      <c r="I159" s="42"/>
      <c r="J159" s="104"/>
      <c r="K159" s="87"/>
      <c r="M159" s="20" t="str">
        <f t="shared" si="28"/>
        <v xml:space="preserve">JENDELA </v>
      </c>
    </row>
    <row r="160" spans="2:13" s="142" customFormat="1" ht="18" customHeight="1" x14ac:dyDescent="0.25">
      <c r="B160" s="34">
        <v>18</v>
      </c>
      <c r="C160" s="139" t="s">
        <v>143</v>
      </c>
      <c r="D160" s="36">
        <f>IFERROR(HLOOKUP($J$1,[1]DB!$C$1:$K$172,160,FALSE),"")</f>
        <v>6</v>
      </c>
      <c r="E160" s="36">
        <f>SUMIFS('[1]Rincian Keluar'!$G:$G,'[1]Rincian Keluar'!$E:$E,'RIDHO 01'!C160,'[1]Rincian Keluar'!$D:$D,'RIDHO 01'!$D$1,'[1]Rincian Keluar'!$H:$H,'RIDHO 01'!$J$1,'[1]Rincian Keluar'!$F:$F,'RIDHO 01'!M160)</f>
        <v>0</v>
      </c>
      <c r="F160" s="141">
        <v>300000</v>
      </c>
      <c r="G160" s="98">
        <f t="shared" si="29"/>
        <v>0</v>
      </c>
      <c r="H160" s="138"/>
      <c r="I160" s="42"/>
      <c r="J160" s="104"/>
      <c r="K160" s="87"/>
      <c r="M160" s="20" t="str">
        <f t="shared" si="28"/>
        <v xml:space="preserve">JENDELA </v>
      </c>
    </row>
    <row r="161" spans="1:13" s="142" customFormat="1" ht="18" customHeight="1" x14ac:dyDescent="0.25">
      <c r="B161" s="34">
        <v>19</v>
      </c>
      <c r="C161" s="139" t="s">
        <v>144</v>
      </c>
      <c r="D161" s="36">
        <f>IFERROR(HLOOKUP($J$1,[1]DB!$C$1:$K$172,161,FALSE),"")</f>
        <v>4</v>
      </c>
      <c r="E161" s="36">
        <f>SUMIFS('[1]Rincian Keluar'!$G:$G,'[1]Rincian Keluar'!$E:$E,'RIDHO 01'!C161,'[1]Rincian Keluar'!$D:$D,'RIDHO 01'!$D$1,'[1]Rincian Keluar'!$H:$H,'RIDHO 01'!$J$1,'[1]Rincian Keluar'!$F:$F,'RIDHO 01'!M161)</f>
        <v>0</v>
      </c>
      <c r="F161" s="141">
        <v>40000</v>
      </c>
      <c r="G161" s="98">
        <f t="shared" si="29"/>
        <v>0</v>
      </c>
      <c r="H161" s="140"/>
      <c r="I161" s="47"/>
      <c r="J161" s="106"/>
      <c r="K161" s="90"/>
      <c r="M161" s="20" t="str">
        <f t="shared" si="28"/>
        <v xml:space="preserve">JENDELA </v>
      </c>
    </row>
    <row r="162" spans="1:13" ht="18" customHeight="1" x14ac:dyDescent="0.25">
      <c r="B162" s="29" t="s">
        <v>145</v>
      </c>
      <c r="C162" s="124" t="s">
        <v>146</v>
      </c>
      <c r="D162" s="132"/>
      <c r="E162" s="132"/>
      <c r="F162" s="132"/>
      <c r="G162" s="132"/>
      <c r="H162" s="132"/>
      <c r="I162" s="133"/>
      <c r="J162" s="132"/>
      <c r="K162" s="134"/>
      <c r="M162" s="20"/>
    </row>
    <row r="163" spans="1:13" s="66" customFormat="1" ht="18" customHeight="1" x14ac:dyDescent="0.25">
      <c r="B163" s="34">
        <v>1</v>
      </c>
      <c r="C163" s="35" t="s">
        <v>147</v>
      </c>
      <c r="D163" s="36">
        <f>IFERROR(HLOOKUP($J$1,[1]DB!$C$1:$K$172,163,FALSE),"")</f>
        <v>6</v>
      </c>
      <c r="E163" s="36">
        <f>SUMIFS('[1]Rincian Keluar'!$G:$G,'[1]Rincian Keluar'!$E:$E,'RIDHO 01'!C163,'[1]Rincian Keluar'!$D:$D,'RIDHO 01'!$D$1,'[1]Rincian Keluar'!$H:$H,'RIDHO 01'!$J$1,'[1]Rincian Keluar'!$F:$F,'RIDHO 01'!M163)</f>
        <v>0</v>
      </c>
      <c r="F163" s="37">
        <v>14000</v>
      </c>
      <c r="G163" s="135">
        <f>E163*F163</f>
        <v>0</v>
      </c>
      <c r="H163" s="136"/>
      <c r="I163" s="39"/>
      <c r="J163" s="137"/>
      <c r="K163" s="84"/>
      <c r="M163" s="20" t="str">
        <f>$C$162</f>
        <v>ELEKTICAL</v>
      </c>
    </row>
    <row r="164" spans="1:13" s="66" customFormat="1" ht="18" customHeight="1" x14ac:dyDescent="0.25">
      <c r="B164" s="34">
        <v>2</v>
      </c>
      <c r="C164" s="35" t="s">
        <v>148</v>
      </c>
      <c r="D164" s="36">
        <f>IFERROR(HLOOKUP($J$1,[1]DB!$C$1:$K$172,164,FALSE),"")</f>
        <v>1</v>
      </c>
      <c r="E164" s="36">
        <f>SUMIFS('[1]Rincian Keluar'!$G:$G,'[1]Rincian Keluar'!$E:$E,'RIDHO 01'!C164,'[1]Rincian Keluar'!$D:$D,'RIDHO 01'!$D$1,'[1]Rincian Keluar'!$H:$H,'RIDHO 01'!$J$1,'[1]Rincian Keluar'!$F:$F,'RIDHO 01'!M164)</f>
        <v>0</v>
      </c>
      <c r="F164" s="37">
        <v>18000</v>
      </c>
      <c r="G164" s="135">
        <f t="shared" ref="G164:G172" si="30">E164*F164</f>
        <v>0</v>
      </c>
      <c r="H164" s="138"/>
      <c r="I164" s="42"/>
      <c r="J164" s="104"/>
      <c r="K164" s="87"/>
      <c r="M164" s="20" t="str">
        <f t="shared" ref="M164:M172" si="31">$C$162</f>
        <v>ELEKTICAL</v>
      </c>
    </row>
    <row r="165" spans="1:13" s="66" customFormat="1" ht="18" customHeight="1" x14ac:dyDescent="0.25">
      <c r="B165" s="34">
        <v>3</v>
      </c>
      <c r="C165" s="35" t="s">
        <v>149</v>
      </c>
      <c r="D165" s="36">
        <f>IFERROR(HLOOKUP($J$1,[1]DB!$C$1:$K$172,165,FALSE),"")</f>
        <v>11</v>
      </c>
      <c r="E165" s="36">
        <f>SUMIFS('[1]Rincian Keluar'!$G:$G,'[1]Rincian Keluar'!$E:$E,'RIDHO 01'!C165,'[1]Rincian Keluar'!$D:$D,'RIDHO 01'!$D$1,'[1]Rincian Keluar'!$H:$H,'RIDHO 01'!$J$1,'[1]Rincian Keluar'!$F:$F,'RIDHO 01'!M165)</f>
        <v>0</v>
      </c>
      <c r="F165" s="37">
        <v>15000</v>
      </c>
      <c r="G165" s="135">
        <f t="shared" si="30"/>
        <v>0</v>
      </c>
      <c r="H165" s="138"/>
      <c r="I165" s="42"/>
      <c r="J165" s="104"/>
      <c r="K165" s="87"/>
      <c r="M165" s="20" t="str">
        <f t="shared" si="31"/>
        <v>ELEKTICAL</v>
      </c>
    </row>
    <row r="166" spans="1:13" s="66" customFormat="1" ht="18" customHeight="1" x14ac:dyDescent="0.25">
      <c r="B166" s="34">
        <v>4</v>
      </c>
      <c r="C166" s="35" t="s">
        <v>150</v>
      </c>
      <c r="D166" s="36">
        <f>IFERROR(HLOOKUP($J$1,[1]DB!$C$1:$K$172,166,FALSE),"")</f>
        <v>1</v>
      </c>
      <c r="E166" s="36">
        <f>SUMIFS('[1]Rincian Keluar'!$G:$G,'[1]Rincian Keluar'!$E:$E,'RIDHO 01'!C166,'[1]Rincian Keluar'!$D:$D,'RIDHO 01'!$D$1,'[1]Rincian Keluar'!$H:$H,'RIDHO 01'!$J$1,'[1]Rincian Keluar'!$F:$F,'RIDHO 01'!M166)</f>
        <v>0</v>
      </c>
      <c r="F166" s="37">
        <v>336000</v>
      </c>
      <c r="G166" s="135">
        <f t="shared" si="30"/>
        <v>0</v>
      </c>
      <c r="H166" s="138"/>
      <c r="I166" s="42"/>
      <c r="J166" s="104"/>
      <c r="K166" s="87"/>
      <c r="M166" s="20" t="str">
        <f t="shared" si="31"/>
        <v>ELEKTICAL</v>
      </c>
    </row>
    <row r="167" spans="1:13" s="66" customFormat="1" ht="18" customHeight="1" x14ac:dyDescent="0.25">
      <c r="B167" s="34">
        <v>5</v>
      </c>
      <c r="C167" s="35" t="s">
        <v>151</v>
      </c>
      <c r="D167" s="36">
        <f>IFERROR(HLOOKUP($J$1,[1]DB!$C$1:$K$172,167,FALSE),"")</f>
        <v>7</v>
      </c>
      <c r="E167" s="36">
        <f>SUMIFS('[1]Rincian Keluar'!$G:$G,'[1]Rincian Keluar'!$E:$E,'RIDHO 01'!C167,'[1]Rincian Keluar'!$D:$D,'RIDHO 01'!$D$1,'[1]Rincian Keluar'!$H:$H,'RIDHO 01'!$J$1,'[1]Rincian Keluar'!$F:$F,'RIDHO 01'!M167)</f>
        <v>0</v>
      </c>
      <c r="F167" s="37">
        <v>5500</v>
      </c>
      <c r="G167" s="135">
        <f t="shared" si="30"/>
        <v>0</v>
      </c>
      <c r="H167" s="138"/>
      <c r="I167" s="42"/>
      <c r="J167" s="104"/>
      <c r="K167" s="87"/>
      <c r="M167" s="20" t="str">
        <f t="shared" si="31"/>
        <v>ELEKTICAL</v>
      </c>
    </row>
    <row r="168" spans="1:13" s="66" customFormat="1" ht="18" customHeight="1" x14ac:dyDescent="0.25">
      <c r="B168" s="34">
        <v>6</v>
      </c>
      <c r="C168" s="35" t="s">
        <v>152</v>
      </c>
      <c r="D168" s="36">
        <f>IFERROR(HLOOKUP($J$1,[1]DB!$C$1:$K$172,168,FALSE),"")</f>
        <v>25</v>
      </c>
      <c r="E168" s="36">
        <f>SUMIFS('[1]Rincian Keluar'!$G:$G,'[1]Rincian Keluar'!$E:$E,'RIDHO 01'!C168,'[1]Rincian Keluar'!$D:$D,'RIDHO 01'!$D$1,'[1]Rincian Keluar'!$H:$H,'RIDHO 01'!$J$1,'[1]Rincian Keluar'!$F:$F,'RIDHO 01'!M168)</f>
        <v>0</v>
      </c>
      <c r="F168" s="37">
        <v>8200</v>
      </c>
      <c r="G168" s="135">
        <f t="shared" si="30"/>
        <v>0</v>
      </c>
      <c r="H168" s="138"/>
      <c r="I168" s="42"/>
      <c r="J168" s="104"/>
      <c r="K168" s="87"/>
      <c r="M168" s="20" t="str">
        <f t="shared" si="31"/>
        <v>ELEKTICAL</v>
      </c>
    </row>
    <row r="169" spans="1:13" s="66" customFormat="1" ht="18" customHeight="1" x14ac:dyDescent="0.25">
      <c r="B169" s="34">
        <v>7</v>
      </c>
      <c r="C169" s="35" t="s">
        <v>153</v>
      </c>
      <c r="D169" s="36">
        <f>IFERROR(HLOOKUP($J$1,[1]DB!$C$1:$K$172,169,FALSE),"")</f>
        <v>35</v>
      </c>
      <c r="E169" s="36">
        <f>SUMIFS('[1]Rincian Keluar'!$G:$G,'[1]Rincian Keluar'!$E:$E,'RIDHO 01'!C169,'[1]Rincian Keluar'!$D:$D,'RIDHO 01'!$D$1,'[1]Rincian Keluar'!$H:$H,'RIDHO 01'!$J$1,'[1]Rincian Keluar'!$F:$F,'RIDHO 01'!M169)</f>
        <v>0</v>
      </c>
      <c r="F169" s="37">
        <v>12500</v>
      </c>
      <c r="G169" s="135">
        <f t="shared" si="30"/>
        <v>0</v>
      </c>
      <c r="H169" s="138"/>
      <c r="I169" s="42"/>
      <c r="J169" s="104"/>
      <c r="K169" s="87"/>
      <c r="M169" s="20" t="str">
        <f t="shared" si="31"/>
        <v>ELEKTICAL</v>
      </c>
    </row>
    <row r="170" spans="1:13" s="66" customFormat="1" ht="18" customHeight="1" x14ac:dyDescent="0.25">
      <c r="B170" s="34">
        <v>8</v>
      </c>
      <c r="C170" s="35" t="s">
        <v>154</v>
      </c>
      <c r="D170" s="36">
        <f>IFERROR(HLOOKUP($J$1,[1]DB!$C$1:$K$172,170,FALSE),"")</f>
        <v>1</v>
      </c>
      <c r="E170" s="36">
        <f>SUMIFS('[1]Rincian Keluar'!$G:$G,'[1]Rincian Keluar'!$E:$E,'RIDHO 01'!C170,'[1]Rincian Keluar'!$D:$D,'RIDHO 01'!$D$1,'[1]Rincian Keluar'!$H:$H,'RIDHO 01'!$J$1,'[1]Rincian Keluar'!$F:$F,'RIDHO 01'!M170)</f>
        <v>0</v>
      </c>
      <c r="F170" s="37">
        <v>19000</v>
      </c>
      <c r="G170" s="135">
        <f t="shared" si="30"/>
        <v>0</v>
      </c>
      <c r="H170" s="138"/>
      <c r="I170" s="42"/>
      <c r="J170" s="104"/>
      <c r="K170" s="87"/>
      <c r="M170" s="20" t="str">
        <f t="shared" si="31"/>
        <v>ELEKTICAL</v>
      </c>
    </row>
    <row r="171" spans="1:13" s="66" customFormat="1" ht="18" customHeight="1" x14ac:dyDescent="0.25">
      <c r="B171" s="34">
        <v>9</v>
      </c>
      <c r="C171" s="35" t="s">
        <v>155</v>
      </c>
      <c r="D171" s="36">
        <f>IFERROR(HLOOKUP($J$1,[1]DB!$C$1:$K$172,171,FALSE),"")</f>
        <v>1</v>
      </c>
      <c r="E171" s="36">
        <f>SUMIFS('[1]Rincian Keluar'!$G:$G,'[1]Rincian Keluar'!$E:$E,'RIDHO 01'!C171,'[1]Rincian Keluar'!$D:$D,'RIDHO 01'!$D$1,'[1]Rincian Keluar'!$H:$H,'RIDHO 01'!$J$1,'[1]Rincian Keluar'!$F:$F,'RIDHO 01'!M171)</f>
        <v>0</v>
      </c>
      <c r="F171" s="37">
        <v>14000</v>
      </c>
      <c r="G171" s="135">
        <f t="shared" si="30"/>
        <v>0</v>
      </c>
      <c r="H171" s="138"/>
      <c r="I171" s="42"/>
      <c r="J171" s="104"/>
      <c r="K171" s="87"/>
      <c r="M171" s="20" t="str">
        <f t="shared" si="31"/>
        <v>ELEKTICAL</v>
      </c>
    </row>
    <row r="172" spans="1:13" s="66" customFormat="1" ht="18" customHeight="1" x14ac:dyDescent="0.25">
      <c r="A172" s="66" t="s">
        <v>156</v>
      </c>
      <c r="B172" s="34">
        <v>10</v>
      </c>
      <c r="C172" s="35" t="s">
        <v>157</v>
      </c>
      <c r="D172" s="36">
        <f>IFERROR(HLOOKUP($J$1,[1]DB!$C$1:$K$172,172,FALSE),"")</f>
        <v>1</v>
      </c>
      <c r="E172" s="36">
        <f>SUMIFS('[1]Rincian Keluar'!$G:$G,'[1]Rincian Keluar'!$E:$E,'RIDHO 01'!C172,'[1]Rincian Keluar'!$D:$D,'RIDHO 01'!$D$1,'[1]Rincian Keluar'!$H:$H,'RIDHO 01'!$J$1,'[1]Rincian Keluar'!$F:$F,'RIDHO 01'!M172)</f>
        <v>0</v>
      </c>
      <c r="F172" s="37">
        <v>60000</v>
      </c>
      <c r="G172" s="135">
        <f t="shared" si="30"/>
        <v>0</v>
      </c>
      <c r="H172" s="140"/>
      <c r="I172" s="47"/>
      <c r="J172" s="106"/>
      <c r="K172" s="90"/>
      <c r="M172" s="20" t="str">
        <f t="shared" si="31"/>
        <v>ELEKTICAL</v>
      </c>
    </row>
    <row r="173" spans="1:13" ht="18" customHeight="1" x14ac:dyDescent="0.25">
      <c r="B173" s="143" t="s">
        <v>158</v>
      </c>
      <c r="C173" s="144"/>
      <c r="D173" s="144"/>
      <c r="E173" s="144"/>
      <c r="F173" s="145"/>
      <c r="G173" s="146">
        <f>SUM(G7:G172)</f>
        <v>55276400</v>
      </c>
      <c r="H173" s="146"/>
      <c r="I173" s="147"/>
      <c r="J173" s="146">
        <f>SUM(J7:J172)</f>
        <v>6989204</v>
      </c>
      <c r="K173" s="148"/>
    </row>
    <row r="174" spans="1:13" ht="18" customHeight="1" thickBot="1" x14ac:dyDescent="0.3">
      <c r="B174" s="149" t="s">
        <v>159</v>
      </c>
      <c r="C174" s="150"/>
      <c r="D174" s="150"/>
      <c r="E174" s="150"/>
      <c r="F174" s="150"/>
      <c r="G174" s="151">
        <f>SUM(G173,J173)</f>
        <v>62265604</v>
      </c>
      <c r="H174" s="152"/>
      <c r="I174" s="153"/>
      <c r="J174" s="154"/>
      <c r="K174" s="155"/>
    </row>
    <row r="175" spans="1:13" x14ac:dyDescent="0.25">
      <c r="C175" s="156"/>
    </row>
    <row r="176" spans="1:13" x14ac:dyDescent="0.25">
      <c r="C176" s="156"/>
    </row>
    <row r="177" spans="3:3" x14ac:dyDescent="0.25">
      <c r="C177" s="156"/>
    </row>
    <row r="178" spans="3:3" x14ac:dyDescent="0.25">
      <c r="C178" s="156"/>
    </row>
    <row r="179" spans="3:3" x14ac:dyDescent="0.25">
      <c r="C179" s="156"/>
    </row>
    <row r="180" spans="3:3" x14ac:dyDescent="0.25">
      <c r="C180" s="156"/>
    </row>
    <row r="181" spans="3:3" x14ac:dyDescent="0.25">
      <c r="C181" s="156"/>
    </row>
    <row r="182" spans="3:3" x14ac:dyDescent="0.25">
      <c r="C182" s="156"/>
    </row>
    <row r="183" spans="3:3" x14ac:dyDescent="0.25">
      <c r="C183" s="156"/>
    </row>
    <row r="184" spans="3:3" x14ac:dyDescent="0.25">
      <c r="C184" s="156"/>
    </row>
    <row r="185" spans="3:3" x14ac:dyDescent="0.25">
      <c r="C185" s="156"/>
    </row>
    <row r="186" spans="3:3" x14ac:dyDescent="0.25">
      <c r="C186" s="156"/>
    </row>
    <row r="187" spans="3:3" x14ac:dyDescent="0.25">
      <c r="C187" s="156"/>
    </row>
  </sheetData>
  <autoFilter ref="B4:K174"/>
  <mergeCells count="75">
    <mergeCell ref="B173:F173"/>
    <mergeCell ref="B174:F174"/>
    <mergeCell ref="H143:H161"/>
    <mergeCell ref="I143:I161"/>
    <mergeCell ref="J143:J161"/>
    <mergeCell ref="K143:K161"/>
    <mergeCell ref="H163:H172"/>
    <mergeCell ref="I163:I172"/>
    <mergeCell ref="J163:J172"/>
    <mergeCell ref="K163:K172"/>
    <mergeCell ref="H131:H132"/>
    <mergeCell ref="I131:I132"/>
    <mergeCell ref="J131:J132"/>
    <mergeCell ref="K131:K132"/>
    <mergeCell ref="H134:H141"/>
    <mergeCell ref="I134:I141"/>
    <mergeCell ref="J134:J141"/>
    <mergeCell ref="K134:K141"/>
    <mergeCell ref="H120:H123"/>
    <mergeCell ref="I120:I123"/>
    <mergeCell ref="J120:J123"/>
    <mergeCell ref="K120:K123"/>
    <mergeCell ref="H125:H129"/>
    <mergeCell ref="I125:I129"/>
    <mergeCell ref="J125:J129"/>
    <mergeCell ref="K125:K129"/>
    <mergeCell ref="H99:H102"/>
    <mergeCell ref="I99:I103"/>
    <mergeCell ref="J99:J103"/>
    <mergeCell ref="K99:K102"/>
    <mergeCell ref="H105:H116"/>
    <mergeCell ref="I105:I116"/>
    <mergeCell ref="J105:J116"/>
    <mergeCell ref="K105:K116"/>
    <mergeCell ref="H83:H86"/>
    <mergeCell ref="I83:I86"/>
    <mergeCell ref="J83:J86"/>
    <mergeCell ref="K83:K86"/>
    <mergeCell ref="H88:H96"/>
    <mergeCell ref="I88:I96"/>
    <mergeCell ref="J88:J96"/>
    <mergeCell ref="K88:K96"/>
    <mergeCell ref="H65:H74"/>
    <mergeCell ref="I65:I74"/>
    <mergeCell ref="J65:J74"/>
    <mergeCell ref="K65:K74"/>
    <mergeCell ref="H76:H81"/>
    <mergeCell ref="I76:I81"/>
    <mergeCell ref="J76:J81"/>
    <mergeCell ref="K76:K81"/>
    <mergeCell ref="H38:H59"/>
    <mergeCell ref="I38:I59"/>
    <mergeCell ref="J38:J59"/>
    <mergeCell ref="K38:K59"/>
    <mergeCell ref="H61:H63"/>
    <mergeCell ref="I61:I63"/>
    <mergeCell ref="J61:J63"/>
    <mergeCell ref="K61:K63"/>
    <mergeCell ref="H20:H23"/>
    <mergeCell ref="I20:I23"/>
    <mergeCell ref="J20:J23"/>
    <mergeCell ref="K20:K23"/>
    <mergeCell ref="H25:H36"/>
    <mergeCell ref="I25:I36"/>
    <mergeCell ref="J25:J36"/>
    <mergeCell ref="K25:K36"/>
    <mergeCell ref="B3:K3"/>
    <mergeCell ref="H7:H14"/>
    <mergeCell ref="I7:I14"/>
    <mergeCell ref="J7:J14"/>
    <mergeCell ref="K7:K14"/>
    <mergeCell ref="H16:H18"/>
    <mergeCell ref="I16:I18"/>
    <mergeCell ref="J16:J18"/>
    <mergeCell ref="K16:K18"/>
  </mergeCells>
  <printOptions horizontalCentered="1"/>
  <pageMargins left="0.19685039370078741" right="0.19685039370078741" top="0.19685039370078741" bottom="0.19685039370078741" header="0" footer="0"/>
  <pageSetup paperSize="346" scale="58" fitToHeight="0" orientation="portrait" r:id="rId1"/>
  <rowBreaks count="1" manualBreakCount="1">
    <brk id="86" min="1" max="1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87"/>
  <sheetViews>
    <sheetView zoomScale="70" zoomScaleNormal="70" zoomScaleSheetLayoutView="87" workbookViewId="0">
      <selection activeCell="B87" sqref="B87:K174"/>
    </sheetView>
  </sheetViews>
  <sheetFormatPr defaultColWidth="8.85546875" defaultRowHeight="15.75" x14ac:dyDescent="0.25"/>
  <cols>
    <col min="1" max="1" width="1.7109375" style="1" bestFit="1" customWidth="1"/>
    <col min="2" max="2" width="4.42578125" style="1" bestFit="1" customWidth="1"/>
    <col min="3" max="3" width="39.5703125" style="1" bestFit="1" customWidth="1"/>
    <col min="4" max="4" width="9.7109375" style="1" bestFit="1" customWidth="1"/>
    <col min="5" max="5" width="11.5703125" style="157" bestFit="1" customWidth="1"/>
    <col min="6" max="6" width="20.28515625" style="158" bestFit="1" customWidth="1"/>
    <col min="7" max="7" width="19.140625" style="159" bestFit="1" customWidth="1"/>
    <col min="8" max="8" width="16.42578125" style="1" customWidth="1"/>
    <col min="9" max="9" width="19.140625" style="160" bestFit="1" customWidth="1"/>
    <col min="10" max="10" width="21.5703125" style="161" bestFit="1" customWidth="1"/>
    <col min="11" max="11" width="13.42578125" style="162" bestFit="1" customWidth="1"/>
    <col min="12" max="13" width="8.85546875" style="1"/>
    <col min="14" max="14" width="34.5703125" style="1" customWidth="1"/>
    <col min="15" max="16384" width="8.85546875" style="1"/>
  </cols>
  <sheetData>
    <row r="1" spans="1:13" x14ac:dyDescent="0.25">
      <c r="B1" s="2" t="s">
        <v>0</v>
      </c>
      <c r="C1" s="3"/>
      <c r="D1" s="4" t="s">
        <v>164</v>
      </c>
      <c r="E1" s="5"/>
      <c r="F1" s="5"/>
      <c r="G1" s="5"/>
      <c r="H1" s="2" t="s">
        <v>2</v>
      </c>
      <c r="I1" s="6"/>
      <c r="J1" s="7">
        <v>100</v>
      </c>
      <c r="K1" s="8"/>
    </row>
    <row r="2" spans="1:13" ht="16.5" thickBot="1" x14ac:dyDescent="0.3">
      <c r="B2" s="9"/>
      <c r="C2" s="10"/>
      <c r="D2" s="11"/>
      <c r="E2" s="12"/>
      <c r="F2" s="12"/>
      <c r="G2" s="12"/>
      <c r="H2" s="9"/>
      <c r="I2" s="13"/>
      <c r="J2" s="14"/>
      <c r="K2" s="15"/>
    </row>
    <row r="3" spans="1:13" s="20" customFormat="1" ht="8.25" customHeight="1" x14ac:dyDescent="0.25">
      <c r="A3" s="1"/>
      <c r="B3" s="16"/>
      <c r="C3" s="17"/>
      <c r="D3" s="17"/>
      <c r="E3" s="17"/>
      <c r="F3" s="17"/>
      <c r="G3" s="17"/>
      <c r="H3" s="17"/>
      <c r="I3" s="17"/>
      <c r="J3" s="18"/>
      <c r="K3" s="19"/>
    </row>
    <row r="4" spans="1:13" s="20" customFormat="1" x14ac:dyDescent="0.25">
      <c r="A4" s="1"/>
      <c r="B4" s="21" t="s">
        <v>3</v>
      </c>
      <c r="C4" s="22" t="s">
        <v>4</v>
      </c>
      <c r="D4" s="23" t="s">
        <v>5</v>
      </c>
      <c r="E4" s="23"/>
      <c r="F4" s="24" t="s">
        <v>6</v>
      </c>
      <c r="G4" s="25" t="s">
        <v>7</v>
      </c>
      <c r="H4" s="22" t="s">
        <v>8</v>
      </c>
      <c r="I4" s="23" t="s">
        <v>9</v>
      </c>
      <c r="J4" s="23" t="s">
        <v>10</v>
      </c>
      <c r="K4" s="26" t="s">
        <v>11</v>
      </c>
    </row>
    <row r="5" spans="1:13" s="20" customFormat="1" x14ac:dyDescent="0.25">
      <c r="A5" s="1"/>
      <c r="B5" s="21"/>
      <c r="C5" s="27"/>
      <c r="D5" s="24" t="s">
        <v>12</v>
      </c>
      <c r="E5" s="24" t="s">
        <v>13</v>
      </c>
      <c r="F5" s="24" t="s">
        <v>14</v>
      </c>
      <c r="G5" s="25" t="s">
        <v>14</v>
      </c>
      <c r="H5" s="22"/>
      <c r="I5" s="23"/>
      <c r="J5" s="28"/>
      <c r="K5" s="26"/>
    </row>
    <row r="6" spans="1:13" s="20" customFormat="1" ht="18" customHeight="1" x14ac:dyDescent="0.25">
      <c r="A6" s="1"/>
      <c r="B6" s="29" t="s">
        <v>15</v>
      </c>
      <c r="C6" s="30" t="s">
        <v>16</v>
      </c>
      <c r="D6" s="31"/>
      <c r="E6" s="31"/>
      <c r="F6" s="31"/>
      <c r="G6" s="31"/>
      <c r="H6" s="31"/>
      <c r="I6" s="32"/>
      <c r="J6" s="31"/>
      <c r="K6" s="33"/>
      <c r="L6" s="196"/>
    </row>
    <row r="7" spans="1:13" s="20" customFormat="1" ht="18" customHeight="1" x14ac:dyDescent="0.25">
      <c r="A7" s="1"/>
      <c r="B7" s="34">
        <v>1</v>
      </c>
      <c r="C7" s="35" t="s">
        <v>17</v>
      </c>
      <c r="D7" s="36">
        <f>IFERROR(HLOOKUP($J$1,[1]DB!$C$1:$K$172,7,FALSE),"")</f>
        <v>24</v>
      </c>
      <c r="E7" s="36">
        <f>SUMIFS('[1]Rincian Keluar'!$G:$G,'[1]Rincian Keluar'!$E:$E,SUKABASUKI!C7,'[1]Rincian Keluar'!$D:$D,SUKABASUKI!$D$1,'[1]Rincian Keluar'!$H:$H,SUKABASUKI!$J$1,'[1]Rincian Keluar'!$F:$F,SUKABASUKI!M7)</f>
        <v>0</v>
      </c>
      <c r="F7" s="37">
        <v>21500</v>
      </c>
      <c r="G7" s="38">
        <f>E7*F7</f>
        <v>0</v>
      </c>
      <c r="H7" s="39">
        <v>3880600</v>
      </c>
      <c r="I7" s="39">
        <f>IFERROR(VLOOKUP($C6,[1]HK!$B$5:$C$14,2,FALSE),"")*$J1</f>
        <v>4170000</v>
      </c>
      <c r="J7" s="40">
        <f>I7-H7</f>
        <v>289400</v>
      </c>
      <c r="K7" s="41">
        <v>1</v>
      </c>
      <c r="L7" s="196"/>
      <c r="M7" s="20" t="str">
        <f>$C$6</f>
        <v>PONDASI</v>
      </c>
    </row>
    <row r="8" spans="1:13" s="20" customFormat="1" ht="18" customHeight="1" x14ac:dyDescent="0.25">
      <c r="A8" s="1"/>
      <c r="B8" s="34">
        <v>2</v>
      </c>
      <c r="C8" s="35" t="s">
        <v>18</v>
      </c>
      <c r="D8" s="36">
        <f>IFERROR(HLOOKUP($J$1,[1]DB!$C$1:$K$172,8,FALSE),"")</f>
        <v>82</v>
      </c>
      <c r="E8" s="36">
        <f>SUMIFS('[1]Rincian Keluar'!$G:$G,'[1]Rincian Keluar'!$E:$E,SUKABASUKI!C8,'[1]Rincian Keluar'!$D:$D,SUKABASUKI!$D$1,'[1]Rincian Keluar'!$H:$H,SUKABASUKI!$J$1,'[1]Rincian Keluar'!$F:$F,SUKABASUKI!M8)</f>
        <v>0</v>
      </c>
      <c r="F8" s="37">
        <v>49000</v>
      </c>
      <c r="G8" s="38">
        <f t="shared" ref="G8:G14" si="0">E8*F8</f>
        <v>0</v>
      </c>
      <c r="H8" s="42"/>
      <c r="I8" s="42"/>
      <c r="J8" s="43"/>
      <c r="K8" s="44"/>
      <c r="L8" s="196"/>
      <c r="M8" s="20" t="str">
        <f t="shared" ref="M8:M14" si="1">$C$6</f>
        <v>PONDASI</v>
      </c>
    </row>
    <row r="9" spans="1:13" s="20" customFormat="1" ht="18" customHeight="1" x14ac:dyDescent="0.25">
      <c r="A9" s="1"/>
      <c r="B9" s="34">
        <v>3</v>
      </c>
      <c r="C9" s="45" t="s">
        <v>19</v>
      </c>
      <c r="D9" s="36">
        <f>IFERROR(HLOOKUP($J$1,[1]DB!$C$1:$K$172,9,FALSE),"")</f>
        <v>70</v>
      </c>
      <c r="E9" s="36">
        <f>SUMIFS('[1]Rincian Keluar'!$G:$G,'[1]Rincian Keluar'!$E:$E,SUKABASUKI!C9,'[1]Rincian Keluar'!$D:$D,SUKABASUKI!$D$1,'[1]Rincian Keluar'!$H:$H,SUKABASUKI!$J$1,'[1]Rincian Keluar'!$F:$F,SUKABASUKI!M9)</f>
        <v>0</v>
      </c>
      <c r="F9" s="46">
        <v>11000</v>
      </c>
      <c r="G9" s="38">
        <f t="shared" si="0"/>
        <v>0</v>
      </c>
      <c r="H9" s="42"/>
      <c r="I9" s="42"/>
      <c r="J9" s="43"/>
      <c r="K9" s="44"/>
      <c r="L9" s="196"/>
      <c r="M9" s="20" t="str">
        <f t="shared" si="1"/>
        <v>PONDASI</v>
      </c>
    </row>
    <row r="10" spans="1:13" s="20" customFormat="1" ht="18" customHeight="1" x14ac:dyDescent="0.25">
      <c r="A10" s="1"/>
      <c r="B10" s="34">
        <v>4</v>
      </c>
      <c r="C10" s="45" t="s">
        <v>20</v>
      </c>
      <c r="D10" s="36">
        <f>IFERROR(HLOOKUP($J$1,[1]DB!$C$1:$K$172,10,FALSE),"")</f>
        <v>148</v>
      </c>
      <c r="E10" s="36">
        <f>SUMIFS('[1]Rincian Keluar'!$G:$G,'[1]Rincian Keluar'!$E:$E,SUKABASUKI!C10,'[1]Rincian Keluar'!$D:$D,SUKABASUKI!$D$1,'[1]Rincian Keluar'!$H:$H,SUKABASUKI!$J$1,'[1]Rincian Keluar'!$F:$F,SUKABASUKI!M10)</f>
        <v>0</v>
      </c>
      <c r="F10" s="37">
        <v>8000</v>
      </c>
      <c r="G10" s="38">
        <f t="shared" si="0"/>
        <v>0</v>
      </c>
      <c r="H10" s="42"/>
      <c r="I10" s="42"/>
      <c r="J10" s="43"/>
      <c r="K10" s="44"/>
      <c r="L10" s="196"/>
      <c r="M10" s="20" t="str">
        <f t="shared" si="1"/>
        <v>PONDASI</v>
      </c>
    </row>
    <row r="11" spans="1:13" s="20" customFormat="1" ht="18" customHeight="1" x14ac:dyDescent="0.25">
      <c r="A11" s="1"/>
      <c r="B11" s="34">
        <v>5</v>
      </c>
      <c r="C11" s="45" t="s">
        <v>21</v>
      </c>
      <c r="D11" s="36">
        <f>IFERROR(HLOOKUP($J$1,[1]DB!$C$1:$K$172,11,FALSE),"")</f>
        <v>328</v>
      </c>
      <c r="E11" s="36">
        <f>SUMIFS('[1]Rincian Keluar'!$G:$G,'[1]Rincian Keluar'!$E:$E,SUKABASUKI!C11,'[1]Rincian Keluar'!$D:$D,SUKABASUKI!$D$1,'[1]Rincian Keluar'!$H:$H,SUKABASUKI!$J$1,'[1]Rincian Keluar'!$F:$F,SUKABASUKI!M11)</f>
        <v>0</v>
      </c>
      <c r="F11" s="37">
        <v>11000</v>
      </c>
      <c r="G11" s="38">
        <f t="shared" si="0"/>
        <v>0</v>
      </c>
      <c r="H11" s="42"/>
      <c r="I11" s="42"/>
      <c r="J11" s="43"/>
      <c r="K11" s="44"/>
      <c r="L11" s="196"/>
      <c r="M11" s="20" t="str">
        <f t="shared" si="1"/>
        <v>PONDASI</v>
      </c>
    </row>
    <row r="12" spans="1:13" s="20" customFormat="1" ht="18" customHeight="1" x14ac:dyDescent="0.25">
      <c r="A12" s="1"/>
      <c r="B12" s="34">
        <v>6</v>
      </c>
      <c r="C12" s="45" t="s">
        <v>22</v>
      </c>
      <c r="D12" s="36">
        <f>IFERROR(HLOOKUP($J$1,[1]DB!$C$1:$K$172,12,FALSE),"")</f>
        <v>26</v>
      </c>
      <c r="E12" s="36">
        <f>SUMIFS('[1]Rincian Keluar'!$G:$G,'[1]Rincian Keluar'!$E:$E,SUKABASUKI!C12,'[1]Rincian Keluar'!$D:$D,SUKABASUKI!$D$1,'[1]Rincian Keluar'!$H:$H,SUKABASUKI!$J$1,'[1]Rincian Keluar'!$F:$F,SUKABASUKI!M12)</f>
        <v>0</v>
      </c>
      <c r="F12" s="37">
        <v>150000</v>
      </c>
      <c r="G12" s="38">
        <f t="shared" si="0"/>
        <v>0</v>
      </c>
      <c r="H12" s="42"/>
      <c r="I12" s="42"/>
      <c r="J12" s="43"/>
      <c r="K12" s="44"/>
      <c r="L12" s="196"/>
      <c r="M12" s="20" t="str">
        <f t="shared" si="1"/>
        <v>PONDASI</v>
      </c>
    </row>
    <row r="13" spans="1:13" s="20" customFormat="1" ht="18" customHeight="1" x14ac:dyDescent="0.25">
      <c r="A13" s="1"/>
      <c r="B13" s="34">
        <v>7</v>
      </c>
      <c r="C13" s="45" t="s">
        <v>23</v>
      </c>
      <c r="D13" s="36">
        <f>IFERROR(HLOOKUP($J$1,[1]DB!$C$1:$K$172,13,FALSE),"")</f>
        <v>4</v>
      </c>
      <c r="E13" s="36">
        <f>SUMIFS('[1]Rincian Keluar'!$G:$G,'[1]Rincian Keluar'!$E:$E,SUKABASUKI!C13,'[1]Rincian Keluar'!$D:$D,SUKABASUKI!$D$1,'[1]Rincian Keluar'!$H:$H,SUKABASUKI!$J$1,'[1]Rincian Keluar'!$F:$F,SUKABASUKI!M13)</f>
        <v>0</v>
      </c>
      <c r="F13" s="37">
        <v>500000</v>
      </c>
      <c r="G13" s="38">
        <f t="shared" si="0"/>
        <v>0</v>
      </c>
      <c r="H13" s="42"/>
      <c r="I13" s="42"/>
      <c r="J13" s="43"/>
      <c r="K13" s="44"/>
      <c r="L13" s="196"/>
      <c r="M13" s="20" t="str">
        <f t="shared" si="1"/>
        <v>PONDASI</v>
      </c>
    </row>
    <row r="14" spans="1:13" s="20" customFormat="1" ht="18" customHeight="1" x14ac:dyDescent="0.25">
      <c r="A14" s="1"/>
      <c r="B14" s="34">
        <v>8</v>
      </c>
      <c r="C14" s="45" t="s">
        <v>24</v>
      </c>
      <c r="D14" s="36">
        <f>IFERROR(HLOOKUP($J$1,[1]DB!$C$1:$K$172,14,FALSE),"")</f>
        <v>77</v>
      </c>
      <c r="E14" s="36">
        <f>SUMIFS('[1]Rincian Keluar'!$G:$G,'[1]Rincian Keluar'!$E:$E,SUKABASUKI!C14,'[1]Rincian Keluar'!$D:$D,SUKABASUKI!$D$1,'[1]Rincian Keluar'!$H:$H,SUKABASUKI!$J$1,'[1]Rincian Keluar'!$F:$F,SUKABASUKI!M14)</f>
        <v>0</v>
      </c>
      <c r="F14" s="37">
        <v>60700</v>
      </c>
      <c r="G14" s="38">
        <f t="shared" si="0"/>
        <v>0</v>
      </c>
      <c r="H14" s="47"/>
      <c r="I14" s="47"/>
      <c r="J14" s="48"/>
      <c r="K14" s="49"/>
      <c r="L14" s="196"/>
      <c r="M14" s="20" t="str">
        <f t="shared" si="1"/>
        <v>PONDASI</v>
      </c>
    </row>
    <row r="15" spans="1:13" ht="18" customHeight="1" x14ac:dyDescent="0.25">
      <c r="B15" s="29" t="s">
        <v>25</v>
      </c>
      <c r="C15" s="50" t="s">
        <v>26</v>
      </c>
      <c r="D15" s="31"/>
      <c r="E15" s="31"/>
      <c r="F15" s="31"/>
      <c r="G15" s="31"/>
      <c r="H15" s="31"/>
      <c r="I15" s="32"/>
      <c r="J15" s="31"/>
      <c r="K15" s="33"/>
      <c r="L15" s="66"/>
    </row>
    <row r="16" spans="1:13" ht="18" customHeight="1" x14ac:dyDescent="0.25">
      <c r="B16" s="34">
        <v>1</v>
      </c>
      <c r="C16" s="35" t="s">
        <v>22</v>
      </c>
      <c r="D16" s="36">
        <f>IFERROR(HLOOKUP($J$1,[1]DB!$C$1:$K$172,16,FALSE),"")</f>
        <v>64</v>
      </c>
      <c r="E16" s="36">
        <f>SUMIFS('[1]Rincian Keluar'!$G:$G,'[1]Rincian Keluar'!$E:$E,SUKABASUKI!C16,'[1]Rincian Keluar'!$D:$D,SUKABASUKI!$D$1,'[1]Rincian Keluar'!$H:$H,SUKABASUKI!$J$1,'[1]Rincian Keluar'!$F:$F,SUKABASUKI!M16)</f>
        <v>0</v>
      </c>
      <c r="F16" s="37">
        <v>150000</v>
      </c>
      <c r="G16" s="38">
        <f>E16*F16</f>
        <v>0</v>
      </c>
      <c r="H16" s="51">
        <v>1289600</v>
      </c>
      <c r="I16" s="39">
        <f>IFERROR(VLOOKUP($C15,[1]HK!$B$5:$C$14,2,FALSE),"")*$J1</f>
        <v>1670000</v>
      </c>
      <c r="J16" s="52">
        <f>I16-H16</f>
        <v>380400</v>
      </c>
      <c r="K16" s="41">
        <v>1</v>
      </c>
      <c r="L16" s="66"/>
      <c r="M16" s="20" t="str">
        <f>$C$15</f>
        <v>URUG</v>
      </c>
    </row>
    <row r="17" spans="2:13" ht="18" customHeight="1" x14ac:dyDescent="0.25">
      <c r="B17" s="34">
        <v>2</v>
      </c>
      <c r="C17" s="35" t="s">
        <v>27</v>
      </c>
      <c r="D17" s="36">
        <f>IFERROR(HLOOKUP($J$1,[1]DB!$C$1:$K$172,17,FALSE),"")</f>
        <v>2</v>
      </c>
      <c r="E17" s="36">
        <f>SUMIFS('[1]Rincian Keluar'!$G:$G,'[1]Rincian Keluar'!$E:$E,SUKABASUKI!C17,'[1]Rincian Keluar'!$D:$D,SUKABASUKI!$D$1,'[1]Rincian Keluar'!$H:$H,SUKABASUKI!$J$1,'[1]Rincian Keluar'!$F:$F,SUKABASUKI!M17)</f>
        <v>0</v>
      </c>
      <c r="F17" s="37">
        <v>133500</v>
      </c>
      <c r="G17" s="38">
        <f t="shared" ref="G17:G18" si="2">E17*F17</f>
        <v>0</v>
      </c>
      <c r="H17" s="53"/>
      <c r="I17" s="42"/>
      <c r="J17" s="54"/>
      <c r="K17" s="44"/>
      <c r="L17" s="66"/>
      <c r="M17" s="20" t="str">
        <f t="shared" ref="M17:M18" si="3">$C$15</f>
        <v>URUG</v>
      </c>
    </row>
    <row r="18" spans="2:13" ht="18" customHeight="1" x14ac:dyDescent="0.25">
      <c r="B18" s="34">
        <v>3</v>
      </c>
      <c r="C18" s="35" t="s">
        <v>28</v>
      </c>
      <c r="D18" s="36">
        <f>IFERROR(HLOOKUP($J$1,[1]DB!$C$1:$K$172,18,FALSE),"")</f>
        <v>2</v>
      </c>
      <c r="E18" s="36">
        <f>SUMIFS('[1]Rincian Keluar'!$G:$G,'[1]Rincian Keluar'!$E:$E,SUKABASUKI!C18,'[1]Rincian Keluar'!$D:$D,SUKABASUKI!$D$1,'[1]Rincian Keluar'!$H:$H,SUKABASUKI!$J$1,'[1]Rincian Keluar'!$F:$F,SUKABASUKI!M18)</f>
        <v>0</v>
      </c>
      <c r="F18" s="37">
        <v>48000</v>
      </c>
      <c r="G18" s="38">
        <f t="shared" si="2"/>
        <v>0</v>
      </c>
      <c r="H18" s="55"/>
      <c r="I18" s="47"/>
      <c r="J18" s="56"/>
      <c r="K18" s="49"/>
      <c r="L18" s="66"/>
      <c r="M18" s="20" t="str">
        <f t="shared" si="3"/>
        <v>URUG</v>
      </c>
    </row>
    <row r="19" spans="2:13" ht="18" customHeight="1" x14ac:dyDescent="0.25">
      <c r="B19" s="29" t="s">
        <v>29</v>
      </c>
      <c r="C19" s="50" t="s">
        <v>30</v>
      </c>
      <c r="D19" s="31"/>
      <c r="E19" s="31"/>
      <c r="F19" s="31"/>
      <c r="G19" s="31"/>
      <c r="H19" s="31"/>
      <c r="I19" s="32"/>
      <c r="J19" s="31"/>
      <c r="K19" s="33"/>
      <c r="L19" s="66"/>
    </row>
    <row r="20" spans="2:13" ht="18" customHeight="1" x14ac:dyDescent="0.25">
      <c r="B20" s="34">
        <v>1</v>
      </c>
      <c r="C20" s="35" t="s">
        <v>17</v>
      </c>
      <c r="D20" s="36">
        <f>IFERROR(HLOOKUP($J$1,[1]DB!$C$1:$K$172,20,FALSE),"")</f>
        <v>31</v>
      </c>
      <c r="E20" s="36">
        <f>SUMIFS('[1]Rincian Keluar'!$G:$G,'[1]Rincian Keluar'!$E:$E,SUKABASUKI!C20,'[1]Rincian Keluar'!$D:$D,SUKABASUKI!$D$1,'[1]Rincian Keluar'!$H:$H,SUKABASUKI!$J$1,'[1]Rincian Keluar'!$F:$F,SUKABASUKI!M20)</f>
        <v>44</v>
      </c>
      <c r="F20" s="37">
        <v>22000</v>
      </c>
      <c r="G20" s="38">
        <f>E20*F20</f>
        <v>968000</v>
      </c>
      <c r="H20" s="51">
        <v>1372800</v>
      </c>
      <c r="I20" s="39">
        <f>IFERROR(VLOOKUP($C19,[1]HK!$B$5:$C$14,2,FALSE),"")*$J1</f>
        <v>1000000</v>
      </c>
      <c r="J20" s="164">
        <f>I20-H20</f>
        <v>-372800</v>
      </c>
      <c r="K20" s="41">
        <v>1</v>
      </c>
      <c r="L20" s="66"/>
      <c r="M20" s="20" t="str">
        <f>$C$19</f>
        <v>COR LANTAI</v>
      </c>
    </row>
    <row r="21" spans="2:13" ht="18" customHeight="1" x14ac:dyDescent="0.25">
      <c r="B21" s="34">
        <v>2</v>
      </c>
      <c r="C21" s="35" t="s">
        <v>31</v>
      </c>
      <c r="D21" s="36">
        <f>IFERROR(HLOOKUP($J$1,[1]DB!$C$1:$K$172,21,FALSE),"")</f>
        <v>10</v>
      </c>
      <c r="E21" s="36">
        <f>SUMIFS('[1]Rincian Keluar'!$G:$G,'[1]Rincian Keluar'!$E:$E,SUKABASUKI!C21,'[1]Rincian Keluar'!$D:$D,SUKABASUKI!$D$1,'[1]Rincian Keluar'!$H:$H,SUKABASUKI!$J$1,'[1]Rincian Keluar'!$F:$F,SUKABASUKI!M21)</f>
        <v>10</v>
      </c>
      <c r="F21" s="37">
        <v>150000</v>
      </c>
      <c r="G21" s="38">
        <f t="shared" ref="G21:G23" si="4">E21*F21</f>
        <v>1500000</v>
      </c>
      <c r="H21" s="53"/>
      <c r="I21" s="42"/>
      <c r="J21" s="165"/>
      <c r="K21" s="44"/>
      <c r="L21" s="66"/>
      <c r="M21" s="20" t="str">
        <f t="shared" ref="M21:M23" si="5">$C$19</f>
        <v>COR LANTAI</v>
      </c>
    </row>
    <row r="22" spans="2:13" ht="18" customHeight="1" x14ac:dyDescent="0.25">
      <c r="B22" s="34">
        <v>3</v>
      </c>
      <c r="C22" s="45" t="s">
        <v>24</v>
      </c>
      <c r="D22" s="36">
        <f>IFERROR(HLOOKUP($J$1,[1]DB!$C$1:$K$172,22,FALSE),"")</f>
        <v>28</v>
      </c>
      <c r="E22" s="36">
        <f>SUMIFS('[1]Rincian Keluar'!$G:$G,'[1]Rincian Keluar'!$E:$E,SUKABASUKI!C22,'[1]Rincian Keluar'!$D:$D,SUKABASUKI!$D$1,'[1]Rincian Keluar'!$H:$H,SUKABASUKI!$J$1,'[1]Rincian Keluar'!$F:$F,SUKABASUKI!M22)</f>
        <v>27</v>
      </c>
      <c r="F22" s="37">
        <v>60700</v>
      </c>
      <c r="G22" s="38">
        <f t="shared" si="4"/>
        <v>1638900</v>
      </c>
      <c r="H22" s="53"/>
      <c r="I22" s="42"/>
      <c r="J22" s="165"/>
      <c r="K22" s="44"/>
      <c r="L22" s="66"/>
      <c r="M22" s="20" t="str">
        <f t="shared" si="5"/>
        <v>COR LANTAI</v>
      </c>
    </row>
    <row r="23" spans="2:13" ht="18" customHeight="1" x14ac:dyDescent="0.25">
      <c r="B23" s="34">
        <v>4</v>
      </c>
      <c r="C23" s="35" t="s">
        <v>32</v>
      </c>
      <c r="D23" s="36">
        <f>IFERROR(HLOOKUP($J$1,[1]DB!$C$1:$K$172,23,FALSE),"")</f>
        <v>13</v>
      </c>
      <c r="E23" s="36">
        <f>SUMIFS('[1]Rincian Keluar'!$G:$G,'[1]Rincian Keluar'!$E:$E,SUKABASUKI!C23,'[1]Rincian Keluar'!$D:$D,SUKABASUKI!$D$1,'[1]Rincian Keluar'!$H:$H,SUKABASUKI!$J$1,'[1]Rincian Keluar'!$F:$F,SUKABASUKI!M23)</f>
        <v>13</v>
      </c>
      <c r="F23" s="57">
        <v>15000</v>
      </c>
      <c r="G23" s="38">
        <f t="shared" si="4"/>
        <v>195000</v>
      </c>
      <c r="H23" s="55"/>
      <c r="I23" s="47"/>
      <c r="J23" s="166"/>
      <c r="K23" s="49"/>
      <c r="L23" s="66"/>
      <c r="M23" s="20" t="str">
        <f t="shared" si="5"/>
        <v>COR LANTAI</v>
      </c>
    </row>
    <row r="24" spans="2:13" ht="18" customHeight="1" x14ac:dyDescent="0.25">
      <c r="B24" s="29" t="s">
        <v>33</v>
      </c>
      <c r="C24" s="58" t="s">
        <v>34</v>
      </c>
      <c r="D24" s="31"/>
      <c r="E24" s="31"/>
      <c r="F24" s="31"/>
      <c r="G24" s="31"/>
      <c r="H24" s="31"/>
      <c r="I24" s="32"/>
      <c r="J24" s="31"/>
      <c r="K24" s="33"/>
      <c r="L24" s="66"/>
    </row>
    <row r="25" spans="2:13" ht="18" customHeight="1" x14ac:dyDescent="0.25">
      <c r="B25" s="34">
        <v>1</v>
      </c>
      <c r="C25" s="45" t="s">
        <v>35</v>
      </c>
      <c r="D25" s="36">
        <f>IFERROR(HLOOKUP($J$1,[1]DB!$C$1:$K$172,25,FALSE),"")</f>
        <v>1</v>
      </c>
      <c r="E25" s="36">
        <f>SUMIFS('[1]Rincian Keluar'!$G:$G,'[1]Rincian Keluar'!$E:$E,SUKABASUKI!C25,'[1]Rincian Keluar'!$D:$D,SUKABASUKI!$D$1,'[1]Rincian Keluar'!$H:$H,SUKABASUKI!$J$1,'[1]Rincian Keluar'!$F:$F,SUKABASUKI!M25)</f>
        <v>0</v>
      </c>
      <c r="F25" s="46">
        <v>1550000</v>
      </c>
      <c r="G25" s="59">
        <f>E25*F25</f>
        <v>0</v>
      </c>
      <c r="H25" s="60"/>
      <c r="I25" s="61" t="e">
        <f>IFERROR(VLOOKUP($C24,[1]HK!$B$5:$C$14,2,FALSE),"")*$J1</f>
        <v>#VALUE!</v>
      </c>
      <c r="J25" s="62"/>
      <c r="K25" s="63"/>
      <c r="L25" s="66"/>
      <c r="M25" s="20" t="str">
        <f>$C$24</f>
        <v>PINTU</v>
      </c>
    </row>
    <row r="26" spans="2:13" ht="18" customHeight="1" x14ac:dyDescent="0.25">
      <c r="B26" s="34">
        <v>2</v>
      </c>
      <c r="C26" s="45" t="s">
        <v>36</v>
      </c>
      <c r="D26" s="36">
        <f>IFERROR(HLOOKUP($J$1,[1]DB!$C$1:$K$172,26,FALSE),"")</f>
        <v>3</v>
      </c>
      <c r="E26" s="36">
        <f>SUMIFS('[1]Rincian Keluar'!$G:$G,'[1]Rincian Keluar'!$E:$E,SUKABASUKI!C26,'[1]Rincian Keluar'!$D:$D,SUKABASUKI!$D$1,'[1]Rincian Keluar'!$H:$H,SUKABASUKI!$J$1,'[1]Rincian Keluar'!$F:$F,SUKABASUKI!M26)</f>
        <v>0</v>
      </c>
      <c r="F26" s="46">
        <v>775000</v>
      </c>
      <c r="G26" s="59">
        <f t="shared" ref="G26:G36" si="6">E26*F26</f>
        <v>0</v>
      </c>
      <c r="H26" s="60"/>
      <c r="I26" s="61"/>
      <c r="J26" s="62"/>
      <c r="K26" s="63"/>
      <c r="L26" s="66"/>
      <c r="M26" s="20" t="str">
        <f t="shared" ref="M26:M36" si="7">$C$24</f>
        <v>PINTU</v>
      </c>
    </row>
    <row r="27" spans="2:13" ht="18" customHeight="1" x14ac:dyDescent="0.25">
      <c r="B27" s="34">
        <v>3</v>
      </c>
      <c r="C27" s="45" t="s">
        <v>37</v>
      </c>
      <c r="D27" s="36">
        <f>IFERROR(HLOOKUP($J$1,[1]DB!$C$1:$K$172,27,FALSE),"")</f>
        <v>2</v>
      </c>
      <c r="E27" s="36">
        <f>SUMIFS('[1]Rincian Keluar'!$G:$G,'[1]Rincian Keluar'!$E:$E,SUKABASUKI!C27,'[1]Rincian Keluar'!$D:$D,SUKABASUKI!$D$1,'[1]Rincian Keluar'!$H:$H,SUKABASUKI!$J$1,'[1]Rincian Keluar'!$F:$F,SUKABASUKI!M27)</f>
        <v>0</v>
      </c>
      <c r="F27" s="46">
        <v>260000</v>
      </c>
      <c r="G27" s="59">
        <f t="shared" si="6"/>
        <v>0</v>
      </c>
      <c r="H27" s="60"/>
      <c r="I27" s="61"/>
      <c r="J27" s="62"/>
      <c r="K27" s="63"/>
      <c r="L27" s="66"/>
      <c r="M27" s="20" t="str">
        <f t="shared" si="7"/>
        <v>PINTU</v>
      </c>
    </row>
    <row r="28" spans="2:13" ht="18" customHeight="1" x14ac:dyDescent="0.25">
      <c r="B28" s="34">
        <v>4</v>
      </c>
      <c r="C28" s="45" t="s">
        <v>38</v>
      </c>
      <c r="D28" s="36">
        <f>IFERROR(HLOOKUP($J$1,[1]DB!$C$1:$K$172,28,FALSE),"")</f>
        <v>1</v>
      </c>
      <c r="E28" s="36">
        <f>SUMIFS('[1]Rincian Keluar'!$G:$G,'[1]Rincian Keluar'!$E:$E,SUKABASUKI!C28,'[1]Rincian Keluar'!$D:$D,SUKABASUKI!$D$1,'[1]Rincian Keluar'!$H:$H,SUKABASUKI!$J$1,'[1]Rincian Keluar'!$F:$F,SUKABASUKI!M28)</f>
        <v>0</v>
      </c>
      <c r="F28" s="46">
        <v>799000</v>
      </c>
      <c r="G28" s="59">
        <f t="shared" si="6"/>
        <v>0</v>
      </c>
      <c r="H28" s="60"/>
      <c r="I28" s="61"/>
      <c r="J28" s="62"/>
      <c r="K28" s="63"/>
      <c r="L28" s="66"/>
      <c r="M28" s="20" t="str">
        <f t="shared" si="7"/>
        <v>PINTU</v>
      </c>
    </row>
    <row r="29" spans="2:13" ht="18" customHeight="1" x14ac:dyDescent="0.25">
      <c r="B29" s="34">
        <v>5</v>
      </c>
      <c r="C29" s="45" t="s">
        <v>39</v>
      </c>
      <c r="D29" s="36">
        <f>IFERROR(HLOOKUP($J$1,[1]DB!$C$1:$K$172,29,FALSE),"")</f>
        <v>15</v>
      </c>
      <c r="E29" s="36">
        <f>SUMIFS('[1]Rincian Keluar'!$G:$G,'[1]Rincian Keluar'!$E:$E,SUKABASUKI!C29,'[1]Rincian Keluar'!$D:$D,SUKABASUKI!$D$1,'[1]Rincian Keluar'!$H:$H,SUKABASUKI!$J$1,'[1]Rincian Keluar'!$F:$F,SUKABASUKI!M29)</f>
        <v>0</v>
      </c>
      <c r="F29" s="46">
        <v>15000</v>
      </c>
      <c r="G29" s="59">
        <f t="shared" si="6"/>
        <v>0</v>
      </c>
      <c r="H29" s="60"/>
      <c r="I29" s="61"/>
      <c r="J29" s="62"/>
      <c r="K29" s="63"/>
      <c r="L29" s="66"/>
      <c r="M29" s="20" t="str">
        <f t="shared" si="7"/>
        <v>PINTU</v>
      </c>
    </row>
    <row r="30" spans="2:13" ht="18" customHeight="1" x14ac:dyDescent="0.25">
      <c r="B30" s="34">
        <v>6</v>
      </c>
      <c r="C30" s="45" t="s">
        <v>40</v>
      </c>
      <c r="D30" s="36">
        <f>IFERROR(HLOOKUP($J$1,[1]DB!$C$1:$K$172,30,FALSE),"")</f>
        <v>2</v>
      </c>
      <c r="E30" s="36">
        <f>SUMIFS('[1]Rincian Keluar'!$G:$G,'[1]Rincian Keluar'!$E:$E,SUKABASUKI!C30,'[1]Rincian Keluar'!$D:$D,SUKABASUKI!$D$1,'[1]Rincian Keluar'!$H:$H,SUKABASUKI!$J$1,'[1]Rincian Keluar'!$F:$F,SUKABASUKI!M30)</f>
        <v>0</v>
      </c>
      <c r="F30" s="46">
        <v>100000</v>
      </c>
      <c r="G30" s="59">
        <f t="shared" si="6"/>
        <v>0</v>
      </c>
      <c r="H30" s="60"/>
      <c r="I30" s="61"/>
      <c r="J30" s="62"/>
      <c r="K30" s="63"/>
      <c r="L30" s="66"/>
      <c r="M30" s="20" t="str">
        <f t="shared" si="7"/>
        <v>PINTU</v>
      </c>
    </row>
    <row r="31" spans="2:13" ht="18" customHeight="1" x14ac:dyDescent="0.25">
      <c r="B31" s="34">
        <v>7</v>
      </c>
      <c r="C31" s="45" t="s">
        <v>41</v>
      </c>
      <c r="D31" s="36">
        <f>IFERROR(HLOOKUP($J$1,[1]DB!$C$1:$K$172,31,FALSE),"")</f>
        <v>1</v>
      </c>
      <c r="E31" s="36">
        <f>SUMIFS('[1]Rincian Keluar'!$G:$G,'[1]Rincian Keluar'!$E:$E,SUKABASUKI!C31,'[1]Rincian Keluar'!$D:$D,SUKABASUKI!$D$1,'[1]Rincian Keluar'!$H:$H,SUKABASUKI!$J$1,'[1]Rincian Keluar'!$F:$F,SUKABASUKI!M31)</f>
        <v>0</v>
      </c>
      <c r="F31" s="46">
        <v>60000</v>
      </c>
      <c r="G31" s="59">
        <f t="shared" si="6"/>
        <v>0</v>
      </c>
      <c r="H31" s="60"/>
      <c r="I31" s="61"/>
      <c r="J31" s="62"/>
      <c r="K31" s="63"/>
      <c r="L31" s="66"/>
      <c r="M31" s="20" t="str">
        <f t="shared" si="7"/>
        <v>PINTU</v>
      </c>
    </row>
    <row r="32" spans="2:13" ht="18" customHeight="1" x14ac:dyDescent="0.25">
      <c r="B32" s="34">
        <v>8</v>
      </c>
      <c r="C32" s="45" t="s">
        <v>42</v>
      </c>
      <c r="D32" s="36">
        <f>IFERROR(HLOOKUP($J$1,[1]DB!$C$1:$K$172,32,FALSE),"")</f>
        <v>3</v>
      </c>
      <c r="E32" s="36">
        <f>SUMIFS('[1]Rincian Keluar'!$G:$G,'[1]Rincian Keluar'!$E:$E,SUKABASUKI!C32,'[1]Rincian Keluar'!$D:$D,SUKABASUKI!$D$1,'[1]Rincian Keluar'!$H:$H,SUKABASUKI!$J$1,'[1]Rincian Keluar'!$F:$F,SUKABASUKI!M32)</f>
        <v>0</v>
      </c>
      <c r="F32" s="46">
        <v>65000</v>
      </c>
      <c r="G32" s="59">
        <f t="shared" si="6"/>
        <v>0</v>
      </c>
      <c r="H32" s="60"/>
      <c r="I32" s="61"/>
      <c r="J32" s="62"/>
      <c r="K32" s="63"/>
      <c r="L32" s="66"/>
      <c r="M32" s="20" t="str">
        <f t="shared" si="7"/>
        <v>PINTU</v>
      </c>
    </row>
    <row r="33" spans="1:13" ht="18" customHeight="1" x14ac:dyDescent="0.25">
      <c r="B33" s="34">
        <v>9</v>
      </c>
      <c r="C33" s="35" t="s">
        <v>43</v>
      </c>
      <c r="D33" s="36">
        <f>IFERROR(HLOOKUP($J$1,[1]DB!$C$1:$K$172,33,FALSE),"")</f>
        <v>4</v>
      </c>
      <c r="E33" s="36">
        <f>SUMIFS('[1]Rincian Keluar'!$G:$G,'[1]Rincian Keluar'!$E:$E,SUKABASUKI!C33,'[1]Rincian Keluar'!$D:$D,SUKABASUKI!$D$1,'[1]Rincian Keluar'!$H:$H,SUKABASUKI!$J$1,'[1]Rincian Keluar'!$F:$F,SUKABASUKI!M33)</f>
        <v>0</v>
      </c>
      <c r="F33" s="64">
        <v>83000</v>
      </c>
      <c r="G33" s="59">
        <f t="shared" si="6"/>
        <v>0</v>
      </c>
      <c r="H33" s="60"/>
      <c r="I33" s="61"/>
      <c r="J33" s="62"/>
      <c r="K33" s="63"/>
      <c r="L33" s="66"/>
      <c r="M33" s="20" t="str">
        <f t="shared" si="7"/>
        <v>PINTU</v>
      </c>
    </row>
    <row r="34" spans="1:13" ht="18" customHeight="1" x14ac:dyDescent="0.25">
      <c r="B34" s="34">
        <v>10</v>
      </c>
      <c r="C34" s="35" t="s">
        <v>44</v>
      </c>
      <c r="D34" s="36">
        <f>IFERROR(HLOOKUP($J$1,[1]DB!$C$1:$K$172,34,FALSE),"")</f>
        <v>2</v>
      </c>
      <c r="E34" s="36">
        <f>SUMIFS('[1]Rincian Keluar'!$G:$G,'[1]Rincian Keluar'!$E:$E,SUKABASUKI!C34,'[1]Rincian Keluar'!$D:$D,SUKABASUKI!$D$1,'[1]Rincian Keluar'!$H:$H,SUKABASUKI!$J$1,'[1]Rincian Keluar'!$F:$F,SUKABASUKI!M34)</f>
        <v>0</v>
      </c>
      <c r="F34" s="64">
        <v>23000</v>
      </c>
      <c r="G34" s="59">
        <f t="shared" si="6"/>
        <v>0</v>
      </c>
      <c r="H34" s="60"/>
      <c r="I34" s="61"/>
      <c r="J34" s="62"/>
      <c r="K34" s="63"/>
      <c r="L34" s="66"/>
      <c r="M34" s="20" t="str">
        <f t="shared" si="7"/>
        <v>PINTU</v>
      </c>
    </row>
    <row r="35" spans="1:13" ht="18" customHeight="1" x14ac:dyDescent="0.25">
      <c r="B35" s="34">
        <v>11</v>
      </c>
      <c r="C35" s="35" t="s">
        <v>45</v>
      </c>
      <c r="D35" s="36">
        <f>IFERROR(HLOOKUP($J$1,[1]DB!$C$1:$K$172,35,FALSE),"")</f>
        <v>1</v>
      </c>
      <c r="E35" s="36">
        <f>SUMIFS('[1]Rincian Keluar'!$G:$G,'[1]Rincian Keluar'!$E:$E,SUKABASUKI!C35,'[1]Rincian Keluar'!$D:$D,SUKABASUKI!$D$1,'[1]Rincian Keluar'!$H:$H,SUKABASUKI!$J$1,'[1]Rincian Keluar'!$F:$F,SUKABASUKI!M35)</f>
        <v>0</v>
      </c>
      <c r="F35" s="64">
        <v>17000</v>
      </c>
      <c r="G35" s="59">
        <f t="shared" si="6"/>
        <v>0</v>
      </c>
      <c r="H35" s="60"/>
      <c r="I35" s="61"/>
      <c r="J35" s="62"/>
      <c r="K35" s="63"/>
      <c r="L35" s="66"/>
      <c r="M35" s="20" t="str">
        <f t="shared" si="7"/>
        <v>PINTU</v>
      </c>
    </row>
    <row r="36" spans="1:13" ht="18" customHeight="1" x14ac:dyDescent="0.25">
      <c r="B36" s="34">
        <v>12</v>
      </c>
      <c r="C36" s="35" t="s">
        <v>46</v>
      </c>
      <c r="D36" s="36">
        <f>IFERROR(HLOOKUP($J$1,[1]DB!$C$1:$K$172,36,FALSE),"")</f>
        <v>1</v>
      </c>
      <c r="E36" s="36">
        <f>SUMIFS('[1]Rincian Keluar'!$G:$G,'[1]Rincian Keluar'!$E:$E,SUKABASUKI!C36,'[1]Rincian Keluar'!$D:$D,SUKABASUKI!$D$1,'[1]Rincian Keluar'!$H:$H,SUKABASUKI!$J$1,'[1]Rincian Keluar'!$F:$F,SUKABASUKI!M36)</f>
        <v>0</v>
      </c>
      <c r="F36" s="64">
        <v>11000</v>
      </c>
      <c r="G36" s="59">
        <f t="shared" si="6"/>
        <v>0</v>
      </c>
      <c r="H36" s="60"/>
      <c r="I36" s="61"/>
      <c r="J36" s="62"/>
      <c r="K36" s="63"/>
      <c r="L36" s="66"/>
      <c r="M36" s="20" t="str">
        <f t="shared" si="7"/>
        <v>PINTU</v>
      </c>
    </row>
    <row r="37" spans="1:13" ht="18" customHeight="1" x14ac:dyDescent="0.25">
      <c r="B37" s="29" t="s">
        <v>47</v>
      </c>
      <c r="C37" s="65" t="s">
        <v>48</v>
      </c>
      <c r="D37" s="31"/>
      <c r="E37" s="31"/>
      <c r="F37" s="31"/>
      <c r="G37" s="31"/>
      <c r="H37" s="31"/>
      <c r="I37" s="32"/>
      <c r="J37" s="31"/>
      <c r="K37" s="33"/>
      <c r="M37" s="20"/>
    </row>
    <row r="38" spans="1:13" s="66" customFormat="1" ht="18" customHeight="1" x14ac:dyDescent="0.25">
      <c r="B38" s="34">
        <v>1</v>
      </c>
      <c r="C38" s="45" t="s">
        <v>49</v>
      </c>
      <c r="D38" s="36">
        <f>IFERROR(HLOOKUP($J$1,[1]DB!$C$1:$K$172,38,FALSE),"")</f>
        <v>48</v>
      </c>
      <c r="E38" s="36">
        <f>SUMIFS('[1]Rincian Keluar'!$G:$G,'[1]Rincian Keluar'!$E:$E,SUKABASUKI!C38,'[1]Rincian Keluar'!$D:$D,SUKABASUKI!$D$1,'[1]Rincian Keluar'!$H:$H,SUKABASUKI!$J$1,'[1]Rincian Keluar'!$F:$F,SUKABASUKI!M38)</f>
        <v>18</v>
      </c>
      <c r="F38" s="37">
        <v>11000</v>
      </c>
      <c r="G38" s="67">
        <f>E38*F38</f>
        <v>198000</v>
      </c>
      <c r="H38" s="68">
        <v>6780000</v>
      </c>
      <c r="I38" s="61">
        <f>IFERROR(VLOOKUP($C37,[1]HK!$B$5:$C$14,2,FALSE),"")*$J1</f>
        <v>6950000</v>
      </c>
      <c r="J38" s="69">
        <f>I38-H38</f>
        <v>170000</v>
      </c>
      <c r="K38" s="70">
        <v>1</v>
      </c>
      <c r="M38" s="20" t="str">
        <f>$C$37</f>
        <v>BATA</v>
      </c>
    </row>
    <row r="39" spans="1:13" s="66" customFormat="1" ht="18" customHeight="1" x14ac:dyDescent="0.25">
      <c r="B39" s="34">
        <v>2</v>
      </c>
      <c r="C39" s="45" t="s">
        <v>19</v>
      </c>
      <c r="D39" s="36">
        <f>IFERROR(HLOOKUP($J$1,[1]DB!$C$1:$K$172,39,FALSE),"")</f>
        <v>51</v>
      </c>
      <c r="E39" s="36">
        <f>SUMIFS('[1]Rincian Keluar'!$G:$G,'[1]Rincian Keluar'!$E:$E,SUKABASUKI!C39,'[1]Rincian Keluar'!$D:$D,SUKABASUKI!$D$1,'[1]Rincian Keluar'!$H:$H,SUKABASUKI!$J$1,'[1]Rincian Keluar'!$F:$F,SUKABASUKI!M39)</f>
        <v>18</v>
      </c>
      <c r="F39" s="46">
        <v>11000</v>
      </c>
      <c r="G39" s="67">
        <f t="shared" ref="G39:G59" si="8">E39*F39</f>
        <v>198000</v>
      </c>
      <c r="H39" s="68"/>
      <c r="I39" s="61"/>
      <c r="J39" s="71"/>
      <c r="K39" s="70"/>
      <c r="M39" s="20" t="str">
        <f t="shared" ref="M39:M59" si="9">$C$37</f>
        <v>BATA</v>
      </c>
    </row>
    <row r="40" spans="1:13" ht="18" customHeight="1" x14ac:dyDescent="0.25">
      <c r="B40" s="34">
        <v>3</v>
      </c>
      <c r="C40" s="45" t="s">
        <v>17</v>
      </c>
      <c r="D40" s="36">
        <f>IFERROR(HLOOKUP($J$1,[1]DB!$C$1:$K$172,40,FALSE),"")</f>
        <v>10</v>
      </c>
      <c r="E40" s="36">
        <f>SUMIFS('[1]Rincian Keluar'!$G:$G,'[1]Rincian Keluar'!$E:$E,SUKABASUKI!C40,'[1]Rincian Keluar'!$D:$D,SUKABASUKI!$D$1,'[1]Rincian Keluar'!$H:$H,SUKABASUKI!$J$1,'[1]Rincian Keluar'!$F:$F,SUKABASUKI!M40)</f>
        <v>2</v>
      </c>
      <c r="F40" s="37">
        <v>22000</v>
      </c>
      <c r="G40" s="67">
        <f t="shared" si="8"/>
        <v>44000</v>
      </c>
      <c r="H40" s="68"/>
      <c r="I40" s="61"/>
      <c r="J40" s="71"/>
      <c r="K40" s="70"/>
      <c r="M40" s="20" t="str">
        <f t="shared" si="9"/>
        <v>BATA</v>
      </c>
    </row>
    <row r="41" spans="1:13" ht="18" customHeight="1" x14ac:dyDescent="0.25">
      <c r="B41" s="34">
        <v>4</v>
      </c>
      <c r="C41" s="45" t="s">
        <v>50</v>
      </c>
      <c r="D41" s="36">
        <f>IFERROR(HLOOKUP($J$1,[1]DB!$C$1:$K$172,41,FALSE),"")</f>
        <v>17</v>
      </c>
      <c r="E41" s="36">
        <f>SUMIFS('[1]Rincian Keluar'!$G:$G,'[1]Rincian Keluar'!$E:$E,SUKABASUKI!C41,'[1]Rincian Keluar'!$D:$D,SUKABASUKI!$D$1,'[1]Rincian Keluar'!$H:$H,SUKABASUKI!$J$1,'[1]Rincian Keluar'!$F:$F,SUKABASUKI!M41)</f>
        <v>16</v>
      </c>
      <c r="F41" s="37">
        <v>35000</v>
      </c>
      <c r="G41" s="67">
        <f t="shared" si="8"/>
        <v>560000</v>
      </c>
      <c r="H41" s="68"/>
      <c r="I41" s="61"/>
      <c r="J41" s="71"/>
      <c r="K41" s="70"/>
      <c r="M41" s="20" t="str">
        <f t="shared" si="9"/>
        <v>BATA</v>
      </c>
    </row>
    <row r="42" spans="1:13" ht="18" customHeight="1" x14ac:dyDescent="0.25">
      <c r="B42" s="34">
        <v>5</v>
      </c>
      <c r="C42" s="45" t="s">
        <v>51</v>
      </c>
      <c r="D42" s="36">
        <f>IFERROR(HLOOKUP($J$1,[1]DB!$C$1:$K$172,42,FALSE),"")</f>
        <v>4</v>
      </c>
      <c r="E42" s="36">
        <f>SUMIFS('[1]Rincian Keluar'!$G:$G,'[1]Rincian Keluar'!$E:$E,SUKABASUKI!C42,'[1]Rincian Keluar'!$D:$D,SUKABASUKI!$D$1,'[1]Rincian Keluar'!$H:$H,SUKABASUKI!$J$1,'[1]Rincian Keluar'!$F:$F,SUKABASUKI!M42)</f>
        <v>0</v>
      </c>
      <c r="F42" s="37">
        <f>F40</f>
        <v>22000</v>
      </c>
      <c r="G42" s="67">
        <f t="shared" si="8"/>
        <v>0</v>
      </c>
      <c r="H42" s="68"/>
      <c r="I42" s="61"/>
      <c r="J42" s="71"/>
      <c r="K42" s="70"/>
      <c r="M42" s="20" t="str">
        <f t="shared" si="9"/>
        <v>BATA</v>
      </c>
    </row>
    <row r="43" spans="1:13" ht="18" customHeight="1" x14ac:dyDescent="0.25">
      <c r="B43" s="34">
        <v>6</v>
      </c>
      <c r="C43" s="45" t="s">
        <v>52</v>
      </c>
      <c r="D43" s="36">
        <f>IFERROR(HLOOKUP($J$1,[1]DB!$C$1:$K$172,43,FALSE),"")</f>
        <v>2</v>
      </c>
      <c r="E43" s="36">
        <f>SUMIFS('[1]Rincian Keluar'!$G:$G,'[1]Rincian Keluar'!$E:$E,SUKABASUKI!C43,'[1]Rincian Keluar'!$D:$D,SUKABASUKI!$D$1,'[1]Rincian Keluar'!$H:$H,SUKABASUKI!$J$1,'[1]Rincian Keluar'!$F:$F,SUKABASUKI!M43)</f>
        <v>1</v>
      </c>
      <c r="F43" s="46">
        <v>363250</v>
      </c>
      <c r="G43" s="67">
        <f t="shared" si="8"/>
        <v>363250</v>
      </c>
      <c r="H43" s="68"/>
      <c r="I43" s="61"/>
      <c r="J43" s="71"/>
      <c r="K43" s="70"/>
      <c r="M43" s="20" t="str">
        <f t="shared" si="9"/>
        <v>BATA</v>
      </c>
    </row>
    <row r="44" spans="1:13" ht="18" customHeight="1" x14ac:dyDescent="0.25">
      <c r="B44" s="34">
        <v>7</v>
      </c>
      <c r="C44" s="45" t="s">
        <v>53</v>
      </c>
      <c r="D44" s="36">
        <f>IFERROR(HLOOKUP($J$1,[1]DB!$C$1:$K$172,44,FALSE),"")</f>
        <v>6</v>
      </c>
      <c r="E44" s="36">
        <f>SUMIFS('[1]Rincian Keluar'!$G:$G,'[1]Rincian Keluar'!$E:$E,SUKABASUKI!C44,'[1]Rincian Keluar'!$D:$D,SUKABASUKI!$D$1,'[1]Rincian Keluar'!$H:$H,SUKABASUKI!$J$1,'[1]Rincian Keluar'!$F:$F,SUKABASUKI!M44)</f>
        <v>3</v>
      </c>
      <c r="F44" s="46">
        <v>337050</v>
      </c>
      <c r="G44" s="67">
        <f t="shared" si="8"/>
        <v>1011150</v>
      </c>
      <c r="H44" s="68"/>
      <c r="I44" s="61"/>
      <c r="J44" s="71"/>
      <c r="K44" s="70"/>
      <c r="M44" s="20" t="str">
        <f t="shared" si="9"/>
        <v>BATA</v>
      </c>
    </row>
    <row r="45" spans="1:13" ht="18" customHeight="1" x14ac:dyDescent="0.25">
      <c r="B45" s="34">
        <v>8</v>
      </c>
      <c r="C45" s="72" t="s">
        <v>54</v>
      </c>
      <c r="D45" s="36">
        <f>IFERROR(HLOOKUP($J$1,[1]DB!$C$1:$K$172,45,FALSE),"")</f>
        <v>4659</v>
      </c>
      <c r="E45" s="36">
        <f>SUMIFS('[1]Rincian Keluar'!$G:$G,'[1]Rincian Keluar'!$E:$E,SUKABASUKI!C45,'[1]Rincian Keluar'!$D:$D,SUKABASUKI!$D$1,'[1]Rincian Keluar'!$H:$H,SUKABASUKI!$J$1,'[1]Rincian Keluar'!$F:$F,SUKABASUKI!M45)</f>
        <v>4177</v>
      </c>
      <c r="F45" s="37">
        <v>1850</v>
      </c>
      <c r="G45" s="67">
        <f t="shared" si="8"/>
        <v>7727450</v>
      </c>
      <c r="H45" s="68"/>
      <c r="I45" s="61"/>
      <c r="J45" s="71"/>
      <c r="K45" s="70"/>
      <c r="M45" s="20" t="str">
        <f t="shared" si="9"/>
        <v>BATA</v>
      </c>
    </row>
    <row r="46" spans="1:13" ht="18" customHeight="1" x14ac:dyDescent="0.25">
      <c r="B46" s="34">
        <v>9</v>
      </c>
      <c r="C46" s="45" t="s">
        <v>24</v>
      </c>
      <c r="D46" s="36">
        <f>IFERROR(HLOOKUP($J$1,[1]DB!$C$1:$K$172,46,FALSE),"")</f>
        <v>39</v>
      </c>
      <c r="E46" s="36">
        <f>SUMIFS('[1]Rincian Keluar'!$G:$G,'[1]Rincian Keluar'!$E:$E,SUKABASUKI!C46,'[1]Rincian Keluar'!$D:$D,SUKABASUKI!$D$1,'[1]Rincian Keluar'!$H:$H,SUKABASUKI!$J$1,'[1]Rincian Keluar'!$F:$F,SUKABASUKI!M46)</f>
        <v>33</v>
      </c>
      <c r="F46" s="37">
        <v>60700</v>
      </c>
      <c r="G46" s="67">
        <f t="shared" si="8"/>
        <v>2003100</v>
      </c>
      <c r="H46" s="68"/>
      <c r="I46" s="61"/>
      <c r="J46" s="71"/>
      <c r="K46" s="70"/>
      <c r="M46" s="20" t="str">
        <f t="shared" si="9"/>
        <v>BATA</v>
      </c>
    </row>
    <row r="47" spans="1:13" ht="18" customHeight="1" x14ac:dyDescent="0.25">
      <c r="B47" s="34">
        <v>10</v>
      </c>
      <c r="C47" s="72" t="s">
        <v>31</v>
      </c>
      <c r="D47" s="36">
        <f>IFERROR(HLOOKUP($J$1,[1]DB!$C$1:$K$172,47,FALSE),"")</f>
        <v>10</v>
      </c>
      <c r="E47" s="36">
        <f>SUMIFS('[1]Rincian Keluar'!$G:$G,'[1]Rincian Keluar'!$E:$E,SUKABASUKI!C47,'[1]Rincian Keluar'!$D:$D,SUKABASUKI!$D$1,'[1]Rincian Keluar'!$H:$H,SUKABASUKI!$J$1,'[1]Rincian Keluar'!$F:$F,SUKABASUKI!M47)</f>
        <v>7</v>
      </c>
      <c r="F47" s="37">
        <v>150000</v>
      </c>
      <c r="G47" s="67">
        <f t="shared" si="8"/>
        <v>1050000</v>
      </c>
      <c r="H47" s="68"/>
      <c r="I47" s="61"/>
      <c r="J47" s="71"/>
      <c r="K47" s="70"/>
      <c r="M47" s="20" t="str">
        <f t="shared" si="9"/>
        <v>BATA</v>
      </c>
    </row>
    <row r="48" spans="1:13" s="20" customFormat="1" ht="18" customHeight="1" x14ac:dyDescent="0.25">
      <c r="A48" s="1"/>
      <c r="B48" s="34">
        <v>11</v>
      </c>
      <c r="C48" s="72" t="s">
        <v>17</v>
      </c>
      <c r="D48" s="36">
        <f>IFERROR(HLOOKUP($J$1,[1]DB!$C$1:$K$172,48,FALSE),"")</f>
        <v>10</v>
      </c>
      <c r="E48" s="36">
        <f>SUMIFS('[1]Rincian Keluar'!$G:$G,'[1]Rincian Keluar'!$E:$E,SUKABASUKI!C48,'[1]Rincian Keluar'!$D:$D,SUKABASUKI!$D$1,'[1]Rincian Keluar'!$H:$H,SUKABASUKI!$J$1,'[1]Rincian Keluar'!$F:$F,SUKABASUKI!M48)</f>
        <v>2</v>
      </c>
      <c r="F48" s="64">
        <f>F7</f>
        <v>21500</v>
      </c>
      <c r="G48" s="67">
        <f t="shared" si="8"/>
        <v>43000</v>
      </c>
      <c r="H48" s="68"/>
      <c r="I48" s="61"/>
      <c r="J48" s="71"/>
      <c r="K48" s="70"/>
      <c r="M48" s="20" t="str">
        <f t="shared" si="9"/>
        <v>BATA</v>
      </c>
    </row>
    <row r="49" spans="1:15" s="20" customFormat="1" ht="18" customHeight="1" x14ac:dyDescent="0.25">
      <c r="A49" s="1"/>
      <c r="B49" s="29" t="s">
        <v>55</v>
      </c>
      <c r="C49" s="65" t="s">
        <v>56</v>
      </c>
      <c r="D49" s="73"/>
      <c r="E49" s="73"/>
      <c r="F49" s="73"/>
      <c r="G49" s="74"/>
      <c r="H49" s="68"/>
      <c r="I49" s="61"/>
      <c r="J49" s="71"/>
      <c r="K49" s="70"/>
      <c r="M49" s="20" t="str">
        <f t="shared" si="9"/>
        <v>BATA</v>
      </c>
    </row>
    <row r="50" spans="1:15" s="20" customFormat="1" ht="18" customHeight="1" x14ac:dyDescent="0.25">
      <c r="A50" s="1"/>
      <c r="B50" s="34">
        <v>1</v>
      </c>
      <c r="C50" s="45" t="s">
        <v>24</v>
      </c>
      <c r="D50" s="36">
        <f>IFERROR(HLOOKUP($J$1,[1]DB!$C$1:$K$172,50,FALSE),"")</f>
        <v>10</v>
      </c>
      <c r="E50" s="36">
        <f>SUMIFS('[1]Rincian Keluar'!$G:$G,'[1]Rincian Keluar'!$E:$E,SUKABASUKI!C50,'[1]Rincian Keluar'!$D:$D,SUKABASUKI!$D$1,'[1]Rincian Keluar'!$H:$H,SUKABASUKI!$J$1,'[1]Rincian Keluar'!$F:$F,SUKABASUKI!M50)</f>
        <v>33</v>
      </c>
      <c r="F50" s="37">
        <v>60700</v>
      </c>
      <c r="G50" s="67">
        <f t="shared" si="8"/>
        <v>2003100</v>
      </c>
      <c r="H50" s="68"/>
      <c r="I50" s="61"/>
      <c r="J50" s="71"/>
      <c r="K50" s="70"/>
      <c r="M50" s="20" t="str">
        <f t="shared" si="9"/>
        <v>BATA</v>
      </c>
    </row>
    <row r="51" spans="1:15" s="20" customFormat="1" ht="18" customHeight="1" x14ac:dyDescent="0.25">
      <c r="A51" s="1"/>
      <c r="B51" s="34">
        <v>2</v>
      </c>
      <c r="C51" s="72" t="s">
        <v>31</v>
      </c>
      <c r="D51" s="36">
        <f>IFERROR(HLOOKUP($J$1,[1]DB!$C$1:$K$172,51,FALSE),"")</f>
        <v>2</v>
      </c>
      <c r="E51" s="36">
        <f>SUMIFS('[1]Rincian Keluar'!$G:$G,'[1]Rincian Keluar'!$E:$E,SUKABASUKI!C51,'[1]Rincian Keluar'!$D:$D,SUKABASUKI!$D$1,'[1]Rincian Keluar'!$H:$H,SUKABASUKI!$J$1,'[1]Rincian Keluar'!$F:$F,SUKABASUKI!M51)</f>
        <v>7</v>
      </c>
      <c r="F51" s="37">
        <v>150000</v>
      </c>
      <c r="G51" s="67">
        <f t="shared" si="8"/>
        <v>1050000</v>
      </c>
      <c r="H51" s="68"/>
      <c r="I51" s="61"/>
      <c r="J51" s="71"/>
      <c r="K51" s="70"/>
      <c r="M51" s="20" t="str">
        <f t="shared" si="9"/>
        <v>BATA</v>
      </c>
    </row>
    <row r="52" spans="1:15" s="20" customFormat="1" ht="18" customHeight="1" x14ac:dyDescent="0.25">
      <c r="A52" s="1"/>
      <c r="B52" s="34">
        <v>3</v>
      </c>
      <c r="C52" s="72" t="s">
        <v>23</v>
      </c>
      <c r="D52" s="36">
        <f>IFERROR(HLOOKUP($J$1,[1]DB!$C$1:$K$172,52,FALSE),"")</f>
        <v>4</v>
      </c>
      <c r="E52" s="36">
        <f>SUMIFS('[1]Rincian Keluar'!$G:$G,'[1]Rincian Keluar'!$E:$E,SUKABASUKI!C52,'[1]Rincian Keluar'!$D:$D,SUKABASUKI!$D$1,'[1]Rincian Keluar'!$H:$H,SUKABASUKI!$J$1,'[1]Rincian Keluar'!$F:$F,SUKABASUKI!M52)</f>
        <v>0</v>
      </c>
      <c r="F52" s="37"/>
      <c r="G52" s="67">
        <f t="shared" si="8"/>
        <v>0</v>
      </c>
      <c r="H52" s="68"/>
      <c r="I52" s="61"/>
      <c r="J52" s="71"/>
      <c r="K52" s="70"/>
      <c r="M52" s="20" t="str">
        <f t="shared" si="9"/>
        <v>BATA</v>
      </c>
    </row>
    <row r="53" spans="1:15" s="20" customFormat="1" ht="18" customHeight="1" x14ac:dyDescent="0.25">
      <c r="A53" s="1"/>
      <c r="B53" s="34">
        <v>4</v>
      </c>
      <c r="C53" s="45" t="s">
        <v>51</v>
      </c>
      <c r="D53" s="36">
        <f>IFERROR(HLOOKUP($J$1,[1]DB!$C$1:$K$172,53,FALSE),"")</f>
        <v>6</v>
      </c>
      <c r="E53" s="36">
        <f>SUMIFS('[1]Rincian Keluar'!$G:$G,'[1]Rincian Keluar'!$E:$E,SUKABASUKI!C53,'[1]Rincian Keluar'!$D:$D,SUKABASUKI!$D$1,'[1]Rincian Keluar'!$H:$H,SUKABASUKI!$J$1,'[1]Rincian Keluar'!$F:$F,SUKABASUKI!M53)</f>
        <v>0</v>
      </c>
      <c r="F53" s="37">
        <v>22000</v>
      </c>
      <c r="G53" s="67">
        <f t="shared" si="8"/>
        <v>0</v>
      </c>
      <c r="H53" s="68"/>
      <c r="I53" s="61"/>
      <c r="J53" s="71"/>
      <c r="K53" s="70"/>
      <c r="M53" s="20" t="str">
        <f t="shared" si="9"/>
        <v>BATA</v>
      </c>
    </row>
    <row r="54" spans="1:15" s="20" customFormat="1" ht="18" customHeight="1" x14ac:dyDescent="0.25">
      <c r="A54" s="1"/>
      <c r="B54" s="34">
        <v>5</v>
      </c>
      <c r="C54" s="45" t="s">
        <v>57</v>
      </c>
      <c r="D54" s="36">
        <f>IFERROR(HLOOKUP($J$1,[1]DB!$C$1:$K$172,54,FALSE),"")</f>
        <v>8</v>
      </c>
      <c r="E54" s="36">
        <f>SUMIFS('[1]Rincian Keluar'!$G:$G,'[1]Rincian Keluar'!$E:$E,SUKABASUKI!C54,'[1]Rincian Keluar'!$D:$D,SUKABASUKI!$D$1,'[1]Rincian Keluar'!$H:$H,SUKABASUKI!$J$1,'[1]Rincian Keluar'!$F:$F,SUKABASUKI!M54)</f>
        <v>0</v>
      </c>
      <c r="F54" s="37">
        <v>35000</v>
      </c>
      <c r="G54" s="67">
        <f t="shared" si="8"/>
        <v>0</v>
      </c>
      <c r="H54" s="68"/>
      <c r="I54" s="61"/>
      <c r="J54" s="71"/>
      <c r="K54" s="70"/>
      <c r="M54" s="20" t="str">
        <f t="shared" si="9"/>
        <v>BATA</v>
      </c>
    </row>
    <row r="55" spans="1:15" s="20" customFormat="1" ht="18" customHeight="1" x14ac:dyDescent="0.25">
      <c r="A55" s="1"/>
      <c r="B55" s="34">
        <v>6</v>
      </c>
      <c r="C55" s="45" t="s">
        <v>58</v>
      </c>
      <c r="D55" s="36">
        <f>IFERROR(HLOOKUP($J$1,[1]DB!$C$1:$K$172,55,FALSE),"")</f>
        <v>2</v>
      </c>
      <c r="E55" s="36">
        <f>SUMIFS('[1]Rincian Keluar'!$G:$G,'[1]Rincian Keluar'!$E:$E,SUKABASUKI!C55,'[1]Rincian Keluar'!$D:$D,SUKABASUKI!$D$1,'[1]Rincian Keluar'!$H:$H,SUKABASUKI!$J$1,'[1]Rincian Keluar'!$F:$F,SUKABASUKI!M55)</f>
        <v>0</v>
      </c>
      <c r="F55" s="37">
        <v>130000</v>
      </c>
      <c r="G55" s="67">
        <f t="shared" si="8"/>
        <v>0</v>
      </c>
      <c r="H55" s="68"/>
      <c r="I55" s="61"/>
      <c r="J55" s="71"/>
      <c r="K55" s="70"/>
      <c r="M55" s="20" t="str">
        <f t="shared" si="9"/>
        <v>BATA</v>
      </c>
    </row>
    <row r="56" spans="1:15" s="20" customFormat="1" ht="18" customHeight="1" x14ac:dyDescent="0.25">
      <c r="A56" s="1"/>
      <c r="B56" s="34">
        <v>7</v>
      </c>
      <c r="C56" s="45" t="s">
        <v>19</v>
      </c>
      <c r="D56" s="36">
        <f>IFERROR(HLOOKUP($J$1,[1]DB!$C$1:$K$172,56,FALSE),"")</f>
        <v>40</v>
      </c>
      <c r="E56" s="36">
        <f>SUMIFS('[1]Rincian Keluar'!$G:$G,'[1]Rincian Keluar'!$E:$E,SUKABASUKI!C56,'[1]Rincian Keluar'!$D:$D,SUKABASUKI!$D$1,'[1]Rincian Keluar'!$H:$H,SUKABASUKI!$J$1,'[1]Rincian Keluar'!$F:$F,SUKABASUKI!M56)</f>
        <v>18</v>
      </c>
      <c r="F56" s="46">
        <v>11000</v>
      </c>
      <c r="G56" s="67">
        <f t="shared" si="8"/>
        <v>198000</v>
      </c>
      <c r="H56" s="68"/>
      <c r="I56" s="61"/>
      <c r="J56" s="71"/>
      <c r="K56" s="70"/>
      <c r="M56" s="20" t="str">
        <f t="shared" si="9"/>
        <v>BATA</v>
      </c>
    </row>
    <row r="57" spans="1:15" s="20" customFormat="1" ht="18" customHeight="1" x14ac:dyDescent="0.25">
      <c r="A57" s="1"/>
      <c r="B57" s="34">
        <v>8</v>
      </c>
      <c r="C57" s="45" t="s">
        <v>54</v>
      </c>
      <c r="D57" s="36">
        <f>IFERROR(HLOOKUP($J$1,[1]DB!$C$1:$K$172,57,FALSE),"")</f>
        <v>148</v>
      </c>
      <c r="E57" s="36">
        <f>SUMIFS('[1]Rincian Keluar'!$G:$G,'[1]Rincian Keluar'!$E:$E,SUKABASUKI!C57,'[1]Rincian Keluar'!$D:$D,SUKABASUKI!$D$1,'[1]Rincian Keluar'!$H:$H,SUKABASUKI!$J$1,'[1]Rincian Keluar'!$F:$F,SUKABASUKI!M57)</f>
        <v>4177</v>
      </c>
      <c r="F57" s="37">
        <v>1850</v>
      </c>
      <c r="G57" s="67">
        <f t="shared" si="8"/>
        <v>7727450</v>
      </c>
      <c r="H57" s="68"/>
      <c r="I57" s="61"/>
      <c r="J57" s="71"/>
      <c r="K57" s="70"/>
      <c r="M57" s="20" t="str">
        <f t="shared" si="9"/>
        <v>BATA</v>
      </c>
    </row>
    <row r="58" spans="1:15" s="20" customFormat="1" ht="18" customHeight="1" x14ac:dyDescent="0.25">
      <c r="A58" s="1"/>
      <c r="B58" s="34">
        <v>9</v>
      </c>
      <c r="C58" s="45" t="s">
        <v>20</v>
      </c>
      <c r="D58" s="36">
        <f>IFERROR(HLOOKUP($J$1,[1]DB!$C$1:$K$172,58,FALSE),"")</f>
        <v>15</v>
      </c>
      <c r="E58" s="36">
        <f>SUMIFS('[1]Rincian Keluar'!$G:$G,'[1]Rincian Keluar'!$E:$E,SUKABASUKI!C58,'[1]Rincian Keluar'!$D:$D,SUKABASUKI!$D$1,'[1]Rincian Keluar'!$H:$H,SUKABASUKI!$J$1,'[1]Rincian Keluar'!$F:$F,SUKABASUKI!M58)</f>
        <v>0</v>
      </c>
      <c r="F58" s="37">
        <v>8000</v>
      </c>
      <c r="G58" s="67">
        <f t="shared" si="8"/>
        <v>0</v>
      </c>
      <c r="H58" s="68"/>
      <c r="I58" s="61"/>
      <c r="J58" s="71"/>
      <c r="K58" s="70"/>
      <c r="M58" s="20" t="str">
        <f t="shared" si="9"/>
        <v>BATA</v>
      </c>
    </row>
    <row r="59" spans="1:15" s="20" customFormat="1" ht="18" customHeight="1" x14ac:dyDescent="0.25">
      <c r="A59" s="1"/>
      <c r="B59" s="34">
        <v>10</v>
      </c>
      <c r="C59" s="45" t="s">
        <v>21</v>
      </c>
      <c r="D59" s="36">
        <f>IFERROR(HLOOKUP($J$1,[1]DB!$C$1:$K$172,59,FALSE),"")</f>
        <v>13</v>
      </c>
      <c r="E59" s="36">
        <f>SUMIFS('[1]Rincian Keluar'!$G:$G,'[1]Rincian Keluar'!$E:$E,SUKABASUKI!C59,'[1]Rincian Keluar'!$D:$D,SUKABASUKI!$D$1,'[1]Rincian Keluar'!$H:$H,SUKABASUKI!$J$1,'[1]Rincian Keluar'!$F:$F,SUKABASUKI!M59)</f>
        <v>0</v>
      </c>
      <c r="F59" s="37">
        <v>11000</v>
      </c>
      <c r="G59" s="67">
        <f t="shared" si="8"/>
        <v>0</v>
      </c>
      <c r="H59" s="68"/>
      <c r="I59" s="61"/>
      <c r="J59" s="71"/>
      <c r="K59" s="70"/>
      <c r="M59" s="20" t="str">
        <f t="shared" si="9"/>
        <v>BATA</v>
      </c>
    </row>
    <row r="60" spans="1:15" s="20" customFormat="1" ht="18" customHeight="1" x14ac:dyDescent="0.25">
      <c r="A60" s="1"/>
      <c r="B60" s="29" t="s">
        <v>59</v>
      </c>
      <c r="C60" s="65" t="s">
        <v>60</v>
      </c>
      <c r="D60" s="31"/>
      <c r="E60" s="31"/>
      <c r="F60" s="31"/>
      <c r="G60" s="31"/>
      <c r="H60" s="31"/>
      <c r="I60" s="32"/>
      <c r="J60" s="31"/>
      <c r="K60" s="33"/>
    </row>
    <row r="61" spans="1:15" s="20" customFormat="1" ht="18" customHeight="1" x14ac:dyDescent="0.25">
      <c r="A61" s="1"/>
      <c r="B61" s="34">
        <v>1</v>
      </c>
      <c r="C61" s="45" t="s">
        <v>24</v>
      </c>
      <c r="D61" s="36">
        <f>IFERROR(HLOOKUP($J$1,[1]DB!$C$1:$K$172,61,FALSE),"")</f>
        <v>70</v>
      </c>
      <c r="E61" s="36">
        <f>SUMIFS('[1]Rincian Keluar'!$G:$G,'[1]Rincian Keluar'!$E:$E,SUKABASUKI!C61,'[1]Rincian Keluar'!$D:$D,SUKABASUKI!$D$1,'[1]Rincian Keluar'!$H:$H,SUKABASUKI!$J$1,'[1]Rincian Keluar'!$F:$F,SUKABASUKI!M61)</f>
        <v>68</v>
      </c>
      <c r="F61" s="37">
        <v>60700</v>
      </c>
      <c r="G61" s="75">
        <f>E61*F61</f>
        <v>4127600</v>
      </c>
      <c r="H61" s="51">
        <v>6324000</v>
      </c>
      <c r="I61" s="76">
        <f>IFERROR(VLOOKUP($C60,[1]HK!$B$5:$C$14,2,FALSE),"")*$J1</f>
        <v>6250000</v>
      </c>
      <c r="J61" s="77">
        <f>I61-H61</f>
        <v>-74000</v>
      </c>
      <c r="K61" s="41">
        <v>1</v>
      </c>
      <c r="M61" s="20" t="str">
        <f>$C$60</f>
        <v>PLASTER</v>
      </c>
      <c r="O61" s="20" t="s">
        <v>61</v>
      </c>
    </row>
    <row r="62" spans="1:15" s="20" customFormat="1" ht="18" customHeight="1" x14ac:dyDescent="0.25">
      <c r="A62" s="1"/>
      <c r="B62" s="34">
        <v>2</v>
      </c>
      <c r="C62" s="72" t="s">
        <v>31</v>
      </c>
      <c r="D62" s="36">
        <f>IFERROR(HLOOKUP($J$1,[1]DB!$C$1:$K$172,62,FALSE),"")</f>
        <v>15</v>
      </c>
      <c r="E62" s="36">
        <f>SUMIFS('[1]Rincian Keluar'!$G:$G,'[1]Rincian Keluar'!$E:$E,SUKABASUKI!C62,'[1]Rincian Keluar'!$D:$D,SUKABASUKI!$D$1,'[1]Rincian Keluar'!$H:$H,SUKABASUKI!$J$1,'[1]Rincian Keluar'!$F:$F,SUKABASUKI!M62)</f>
        <v>8</v>
      </c>
      <c r="F62" s="37">
        <v>150000</v>
      </c>
      <c r="G62" s="75">
        <f t="shared" ref="G62:G63" si="10">E62*F62</f>
        <v>1200000</v>
      </c>
      <c r="H62" s="53"/>
      <c r="I62" s="78"/>
      <c r="J62" s="79"/>
      <c r="K62" s="44"/>
      <c r="M62" s="20" t="str">
        <f t="shared" ref="M62:M63" si="11">$C$60</f>
        <v>PLASTER</v>
      </c>
    </row>
    <row r="63" spans="1:15" ht="18" customHeight="1" x14ac:dyDescent="0.25">
      <c r="B63" s="34">
        <v>3</v>
      </c>
      <c r="C63" s="72" t="s">
        <v>62</v>
      </c>
      <c r="D63" s="36">
        <f>IFERROR(HLOOKUP($J$1,[1]DB!$C$1:$K$172,63,FALSE),"")</f>
        <v>13</v>
      </c>
      <c r="E63" s="36">
        <f>SUMIFS('[1]Rincian Keluar'!$G:$G,'[1]Rincian Keluar'!$E:$E,SUKABASUKI!C63,'[1]Rincian Keluar'!$D:$D,SUKABASUKI!$D$1,'[1]Rincian Keluar'!$H:$H,SUKABASUKI!$J$1,'[1]Rincian Keluar'!$F:$F,SUKABASUKI!M63)</f>
        <v>5</v>
      </c>
      <c r="F63" s="57">
        <v>8600</v>
      </c>
      <c r="G63" s="75">
        <f t="shared" si="10"/>
        <v>43000</v>
      </c>
      <c r="H63" s="55"/>
      <c r="I63" s="80"/>
      <c r="J63" s="81"/>
      <c r="K63" s="49"/>
      <c r="M63" s="20" t="str">
        <f t="shared" si="11"/>
        <v>PLASTER</v>
      </c>
    </row>
    <row r="64" spans="1:15" ht="18" customHeight="1" x14ac:dyDescent="0.25">
      <c r="B64" s="91" t="s">
        <v>63</v>
      </c>
      <c r="C64" s="92" t="s">
        <v>64</v>
      </c>
      <c r="D64" s="93"/>
      <c r="E64" s="93"/>
      <c r="F64" s="93"/>
      <c r="G64" s="93"/>
      <c r="H64" s="93"/>
      <c r="I64" s="94"/>
      <c r="J64" s="93"/>
      <c r="K64" s="95"/>
      <c r="M64" s="20"/>
    </row>
    <row r="65" spans="1:13" ht="18" customHeight="1" x14ac:dyDescent="0.25">
      <c r="B65" s="34">
        <v>1</v>
      </c>
      <c r="C65" s="45" t="s">
        <v>19</v>
      </c>
      <c r="D65" s="36">
        <f>IFERROR(HLOOKUP($J$1,[1]DB!$C$1:$K$172,65,FALSE),"")</f>
        <v>120</v>
      </c>
      <c r="E65" s="36">
        <f>SUMIFS('[1]Rincian Keluar'!$G:$G,'[1]Rincian Keluar'!$E:$E,SUKABASUKI!C65,'[1]Rincian Keluar'!$D:$D,SUKABASUKI!$D$1,'[1]Rincian Keluar'!$H:$H,SUKABASUKI!$J$1,'[1]Rincian Keluar'!$F:$F,SUKABASUKI!M65)</f>
        <v>150</v>
      </c>
      <c r="F65" s="46">
        <v>11000</v>
      </c>
      <c r="G65" s="82">
        <f>E65*F65</f>
        <v>1650000</v>
      </c>
      <c r="H65" s="51">
        <v>3647500</v>
      </c>
      <c r="I65" s="39">
        <f>IFERROR(VLOOKUP($C64,[1]HK!$B$5:$C$14,2,FALSE),"")*$J1</f>
        <v>3340000</v>
      </c>
      <c r="J65" s="83">
        <f>I65-H65</f>
        <v>-307500</v>
      </c>
      <c r="K65" s="84">
        <v>1</v>
      </c>
      <c r="M65" s="20" t="str">
        <f>$C$64</f>
        <v>ATAP</v>
      </c>
    </row>
    <row r="66" spans="1:13" ht="18" customHeight="1" x14ac:dyDescent="0.25">
      <c r="B66" s="34">
        <v>2</v>
      </c>
      <c r="C66" s="45" t="s">
        <v>65</v>
      </c>
      <c r="D66" s="36">
        <f>IFERROR(HLOOKUP($J$1,[1]DB!$C$1:$K$172,66,FALSE),"")</f>
        <v>80</v>
      </c>
      <c r="E66" s="36">
        <f>SUMIFS('[1]Rincian Keluar'!$G:$G,'[1]Rincian Keluar'!$E:$E,SUKABASUKI!C66,'[1]Rincian Keluar'!$D:$D,SUKABASUKI!$D$1,'[1]Rincian Keluar'!$H:$H,SUKABASUKI!$J$1,'[1]Rincian Keluar'!$F:$F,SUKABASUKI!M66)</f>
        <v>190</v>
      </c>
      <c r="F66" s="85">
        <v>15000</v>
      </c>
      <c r="G66" s="82">
        <f t="shared" ref="G66:G74" si="12">E66*F66</f>
        <v>2850000</v>
      </c>
      <c r="H66" s="53"/>
      <c r="I66" s="42"/>
      <c r="J66" s="86"/>
      <c r="K66" s="87"/>
      <c r="M66" s="20" t="str">
        <f t="shared" ref="M66:M74" si="13">$C$64</f>
        <v>ATAP</v>
      </c>
    </row>
    <row r="67" spans="1:13" ht="18" customHeight="1" x14ac:dyDescent="0.25">
      <c r="B67" s="34">
        <v>3</v>
      </c>
      <c r="C67" s="45" t="s">
        <v>66</v>
      </c>
      <c r="D67" s="36">
        <f>IFERROR(HLOOKUP($J$1,[1]DB!$C$1:$K$172,67,FALSE),"")</f>
        <v>59</v>
      </c>
      <c r="E67" s="36">
        <f>SUMIFS('[1]Rincian Keluar'!$G:$G,'[1]Rincian Keluar'!$E:$E,SUKABASUKI!C67,'[1]Rincian Keluar'!$D:$D,SUKABASUKI!$D$1,'[1]Rincian Keluar'!$H:$H,SUKABASUKI!$J$1,'[1]Rincian Keluar'!$F:$F,SUKABASUKI!M67)</f>
        <v>70</v>
      </c>
      <c r="F67" s="85">
        <v>30000</v>
      </c>
      <c r="G67" s="82">
        <f t="shared" si="12"/>
        <v>2100000</v>
      </c>
      <c r="H67" s="53"/>
      <c r="I67" s="42"/>
      <c r="J67" s="86"/>
      <c r="K67" s="87"/>
      <c r="M67" s="20" t="str">
        <f t="shared" si="13"/>
        <v>ATAP</v>
      </c>
    </row>
    <row r="68" spans="1:13" ht="18" customHeight="1" x14ac:dyDescent="0.25">
      <c r="B68" s="34">
        <v>4</v>
      </c>
      <c r="C68" s="35" t="s">
        <v>67</v>
      </c>
      <c r="D68" s="36">
        <f>IFERROR(HLOOKUP($J$1,[1]DB!$C$1:$K$172,68,FALSE),"")</f>
        <v>19</v>
      </c>
      <c r="E68" s="36">
        <f>SUMIFS('[1]Rincian Keluar'!$G:$G,'[1]Rincian Keluar'!$E:$E,SUKABASUKI!C68,'[1]Rincian Keluar'!$D:$D,SUKABASUKI!$D$1,'[1]Rincian Keluar'!$H:$H,SUKABASUKI!$J$1,'[1]Rincian Keluar'!$F:$F,SUKABASUKI!M68)</f>
        <v>14</v>
      </c>
      <c r="F68" s="88">
        <v>60000</v>
      </c>
      <c r="G68" s="82">
        <f t="shared" si="12"/>
        <v>840000</v>
      </c>
      <c r="H68" s="53"/>
      <c r="I68" s="42"/>
      <c r="J68" s="86"/>
      <c r="K68" s="87"/>
      <c r="M68" s="20" t="str">
        <f t="shared" si="13"/>
        <v>ATAP</v>
      </c>
    </row>
    <row r="69" spans="1:13" ht="18" customHeight="1" x14ac:dyDescent="0.25">
      <c r="B69" s="34">
        <v>5</v>
      </c>
      <c r="C69" s="35" t="s">
        <v>68</v>
      </c>
      <c r="D69" s="36">
        <f>IFERROR(HLOOKUP($J$1,[1]DB!$C$1:$K$172,69,FALSE),"")</f>
        <v>137</v>
      </c>
      <c r="E69" s="36">
        <f>SUMIFS('[1]Rincian Keluar'!$G:$G,'[1]Rincian Keluar'!$E:$E,SUKABASUKI!C69,'[1]Rincian Keluar'!$D:$D,SUKABASUKI!$D$1,'[1]Rincian Keluar'!$H:$H,SUKABASUKI!$J$1,'[1]Rincian Keluar'!$F:$F,SUKABASUKI!M69)</f>
        <v>0</v>
      </c>
      <c r="F69" s="88">
        <v>52000</v>
      </c>
      <c r="G69" s="82">
        <f t="shared" si="12"/>
        <v>0</v>
      </c>
      <c r="H69" s="53"/>
      <c r="I69" s="42"/>
      <c r="J69" s="86"/>
      <c r="K69" s="87"/>
      <c r="M69" s="20" t="str">
        <f t="shared" si="13"/>
        <v>ATAP</v>
      </c>
    </row>
    <row r="70" spans="1:13" ht="18" customHeight="1" x14ac:dyDescent="0.25">
      <c r="B70" s="34">
        <v>6</v>
      </c>
      <c r="C70" s="35" t="s">
        <v>69</v>
      </c>
      <c r="D70" s="36">
        <f>IFERROR(HLOOKUP($J$1,[1]DB!$C$1:$K$172,70,FALSE),"")</f>
        <v>0</v>
      </c>
      <c r="E70" s="36">
        <f>SUMIFS('[1]Rincian Keluar'!$G:$G,'[1]Rincian Keluar'!$E:$E,SUKABASUKI!C70,'[1]Rincian Keluar'!$D:$D,SUKABASUKI!$D$1,'[1]Rincian Keluar'!$H:$H,SUKABASUKI!$J$1,'[1]Rincian Keluar'!$F:$F,SUKABASUKI!M70)</f>
        <v>307</v>
      </c>
      <c r="F70" s="88">
        <v>36000</v>
      </c>
      <c r="G70" s="82">
        <f t="shared" si="12"/>
        <v>11052000</v>
      </c>
      <c r="H70" s="53"/>
      <c r="I70" s="42"/>
      <c r="J70" s="86"/>
      <c r="K70" s="87"/>
      <c r="M70" s="20" t="str">
        <f t="shared" si="13"/>
        <v>ATAP</v>
      </c>
    </row>
    <row r="71" spans="1:13" ht="18" customHeight="1" x14ac:dyDescent="0.25">
      <c r="B71" s="34">
        <v>7</v>
      </c>
      <c r="C71" s="35" t="s">
        <v>70</v>
      </c>
      <c r="D71" s="36">
        <f>IFERROR(HLOOKUP($J$1,[1]DB!$C$1:$K$172,71,FALSE),"")</f>
        <v>0</v>
      </c>
      <c r="E71" s="36">
        <f>SUMIFS('[1]Rincian Keluar'!$G:$G,'[1]Rincian Keluar'!$E:$E,SUKABASUKI!C71,'[1]Rincian Keluar'!$D:$D,SUKABASUKI!$D$1,'[1]Rincian Keluar'!$H:$H,SUKABASUKI!$J$1,'[1]Rincian Keluar'!$F:$F,SUKABASUKI!M71)</f>
        <v>46</v>
      </c>
      <c r="F71" s="88">
        <v>50000</v>
      </c>
      <c r="G71" s="82">
        <f t="shared" si="12"/>
        <v>2300000</v>
      </c>
      <c r="H71" s="53"/>
      <c r="I71" s="42"/>
      <c r="J71" s="86"/>
      <c r="K71" s="87"/>
      <c r="M71" s="20" t="str">
        <f t="shared" si="13"/>
        <v>ATAP</v>
      </c>
    </row>
    <row r="72" spans="1:13" ht="18" customHeight="1" x14ac:dyDescent="0.25">
      <c r="B72" s="34">
        <v>8</v>
      </c>
      <c r="C72" s="35" t="s">
        <v>71</v>
      </c>
      <c r="D72" s="36">
        <f>IFERROR(HLOOKUP($J$1,[1]DB!$C$1:$K$172,72,FALSE),"")</f>
        <v>1.5</v>
      </c>
      <c r="E72" s="36">
        <f>SUMIFS('[1]Rincian Keluar'!$G:$G,'[1]Rincian Keluar'!$E:$E,SUKABASUKI!C72,'[1]Rincian Keluar'!$D:$D,SUKABASUKI!$D$1,'[1]Rincian Keluar'!$H:$H,SUKABASUKI!$J$1,'[1]Rincian Keluar'!$F:$F,SUKABASUKI!M72)</f>
        <v>0</v>
      </c>
      <c r="F72" s="88">
        <v>650000</v>
      </c>
      <c r="G72" s="82">
        <f t="shared" si="12"/>
        <v>0</v>
      </c>
      <c r="H72" s="53"/>
      <c r="I72" s="42"/>
      <c r="J72" s="86"/>
      <c r="K72" s="87"/>
      <c r="M72" s="20" t="str">
        <f t="shared" si="13"/>
        <v>ATAP</v>
      </c>
    </row>
    <row r="73" spans="1:13" ht="18" customHeight="1" x14ac:dyDescent="0.25">
      <c r="B73" s="34">
        <v>9</v>
      </c>
      <c r="C73" s="35" t="s">
        <v>72</v>
      </c>
      <c r="D73" s="36">
        <f>IFERROR(HLOOKUP($J$1,[1]DB!$C$1:$K$172,73,FALSE),"")</f>
        <v>2</v>
      </c>
      <c r="E73" s="36">
        <f>SUMIFS('[1]Rincian Keluar'!$G:$G,'[1]Rincian Keluar'!$E:$E,SUKABASUKI!C73,'[1]Rincian Keluar'!$D:$D,SUKABASUKI!$D$1,'[1]Rincian Keluar'!$H:$H,SUKABASUKI!$J$1,'[1]Rincian Keluar'!$F:$F,SUKABASUKI!M73)</f>
        <v>2</v>
      </c>
      <c r="F73" s="88">
        <v>130000</v>
      </c>
      <c r="G73" s="82">
        <f t="shared" si="12"/>
        <v>260000</v>
      </c>
      <c r="H73" s="53"/>
      <c r="I73" s="42"/>
      <c r="J73" s="86"/>
      <c r="K73" s="87"/>
      <c r="M73" s="20" t="str">
        <f t="shared" si="13"/>
        <v>ATAP</v>
      </c>
    </row>
    <row r="74" spans="1:13" ht="18" customHeight="1" x14ac:dyDescent="0.25">
      <c r="B74" s="34">
        <v>10</v>
      </c>
      <c r="C74" s="35" t="s">
        <v>73</v>
      </c>
      <c r="D74" s="36">
        <f>IFERROR(HLOOKUP($J$1,[1]DB!$C$1:$K$172,74,FALSE),"")</f>
        <v>2</v>
      </c>
      <c r="E74" s="36">
        <f>SUMIFS('[1]Rincian Keluar'!$G:$G,'[1]Rincian Keluar'!$E:$E,SUKABASUKI!C74,'[1]Rincian Keluar'!$D:$D,SUKABASUKI!$D$1,'[1]Rincian Keluar'!$H:$H,SUKABASUKI!$J$1,'[1]Rincian Keluar'!$F:$F,SUKABASUKI!M74)</f>
        <v>2</v>
      </c>
      <c r="F74" s="88">
        <v>130000</v>
      </c>
      <c r="G74" s="82">
        <f t="shared" si="12"/>
        <v>260000</v>
      </c>
      <c r="H74" s="55"/>
      <c r="I74" s="47"/>
      <c r="J74" s="89"/>
      <c r="K74" s="90"/>
      <c r="M74" s="20" t="str">
        <f t="shared" si="13"/>
        <v>ATAP</v>
      </c>
    </row>
    <row r="75" spans="1:13" ht="18" customHeight="1" x14ac:dyDescent="0.25">
      <c r="B75" s="197" t="s">
        <v>74</v>
      </c>
      <c r="C75" s="198" t="s">
        <v>75</v>
      </c>
      <c r="D75" s="199"/>
      <c r="E75" s="199"/>
      <c r="F75" s="199"/>
      <c r="G75" s="199"/>
      <c r="H75" s="199"/>
      <c r="I75" s="200"/>
      <c r="J75" s="199"/>
      <c r="K75" s="201"/>
      <c r="M75" s="20"/>
    </row>
    <row r="76" spans="1:13" ht="18" customHeight="1" x14ac:dyDescent="0.25">
      <c r="B76" s="96">
        <v>1</v>
      </c>
      <c r="C76" s="97" t="s">
        <v>19</v>
      </c>
      <c r="D76" s="36">
        <f>IFERROR(HLOOKUP($J$1,[1]DB!$C$1:$K$172,76,FALSE),"")</f>
        <v>173</v>
      </c>
      <c r="E76" s="36">
        <f>SUMIFS('[1]Rincian Keluar'!$G:$G,'[1]Rincian Keluar'!$E:$E,SUKABASUKI!C76,'[1]Rincian Keluar'!$D:$D,SUKABASUKI!$D$1,'[1]Rincian Keluar'!$H:$H,SUKABASUKI!$J$1,'[1]Rincian Keluar'!$F:$F,SUKABASUKI!M76)</f>
        <v>210</v>
      </c>
      <c r="F76" s="46">
        <v>11000</v>
      </c>
      <c r="G76" s="98">
        <f>E76*F76</f>
        <v>2310000</v>
      </c>
      <c r="H76" s="108">
        <v>2506000</v>
      </c>
      <c r="I76" s="39">
        <f>IFERROR(VLOOKUP($C75,[1]HK!$B$5:$C$14,2,FALSE),"")*$J1</f>
        <v>1950000</v>
      </c>
      <c r="J76" s="129">
        <f>I76-H76</f>
        <v>-556000</v>
      </c>
      <c r="K76" s="103">
        <v>1</v>
      </c>
      <c r="M76" s="20" t="str">
        <f>$C$75</f>
        <v>DEK</v>
      </c>
    </row>
    <row r="77" spans="1:13" ht="18" customHeight="1" x14ac:dyDescent="0.25">
      <c r="B77" s="96">
        <v>2</v>
      </c>
      <c r="C77" s="97" t="s">
        <v>76</v>
      </c>
      <c r="D77" s="36">
        <f>IFERROR(HLOOKUP($J$1,[1]DB!$C$1:$K$172,77,FALSE),"")</f>
        <v>46</v>
      </c>
      <c r="E77" s="36">
        <f>SUMIFS('[1]Rincian Keluar'!$G:$G,'[1]Rincian Keluar'!$E:$E,SUKABASUKI!C77,'[1]Rincian Keluar'!$D:$D,SUKABASUKI!$D$1,'[1]Rincian Keluar'!$H:$H,SUKABASUKI!$J$1,'[1]Rincian Keluar'!$F:$F,SUKABASUKI!M77)</f>
        <v>31</v>
      </c>
      <c r="F77" s="57">
        <v>60000</v>
      </c>
      <c r="G77" s="98">
        <f t="shared" ref="G77:G81" si="14">E77*F77</f>
        <v>1860000</v>
      </c>
      <c r="H77" s="110"/>
      <c r="I77" s="42"/>
      <c r="J77" s="130"/>
      <c r="K77" s="105"/>
      <c r="M77" s="20" t="str">
        <f t="shared" ref="M77:M81" si="15">$C$75</f>
        <v>DEK</v>
      </c>
    </row>
    <row r="78" spans="1:13" ht="18" customHeight="1" x14ac:dyDescent="0.25">
      <c r="B78" s="96">
        <v>3</v>
      </c>
      <c r="C78" s="97" t="s">
        <v>77</v>
      </c>
      <c r="D78" s="36">
        <f>IFERROR(HLOOKUP($J$1,[1]DB!$C$1:$K$172,78,FALSE),"")</f>
        <v>8</v>
      </c>
      <c r="E78" s="36">
        <f>SUMIFS('[1]Rincian Keluar'!$G:$G,'[1]Rincian Keluar'!$E:$E,SUKABASUKI!C78,'[1]Rincian Keluar'!$D:$D,SUKABASUKI!$D$1,'[1]Rincian Keluar'!$H:$H,SUKABASUKI!$J$1,'[1]Rincian Keluar'!$F:$F,SUKABASUKI!M78)</f>
        <v>4</v>
      </c>
      <c r="F78" s="57">
        <v>37000</v>
      </c>
      <c r="G78" s="98">
        <f t="shared" si="14"/>
        <v>148000</v>
      </c>
      <c r="H78" s="110"/>
      <c r="I78" s="42"/>
      <c r="J78" s="130"/>
      <c r="K78" s="105"/>
      <c r="M78" s="20" t="str">
        <f t="shared" si="15"/>
        <v>DEK</v>
      </c>
    </row>
    <row r="79" spans="1:13" s="20" customFormat="1" ht="18" customHeight="1" x14ac:dyDescent="0.25">
      <c r="A79" s="1"/>
      <c r="B79" s="96">
        <v>4</v>
      </c>
      <c r="C79" s="97" t="s">
        <v>78</v>
      </c>
      <c r="D79" s="36">
        <f>IFERROR(HLOOKUP($J$1,[1]DB!$C$1:$K$172,79,FALSE),"")</f>
        <v>2</v>
      </c>
      <c r="E79" s="36">
        <f>SUMIFS('[1]Rincian Keluar'!$G:$G,'[1]Rincian Keluar'!$E:$E,SUKABASUKI!C79,'[1]Rincian Keluar'!$D:$D,SUKABASUKI!$D$1,'[1]Rincian Keluar'!$H:$H,SUKABASUKI!$J$1,'[1]Rincian Keluar'!$F:$F,SUKABASUKI!M79)</f>
        <v>1</v>
      </c>
      <c r="F79" s="57">
        <v>5000</v>
      </c>
      <c r="G79" s="98">
        <f t="shared" si="14"/>
        <v>5000</v>
      </c>
      <c r="H79" s="110"/>
      <c r="I79" s="42"/>
      <c r="J79" s="130"/>
      <c r="K79" s="105"/>
      <c r="M79" s="20" t="str">
        <f t="shared" si="15"/>
        <v>DEK</v>
      </c>
    </row>
    <row r="80" spans="1:13" s="20" customFormat="1" ht="18" customHeight="1" x14ac:dyDescent="0.25">
      <c r="A80" s="1"/>
      <c r="B80" s="96">
        <v>5</v>
      </c>
      <c r="C80" s="97" t="s">
        <v>79</v>
      </c>
      <c r="D80" s="36">
        <f>IFERROR(HLOOKUP($J$1,[1]DB!$C$1:$K$172,80,FALSE),"")</f>
        <v>2</v>
      </c>
      <c r="E80" s="36">
        <f>SUMIFS('[1]Rincian Keluar'!$G:$G,'[1]Rincian Keluar'!$E:$E,SUKABASUKI!C80,'[1]Rincian Keluar'!$D:$D,SUKABASUKI!$D$1,'[1]Rincian Keluar'!$H:$H,SUKABASUKI!$J$1,'[1]Rincian Keluar'!$F:$F,SUKABASUKI!M80)</f>
        <v>1</v>
      </c>
      <c r="F80" s="57">
        <v>130000</v>
      </c>
      <c r="G80" s="98">
        <f t="shared" si="14"/>
        <v>130000</v>
      </c>
      <c r="H80" s="110"/>
      <c r="I80" s="42"/>
      <c r="J80" s="130"/>
      <c r="K80" s="105"/>
      <c r="M80" s="20" t="str">
        <f t="shared" si="15"/>
        <v>DEK</v>
      </c>
    </row>
    <row r="81" spans="1:13" s="20" customFormat="1" ht="18" customHeight="1" x14ac:dyDescent="0.25">
      <c r="A81" s="1"/>
      <c r="B81" s="96">
        <v>6</v>
      </c>
      <c r="C81" s="97" t="s">
        <v>80</v>
      </c>
      <c r="D81" s="36">
        <f>IFERROR(HLOOKUP($J$1,[1]DB!$C$1:$K$172,81,FALSE),"")</f>
        <v>2</v>
      </c>
      <c r="E81" s="36">
        <f>SUMIFS('[1]Rincian Keluar'!$G:$G,'[1]Rincian Keluar'!$E:$E,SUKABASUKI!C81,'[1]Rincian Keluar'!$D:$D,SUKABASUKI!$D$1,'[1]Rincian Keluar'!$H:$H,SUKABASUKI!$J$1,'[1]Rincian Keluar'!$F:$F,SUKABASUKI!M81)</f>
        <v>1</v>
      </c>
      <c r="F81" s="57">
        <v>130000</v>
      </c>
      <c r="G81" s="98">
        <f t="shared" si="14"/>
        <v>130000</v>
      </c>
      <c r="H81" s="112"/>
      <c r="I81" s="47"/>
      <c r="J81" s="131"/>
      <c r="K81" s="107"/>
      <c r="M81" s="20" t="str">
        <f t="shared" si="15"/>
        <v>DEK</v>
      </c>
    </row>
    <row r="82" spans="1:13" s="20" customFormat="1" ht="18" customHeight="1" x14ac:dyDescent="0.25">
      <c r="A82" s="1"/>
      <c r="B82" s="29" t="s">
        <v>81</v>
      </c>
      <c r="C82" s="50" t="s">
        <v>82</v>
      </c>
      <c r="D82" s="31"/>
      <c r="E82" s="31"/>
      <c r="F82" s="31"/>
      <c r="G82" s="31"/>
      <c r="H82" s="31"/>
      <c r="I82" s="32"/>
      <c r="J82" s="31"/>
      <c r="K82" s="33"/>
    </row>
    <row r="83" spans="1:13" s="20" customFormat="1" ht="18" customHeight="1" x14ac:dyDescent="0.25">
      <c r="A83" s="1"/>
      <c r="B83" s="96">
        <v>1</v>
      </c>
      <c r="C83" s="97" t="s">
        <v>54</v>
      </c>
      <c r="D83" s="36">
        <f>IFERROR(HLOOKUP($J$1,[1]DB!$C$1:$K$172,83,FALSE),"")</f>
        <v>120</v>
      </c>
      <c r="E83" s="36">
        <f>SUMIFS('[1]Rincian Keluar'!$G:$G,'[1]Rincian Keluar'!$E:$E,SUKABASUKI!C83,'[1]Rincian Keluar'!$D:$D,SUKABASUKI!$D$1,'[1]Rincian Keluar'!$H:$H,SUKABASUKI!$J$1,'[1]Rincian Keluar'!$F:$F,SUKABASUKI!M83)</f>
        <v>80</v>
      </c>
      <c r="F83" s="37">
        <v>1850</v>
      </c>
      <c r="G83" s="98">
        <f>E83*F83</f>
        <v>148000</v>
      </c>
      <c r="H83" s="108">
        <v>1434000</v>
      </c>
      <c r="I83" s="39">
        <f>IFERROR(VLOOKUP($C82,[1]HK!$B$5:$C$20,2,FALSE),"")*$J1</f>
        <v>1260000</v>
      </c>
      <c r="J83" s="129">
        <f>I83-H83</f>
        <v>-174000</v>
      </c>
      <c r="K83" s="103">
        <v>0.8</v>
      </c>
      <c r="M83" s="20" t="str">
        <f>$C$82</f>
        <v>MINIMALIS</v>
      </c>
    </row>
    <row r="84" spans="1:13" s="20" customFormat="1" ht="18" customHeight="1" x14ac:dyDescent="0.25">
      <c r="A84" s="1"/>
      <c r="B84" s="96">
        <v>2</v>
      </c>
      <c r="C84" s="97" t="s">
        <v>31</v>
      </c>
      <c r="D84" s="36">
        <f>IFERROR(HLOOKUP($J$1,[1]DB!$C$1:$K$172,84,FALSE),"")</f>
        <v>3</v>
      </c>
      <c r="E84" s="36">
        <f>SUMIFS('[1]Rincian Keluar'!$G:$G,'[1]Rincian Keluar'!$E:$E,SUKABASUKI!C84,'[1]Rincian Keluar'!$D:$D,SUKABASUKI!$D$1,'[1]Rincian Keluar'!$H:$H,SUKABASUKI!$J$1,'[1]Rincian Keluar'!$F:$F,SUKABASUKI!M84)</f>
        <v>1</v>
      </c>
      <c r="F84" s="37">
        <v>150000</v>
      </c>
      <c r="G84" s="98">
        <f t="shared" ref="G84:G86" si="16">E84*F84</f>
        <v>150000</v>
      </c>
      <c r="H84" s="110"/>
      <c r="I84" s="42"/>
      <c r="J84" s="130"/>
      <c r="K84" s="105"/>
      <c r="M84" s="20" t="str">
        <f t="shared" ref="M84:M86" si="17">$C$82</f>
        <v>MINIMALIS</v>
      </c>
    </row>
    <row r="85" spans="1:13" s="20" customFormat="1" ht="18" customHeight="1" x14ac:dyDescent="0.25">
      <c r="A85" s="1"/>
      <c r="B85" s="96">
        <v>3</v>
      </c>
      <c r="C85" s="45" t="s">
        <v>24</v>
      </c>
      <c r="D85" s="36">
        <f>IFERROR(HLOOKUP($J$1,[1]DB!$C$1:$K$172,85,FALSE),"")</f>
        <v>10</v>
      </c>
      <c r="E85" s="36">
        <f>SUMIFS('[1]Rincian Keluar'!$G:$G,'[1]Rincian Keluar'!$E:$E,SUKABASUKI!C85,'[1]Rincian Keluar'!$D:$D,SUKABASUKI!$D$1,'[1]Rincian Keluar'!$H:$H,SUKABASUKI!$J$1,'[1]Rincian Keluar'!$F:$F,SUKABASUKI!M85)</f>
        <v>7</v>
      </c>
      <c r="F85" s="37">
        <v>60700</v>
      </c>
      <c r="G85" s="98">
        <f t="shared" si="16"/>
        <v>424900</v>
      </c>
      <c r="H85" s="110"/>
      <c r="I85" s="42"/>
      <c r="J85" s="130"/>
      <c r="K85" s="105"/>
      <c r="M85" s="20" t="str">
        <f t="shared" si="17"/>
        <v>MINIMALIS</v>
      </c>
    </row>
    <row r="86" spans="1:13" s="20" customFormat="1" ht="18" customHeight="1" x14ac:dyDescent="0.25">
      <c r="A86" s="1"/>
      <c r="B86" s="96">
        <v>4</v>
      </c>
      <c r="C86" s="45" t="s">
        <v>83</v>
      </c>
      <c r="D86" s="36">
        <f>IFERROR(HLOOKUP($J$1,[1]DB!$C$1:$K$172,86,FALSE),"")</f>
        <v>7</v>
      </c>
      <c r="E86" s="36">
        <f>SUMIFS('[1]Rincian Keluar'!$G:$G,'[1]Rincian Keluar'!$E:$E,SUKABASUKI!C86,'[1]Rincian Keluar'!$D:$D,SUKABASUKI!$D$1,'[1]Rincian Keluar'!$H:$H,SUKABASUKI!$J$1,'[1]Rincian Keluar'!$F:$F,SUKABASUKI!M86)</f>
        <v>0</v>
      </c>
      <c r="F86" s="37">
        <v>165000</v>
      </c>
      <c r="G86" s="98">
        <f t="shared" si="16"/>
        <v>0</v>
      </c>
      <c r="H86" s="112"/>
      <c r="I86" s="47"/>
      <c r="J86" s="131"/>
      <c r="K86" s="107"/>
      <c r="M86" s="20" t="str">
        <f t="shared" si="17"/>
        <v>MINIMALIS</v>
      </c>
    </row>
    <row r="87" spans="1:13" s="20" customFormat="1" ht="18" customHeight="1" x14ac:dyDescent="0.25">
      <c r="A87" s="1"/>
      <c r="B87" s="29" t="s">
        <v>84</v>
      </c>
      <c r="C87" s="50" t="s">
        <v>85</v>
      </c>
      <c r="D87" s="31"/>
      <c r="E87" s="31"/>
      <c r="F87" s="31"/>
      <c r="G87" s="31"/>
      <c r="H87" s="31"/>
      <c r="I87" s="32"/>
      <c r="J87" s="31"/>
      <c r="K87" s="33"/>
    </row>
    <row r="88" spans="1:13" s="20" customFormat="1" ht="18" customHeight="1" x14ac:dyDescent="0.25">
      <c r="A88" s="1"/>
      <c r="B88" s="34">
        <v>1</v>
      </c>
      <c r="C88" s="45" t="s">
        <v>24</v>
      </c>
      <c r="D88" s="36">
        <f>IFERROR(HLOOKUP($J$1,[1]DB!$C$1:$K$172,88,FALSE),"")</f>
        <v>22</v>
      </c>
      <c r="E88" s="36">
        <f>SUMIFS('[1]Rincian Keluar'!$G:$G,'[1]Rincian Keluar'!$E:$E,SUKABASUKI!C88,'[1]Rincian Keluar'!$D:$D,SUKABASUKI!$D$1,'[1]Rincian Keluar'!$H:$H,SUKABASUKI!$J$1,'[1]Rincian Keluar'!$F:$F,SUKABASUKI!M88)</f>
        <v>9</v>
      </c>
      <c r="F88" s="37">
        <v>60700</v>
      </c>
      <c r="G88" s="98">
        <f>E88*F88</f>
        <v>546300</v>
      </c>
      <c r="H88" s="108">
        <v>1630000</v>
      </c>
      <c r="I88" s="39">
        <f>IFERROR(VLOOKUP($C87,[1]HK!$B$5:$C$20,2,FALSE),"")*$J1</f>
        <v>1670000</v>
      </c>
      <c r="J88" s="109">
        <f>I88-H88</f>
        <v>40000</v>
      </c>
      <c r="K88" s="103">
        <v>1</v>
      </c>
      <c r="M88" s="20" t="str">
        <f>$C$87</f>
        <v>CARPORT</v>
      </c>
    </row>
    <row r="89" spans="1:13" s="20" customFormat="1" ht="18" customHeight="1" x14ac:dyDescent="0.25">
      <c r="A89" s="1"/>
      <c r="B89" s="34">
        <v>2</v>
      </c>
      <c r="C89" s="35" t="s">
        <v>19</v>
      </c>
      <c r="D89" s="36">
        <f>IFERROR(HLOOKUP($J$1,[1]DB!$C$1:$K$172,89,FALSE),"")</f>
        <v>8</v>
      </c>
      <c r="E89" s="36">
        <f>SUMIFS('[1]Rincian Keluar'!$G:$G,'[1]Rincian Keluar'!$E:$E,SUKABASUKI!C89,'[1]Rincian Keluar'!$D:$D,SUKABASUKI!$D$1,'[1]Rincian Keluar'!$H:$H,SUKABASUKI!$J$1,'[1]Rincian Keluar'!$F:$F,SUKABASUKI!M89)</f>
        <v>8</v>
      </c>
      <c r="F89" s="46">
        <v>11000</v>
      </c>
      <c r="G89" s="98">
        <f t="shared" ref="G89:G95" si="18">E89*F89</f>
        <v>88000</v>
      </c>
      <c r="H89" s="110"/>
      <c r="I89" s="42"/>
      <c r="J89" s="111"/>
      <c r="K89" s="105"/>
      <c r="M89" s="20" t="str">
        <f t="shared" ref="M89:M96" si="19">$C$87</f>
        <v>CARPORT</v>
      </c>
    </row>
    <row r="90" spans="1:13" s="20" customFormat="1" ht="18" customHeight="1" x14ac:dyDescent="0.25">
      <c r="A90" s="1"/>
      <c r="B90" s="34">
        <v>3</v>
      </c>
      <c r="C90" s="35" t="s">
        <v>20</v>
      </c>
      <c r="D90" s="36">
        <f>IFERROR(HLOOKUP($J$1,[1]DB!$C$1:$K$172,90,FALSE),"")</f>
        <v>5</v>
      </c>
      <c r="E90" s="36">
        <f>SUMIFS('[1]Rincian Keluar'!$G:$G,'[1]Rincian Keluar'!$E:$E,SUKABASUKI!C90,'[1]Rincian Keluar'!$D:$D,SUKABASUKI!$D$1,'[1]Rincian Keluar'!$H:$H,SUKABASUKI!$J$1,'[1]Rincian Keluar'!$F:$F,SUKABASUKI!M90)</f>
        <v>5</v>
      </c>
      <c r="F90" s="37">
        <v>8000</v>
      </c>
      <c r="G90" s="98">
        <f t="shared" si="18"/>
        <v>40000</v>
      </c>
      <c r="H90" s="110"/>
      <c r="I90" s="42"/>
      <c r="J90" s="111"/>
      <c r="K90" s="105"/>
      <c r="M90" s="20" t="str">
        <f t="shared" si="19"/>
        <v>CARPORT</v>
      </c>
    </row>
    <row r="91" spans="1:13" s="20" customFormat="1" ht="18" customHeight="1" x14ac:dyDescent="0.25">
      <c r="A91" s="1"/>
      <c r="B91" s="34">
        <v>4</v>
      </c>
      <c r="C91" s="35" t="s">
        <v>21</v>
      </c>
      <c r="D91" s="36">
        <f>IFERROR(HLOOKUP($J$1,[1]DB!$C$1:$K$172,91,FALSE),"")</f>
        <v>10</v>
      </c>
      <c r="E91" s="36">
        <f>SUMIFS('[1]Rincian Keluar'!$G:$G,'[1]Rincian Keluar'!$E:$E,SUKABASUKI!C91,'[1]Rincian Keluar'!$D:$D,SUKABASUKI!$D$1,'[1]Rincian Keluar'!$H:$H,SUKABASUKI!$J$1,'[1]Rincian Keluar'!$F:$F,SUKABASUKI!M91)</f>
        <v>10</v>
      </c>
      <c r="F91" s="37">
        <v>11000</v>
      </c>
      <c r="G91" s="98">
        <f t="shared" si="18"/>
        <v>110000</v>
      </c>
      <c r="H91" s="110"/>
      <c r="I91" s="42"/>
      <c r="J91" s="111"/>
      <c r="K91" s="105"/>
      <c r="M91" s="20" t="str">
        <f t="shared" si="19"/>
        <v>CARPORT</v>
      </c>
    </row>
    <row r="92" spans="1:13" s="20" customFormat="1" ht="18" customHeight="1" x14ac:dyDescent="0.25">
      <c r="A92" s="1"/>
      <c r="B92" s="34">
        <v>5</v>
      </c>
      <c r="C92" s="35" t="s">
        <v>32</v>
      </c>
      <c r="D92" s="36">
        <f>IFERROR(HLOOKUP($J$1,[1]DB!$C$1:$K$172,92,FALSE),"")</f>
        <v>7</v>
      </c>
      <c r="E92" s="36">
        <f>SUMIFS('[1]Rincian Keluar'!$G:$G,'[1]Rincian Keluar'!$E:$E,SUKABASUKI!C92,'[1]Rincian Keluar'!$D:$D,SUKABASUKI!$D$1,'[1]Rincian Keluar'!$H:$H,SUKABASUKI!$J$1,'[1]Rincian Keluar'!$F:$F,SUKABASUKI!M92)</f>
        <v>7</v>
      </c>
      <c r="F92" s="57">
        <v>15000</v>
      </c>
      <c r="G92" s="98">
        <f t="shared" si="18"/>
        <v>105000</v>
      </c>
      <c r="H92" s="110"/>
      <c r="I92" s="42"/>
      <c r="J92" s="111"/>
      <c r="K92" s="105"/>
      <c r="M92" s="20" t="str">
        <f t="shared" si="19"/>
        <v>CARPORT</v>
      </c>
    </row>
    <row r="93" spans="1:13" s="20" customFormat="1" ht="18" customHeight="1" x14ac:dyDescent="0.25">
      <c r="A93" s="1"/>
      <c r="B93" s="34">
        <v>6</v>
      </c>
      <c r="C93" s="45" t="s">
        <v>17</v>
      </c>
      <c r="D93" s="36">
        <f>IFERROR(HLOOKUP($J$1,[1]DB!$C$1:$K$172,93,FALSE),"")</f>
        <v>2</v>
      </c>
      <c r="E93" s="36">
        <f>SUMIFS('[1]Rincian Keluar'!$G:$G,'[1]Rincian Keluar'!$E:$E,SUKABASUKI!C93,'[1]Rincian Keluar'!$D:$D,SUKABASUKI!$D$1,'[1]Rincian Keluar'!$H:$H,SUKABASUKI!$J$1,'[1]Rincian Keluar'!$F:$F,SUKABASUKI!M93)</f>
        <v>2</v>
      </c>
      <c r="F93" s="37">
        <v>22000</v>
      </c>
      <c r="G93" s="98">
        <f t="shared" si="18"/>
        <v>44000</v>
      </c>
      <c r="H93" s="110"/>
      <c r="I93" s="42"/>
      <c r="J93" s="111"/>
      <c r="K93" s="105"/>
      <c r="M93" s="20" t="str">
        <f t="shared" si="19"/>
        <v>CARPORT</v>
      </c>
    </row>
    <row r="94" spans="1:13" s="20" customFormat="1" ht="18" customHeight="1" x14ac:dyDescent="0.25">
      <c r="A94" s="1"/>
      <c r="B94" s="34">
        <v>7</v>
      </c>
      <c r="C94" s="45" t="s">
        <v>57</v>
      </c>
      <c r="D94" s="36">
        <f>IFERROR(HLOOKUP($J$1,[1]DB!$C$1:$K$172,94,FALSE),"")</f>
        <v>15</v>
      </c>
      <c r="E94" s="36">
        <f>SUMIFS('[1]Rincian Keluar'!$G:$G,'[1]Rincian Keluar'!$E:$E,SUKABASUKI!C94,'[1]Rincian Keluar'!$D:$D,SUKABASUKI!$D$1,'[1]Rincian Keluar'!$H:$H,SUKABASUKI!$J$1,'[1]Rincian Keluar'!$F:$F,SUKABASUKI!M94)</f>
        <v>15</v>
      </c>
      <c r="F94" s="37">
        <v>35000</v>
      </c>
      <c r="G94" s="98">
        <f t="shared" si="18"/>
        <v>525000</v>
      </c>
      <c r="H94" s="110"/>
      <c r="I94" s="42"/>
      <c r="J94" s="111"/>
      <c r="K94" s="105"/>
      <c r="M94" s="20" t="str">
        <f t="shared" si="19"/>
        <v>CARPORT</v>
      </c>
    </row>
    <row r="95" spans="1:13" s="20" customFormat="1" ht="18" customHeight="1" x14ac:dyDescent="0.25">
      <c r="A95" s="1"/>
      <c r="B95" s="34">
        <v>8</v>
      </c>
      <c r="C95" s="45" t="s">
        <v>23</v>
      </c>
      <c r="D95" s="36">
        <f>IFERROR(HLOOKUP($J$1,[1]DB!$C$1:$K$172,95,FALSE),"")</f>
        <v>1</v>
      </c>
      <c r="E95" s="36">
        <f>SUMIFS('[1]Rincian Keluar'!$G:$G,'[1]Rincian Keluar'!$E:$E,SUKABASUKI!C95,'[1]Rincian Keluar'!$D:$D,SUKABASUKI!$D$1,'[1]Rincian Keluar'!$H:$H,SUKABASUKI!$J$1,'[1]Rincian Keluar'!$F:$F,SUKABASUKI!M95)</f>
        <v>1</v>
      </c>
      <c r="F95" s="37">
        <v>500000</v>
      </c>
      <c r="G95" s="98">
        <f t="shared" si="18"/>
        <v>500000</v>
      </c>
      <c r="H95" s="110"/>
      <c r="I95" s="42"/>
      <c r="J95" s="111"/>
      <c r="K95" s="105"/>
      <c r="M95" s="20" t="str">
        <f t="shared" si="19"/>
        <v>CARPORT</v>
      </c>
    </row>
    <row r="96" spans="1:13" s="20" customFormat="1" ht="18" customHeight="1" x14ac:dyDescent="0.25">
      <c r="A96" s="1"/>
      <c r="B96" s="34">
        <v>9</v>
      </c>
      <c r="C96" s="45" t="s">
        <v>31</v>
      </c>
      <c r="D96" s="36">
        <f>IFERROR(HLOOKUP($J$1,[1]DB!$C$1:$K$172,96,FALSE),"")</f>
        <v>6</v>
      </c>
      <c r="E96" s="36">
        <f>SUMIFS('[1]Rincian Keluar'!$G:$G,'[1]Rincian Keluar'!$E:$E,SUKABASUKI!C96,'[1]Rincian Keluar'!$D:$D,SUKABASUKI!$D$1,'[1]Rincian Keluar'!$H:$H,SUKABASUKI!$J$1,'[1]Rincian Keluar'!$F:$F,SUKABASUKI!M96)</f>
        <v>6</v>
      </c>
      <c r="F96" s="37">
        <v>150000</v>
      </c>
      <c r="G96" s="98">
        <f>E96*F96</f>
        <v>900000</v>
      </c>
      <c r="H96" s="112"/>
      <c r="I96" s="47"/>
      <c r="J96" s="113"/>
      <c r="K96" s="107"/>
      <c r="M96" s="20" t="str">
        <f t="shared" si="19"/>
        <v>CARPORT</v>
      </c>
    </row>
    <row r="97" spans="1:13" s="20" customFormat="1" ht="18" customHeight="1" x14ac:dyDescent="0.25">
      <c r="A97" s="1"/>
      <c r="B97" s="34">
        <v>10</v>
      </c>
      <c r="C97" s="45" t="s">
        <v>83</v>
      </c>
      <c r="D97" s="36">
        <f>IFERROR(HLOOKUP($J$1,[1]DB!$C$1:$K$172,97,FALSE),"")</f>
        <v>31</v>
      </c>
      <c r="E97" s="36">
        <f>SUMIFS('[1]Rincian Keluar'!$G:$G,'[1]Rincian Keluar'!$E:$E,SUKABASUKI!C97,'[1]Rincian Keluar'!$D:$D,SUKABASUKI!$D$1,'[1]Rincian Keluar'!$H:$H,SUKABASUKI!$J$1,'[1]Rincian Keluar'!$F:$F,SUKABASUKI!M97)</f>
        <v>0</v>
      </c>
      <c r="F97" s="37">
        <v>165000</v>
      </c>
      <c r="G97" s="98">
        <f>E97*F97</f>
        <v>0</v>
      </c>
      <c r="H97" s="114"/>
      <c r="I97" s="115"/>
      <c r="J97" s="116"/>
      <c r="K97" s="117"/>
    </row>
    <row r="98" spans="1:13" s="20" customFormat="1" ht="18" customHeight="1" x14ac:dyDescent="0.25">
      <c r="A98" s="1"/>
      <c r="B98" s="91" t="s">
        <v>86</v>
      </c>
      <c r="C98" s="92" t="s">
        <v>87</v>
      </c>
      <c r="D98" s="93"/>
      <c r="E98" s="93"/>
      <c r="F98" s="93"/>
      <c r="G98" s="93"/>
      <c r="H98" s="93"/>
      <c r="I98" s="94"/>
      <c r="J98" s="93"/>
      <c r="K98" s="95"/>
    </row>
    <row r="99" spans="1:13" s="20" customFormat="1" ht="18" customHeight="1" x14ac:dyDescent="0.25">
      <c r="A99" s="1"/>
      <c r="B99" s="34">
        <v>1</v>
      </c>
      <c r="C99" s="45" t="s">
        <v>88</v>
      </c>
      <c r="D99" s="36">
        <f>IFERROR(HLOOKUP($J$1,[1]DB!$C$1:$K$172,99,FALSE),"")</f>
        <v>64</v>
      </c>
      <c r="E99" s="36">
        <f>SUMIFS('[1]Rincian Keluar'!$G:$G,'[1]Rincian Keluar'!$E:$E,SUKABASUKI!C99,'[1]Rincian Keluar'!$D:$D,SUKABASUKI!$D$1,'[1]Rincian Keluar'!$H:$H,SUKABASUKI!$J$1,'[1]Rincian Keluar'!$F:$F,SUKABASUKI!M99)</f>
        <v>75</v>
      </c>
      <c r="F99" s="37">
        <v>118000</v>
      </c>
      <c r="G99" s="98">
        <f>E99*F99</f>
        <v>8850000</v>
      </c>
      <c r="H99" s="108">
        <v>2990200</v>
      </c>
      <c r="I99" s="39">
        <f>IFERROR(VLOOKUP($C98,[1]HK!$B$5:$C$20,2,FALSE),"")*$J1</f>
        <v>2780000</v>
      </c>
      <c r="J99" s="202">
        <f>I99-H99</f>
        <v>-210200</v>
      </c>
      <c r="K99" s="103">
        <v>1</v>
      </c>
      <c r="M99" s="20" t="str">
        <f>$C$98</f>
        <v>KERAMIK</v>
      </c>
    </row>
    <row r="100" spans="1:13" s="20" customFormat="1" ht="18" customHeight="1" x14ac:dyDescent="0.25">
      <c r="A100" s="1"/>
      <c r="B100" s="34">
        <v>2</v>
      </c>
      <c r="C100" s="45" t="s">
        <v>83</v>
      </c>
      <c r="D100" s="36">
        <f>IFERROR(HLOOKUP($J$1,[1]DB!$C$1:$K$172,100,FALSE),"")</f>
        <v>26</v>
      </c>
      <c r="E100" s="36">
        <f>SUMIFS('[1]Rincian Keluar'!$G:$G,'[1]Rincian Keluar'!$E:$E,SUKABASUKI!C100,'[1]Rincian Keluar'!$D:$D,SUKABASUKI!$D$1,'[1]Rincian Keluar'!$H:$H,SUKABASUKI!$J$1,'[1]Rincian Keluar'!$F:$F,SUKABASUKI!M100)</f>
        <v>0</v>
      </c>
      <c r="F100" s="37">
        <v>165000</v>
      </c>
      <c r="G100" s="98">
        <f t="shared" ref="G100:G103" si="20">E100*F100</f>
        <v>0</v>
      </c>
      <c r="H100" s="110"/>
      <c r="I100" s="42"/>
      <c r="J100" s="203"/>
      <c r="K100" s="105"/>
      <c r="M100" s="20" t="str">
        <f t="shared" ref="M100:M103" si="21">$C$98</f>
        <v>KERAMIK</v>
      </c>
    </row>
    <row r="101" spans="1:13" s="20" customFormat="1" ht="18" customHeight="1" x14ac:dyDescent="0.25">
      <c r="A101" s="1"/>
      <c r="B101" s="34">
        <v>3</v>
      </c>
      <c r="C101" s="45" t="s">
        <v>31</v>
      </c>
      <c r="D101" s="36">
        <f>IFERROR(HLOOKUP($J$1,[1]DB!$C$1:$K$172,101,FALSE),"")</f>
        <v>10</v>
      </c>
      <c r="E101" s="36">
        <f>SUMIFS('[1]Rincian Keluar'!$G:$G,'[1]Rincian Keluar'!$E:$E,SUKABASUKI!C101,'[1]Rincian Keluar'!$D:$D,SUKABASUKI!$D$1,'[1]Rincian Keluar'!$H:$H,SUKABASUKI!$J$1,'[1]Rincian Keluar'!$F:$F,SUKABASUKI!M101)</f>
        <v>10</v>
      </c>
      <c r="F101" s="37">
        <v>150000</v>
      </c>
      <c r="G101" s="98">
        <f t="shared" si="20"/>
        <v>1500000</v>
      </c>
      <c r="H101" s="110"/>
      <c r="I101" s="42"/>
      <c r="J101" s="203"/>
      <c r="K101" s="105"/>
      <c r="M101" s="20" t="str">
        <f t="shared" si="21"/>
        <v>KERAMIK</v>
      </c>
    </row>
    <row r="102" spans="1:13" s="20" customFormat="1" ht="18" customHeight="1" x14ac:dyDescent="0.25">
      <c r="A102" s="1"/>
      <c r="B102" s="34">
        <v>4</v>
      </c>
      <c r="C102" s="45" t="s">
        <v>24</v>
      </c>
      <c r="D102" s="36">
        <f>IFERROR(HLOOKUP($J$1,[1]DB!$C$1:$K$172,102,FALSE),"")</f>
        <v>44</v>
      </c>
      <c r="E102" s="36">
        <f>SUMIFS('[1]Rincian Keluar'!$G:$G,'[1]Rincian Keluar'!$E:$E,SUKABASUKI!C102,'[1]Rincian Keluar'!$D:$D,SUKABASUKI!$D$1,'[1]Rincian Keluar'!$H:$H,SUKABASUKI!$J$1,'[1]Rincian Keluar'!$F:$F,SUKABASUKI!M102)</f>
        <v>33</v>
      </c>
      <c r="F102" s="37">
        <v>60700</v>
      </c>
      <c r="G102" s="98">
        <f t="shared" si="20"/>
        <v>2003100</v>
      </c>
      <c r="H102" s="110"/>
      <c r="I102" s="42"/>
      <c r="J102" s="203"/>
      <c r="K102" s="105"/>
      <c r="M102" s="20" t="str">
        <f t="shared" si="21"/>
        <v>KERAMIK</v>
      </c>
    </row>
    <row r="103" spans="1:13" s="20" customFormat="1" ht="18" customHeight="1" x14ac:dyDescent="0.25">
      <c r="A103" s="1"/>
      <c r="B103" s="34">
        <v>5</v>
      </c>
      <c r="C103" s="45" t="s">
        <v>89</v>
      </c>
      <c r="D103" s="36">
        <f>IFERROR(HLOOKUP($J$1,[1]DB!$C$1:$K$172,103,FALSE),"")</f>
        <v>5</v>
      </c>
      <c r="E103" s="36">
        <f>SUMIFS('[1]Rincian Keluar'!$G:$G,'[1]Rincian Keluar'!$E:$E,SUKABASUKI!C103,'[1]Rincian Keluar'!$D:$D,SUKABASUKI!$D$1,'[1]Rincian Keluar'!$H:$H,SUKABASUKI!$J$1,'[1]Rincian Keluar'!$F:$F,SUKABASUKI!M103)</f>
        <v>2</v>
      </c>
      <c r="F103" s="121">
        <v>15000</v>
      </c>
      <c r="G103" s="98">
        <f t="shared" si="20"/>
        <v>30000</v>
      </c>
      <c r="H103" s="112"/>
      <c r="I103" s="47"/>
      <c r="J103" s="204"/>
      <c r="K103" s="107"/>
      <c r="M103" s="20" t="str">
        <f t="shared" si="21"/>
        <v>KERAMIK</v>
      </c>
    </row>
    <row r="104" spans="1:13" s="20" customFormat="1" ht="18" customHeight="1" x14ac:dyDescent="0.25">
      <c r="A104" s="1"/>
      <c r="B104" s="91" t="s">
        <v>90</v>
      </c>
      <c r="C104" s="92" t="s">
        <v>91</v>
      </c>
      <c r="D104" s="93"/>
      <c r="E104" s="93"/>
      <c r="F104" s="93"/>
      <c r="G104" s="93"/>
      <c r="H104" s="93"/>
      <c r="I104" s="94"/>
      <c r="J104" s="93"/>
      <c r="K104" s="95"/>
    </row>
    <row r="105" spans="1:13" s="20" customFormat="1" ht="18" customHeight="1" x14ac:dyDescent="0.25">
      <c r="A105" s="1"/>
      <c r="B105" s="34">
        <v>1</v>
      </c>
      <c r="C105" s="45" t="s">
        <v>92</v>
      </c>
      <c r="D105" s="36">
        <f>IFERROR(HLOOKUP($J$1,[1]DB!$C$1:$K$172,105,FALSE),"")</f>
        <v>6</v>
      </c>
      <c r="E105" s="36">
        <f>SUMIFS('[1]Rincian Keluar'!$G:$G,'[1]Rincian Keluar'!$E:$E,SUKABASUKI!C105,'[1]Rincian Keluar'!$D:$D,SUKABASUKI!$D$1,'[1]Rincian Keluar'!$H:$H,SUKABASUKI!$J$1,'[1]Rincian Keluar'!$F:$F,SUKABASUKI!M105)</f>
        <v>6</v>
      </c>
      <c r="F105" s="57">
        <v>60000</v>
      </c>
      <c r="G105" s="98">
        <f>E105*F105</f>
        <v>360000</v>
      </c>
      <c r="H105" s="108">
        <v>999400</v>
      </c>
      <c r="I105" s="39">
        <f>IFERROR(VLOOKUP($C104,[1]HK!$B$5:$C$27,2,FALSE),"")*$J1+450000</f>
        <v>900000</v>
      </c>
      <c r="J105" s="129">
        <f>I105-H105</f>
        <v>-99400</v>
      </c>
      <c r="K105" s="103">
        <v>0.95</v>
      </c>
      <c r="M105" s="20" t="str">
        <f t="shared" ref="M105:M116" si="22">$C$104</f>
        <v>WC</v>
      </c>
    </row>
    <row r="106" spans="1:13" s="20" customFormat="1" ht="18" customHeight="1" x14ac:dyDescent="0.25">
      <c r="A106" s="1"/>
      <c r="B106" s="34">
        <v>2</v>
      </c>
      <c r="C106" s="45" t="s">
        <v>93</v>
      </c>
      <c r="D106" s="36">
        <f>IFERROR(HLOOKUP($J$1,[1]DB!$C$1:$K$172,106,FALSE),"")</f>
        <v>22</v>
      </c>
      <c r="E106" s="36">
        <f>SUMIFS('[1]Rincian Keluar'!$G:$G,'[1]Rincian Keluar'!$E:$E,SUKABASUKI!C106,'[1]Rincian Keluar'!$D:$D,SUKABASUKI!$D$1,'[1]Rincian Keluar'!$H:$H,SUKABASUKI!$J$1,'[1]Rincian Keluar'!$F:$F,SUKABASUKI!M106)</f>
        <v>32</v>
      </c>
      <c r="F106" s="57">
        <v>60000</v>
      </c>
      <c r="G106" s="98">
        <f t="shared" ref="G106:G116" si="23">E106*F106</f>
        <v>1920000</v>
      </c>
      <c r="H106" s="110"/>
      <c r="I106" s="42"/>
      <c r="J106" s="130"/>
      <c r="K106" s="105"/>
      <c r="M106" s="20" t="str">
        <f t="shared" si="22"/>
        <v>WC</v>
      </c>
    </row>
    <row r="107" spans="1:13" s="20" customFormat="1" ht="18" customHeight="1" x14ac:dyDescent="0.25">
      <c r="A107" s="1"/>
      <c r="B107" s="34">
        <v>3</v>
      </c>
      <c r="C107" s="45" t="s">
        <v>94</v>
      </c>
      <c r="D107" s="36">
        <f>IFERROR(HLOOKUP($J$1,[1]DB!$C$1:$K$172,107,FALSE),"")</f>
        <v>2</v>
      </c>
      <c r="E107" s="36">
        <f>SUMIFS('[1]Rincian Keluar'!$G:$G,'[1]Rincian Keluar'!$E:$E,SUKABASUKI!C107,'[1]Rincian Keluar'!$D:$D,SUKABASUKI!$D$1,'[1]Rincian Keluar'!$H:$H,SUKABASUKI!$J$1,'[1]Rincian Keluar'!$F:$F,SUKABASUKI!M107)</f>
        <v>0</v>
      </c>
      <c r="F107" s="57">
        <v>270000</v>
      </c>
      <c r="G107" s="98">
        <f t="shared" si="23"/>
        <v>0</v>
      </c>
      <c r="H107" s="110"/>
      <c r="I107" s="42"/>
      <c r="J107" s="130"/>
      <c r="K107" s="105"/>
      <c r="M107" s="20" t="str">
        <f t="shared" si="22"/>
        <v>WC</v>
      </c>
    </row>
    <row r="108" spans="1:13" s="20" customFormat="1" ht="18" customHeight="1" x14ac:dyDescent="0.25">
      <c r="A108" s="1"/>
      <c r="B108" s="34">
        <v>4</v>
      </c>
      <c r="C108" s="45" t="s">
        <v>95</v>
      </c>
      <c r="D108" s="36">
        <f>IFERROR(HLOOKUP($J$1,[1]DB!$C$1:$K$172,108,FALSE),"")</f>
        <v>1</v>
      </c>
      <c r="E108" s="36">
        <f>SUMIFS('[1]Rincian Keluar'!$G:$G,'[1]Rincian Keluar'!$E:$E,SUKABASUKI!C108,'[1]Rincian Keluar'!$D:$D,SUKABASUKI!$D$1,'[1]Rincian Keluar'!$H:$H,SUKABASUKI!$J$1,'[1]Rincian Keluar'!$F:$F,SUKABASUKI!M108)</f>
        <v>0</v>
      </c>
      <c r="F108" s="57">
        <v>780000</v>
      </c>
      <c r="G108" s="98">
        <f t="shared" si="23"/>
        <v>0</v>
      </c>
      <c r="H108" s="110"/>
      <c r="I108" s="42"/>
      <c r="J108" s="130"/>
      <c r="K108" s="105"/>
      <c r="M108" s="20" t="str">
        <f t="shared" si="22"/>
        <v>WC</v>
      </c>
    </row>
    <row r="109" spans="1:13" s="20" customFormat="1" ht="18" customHeight="1" x14ac:dyDescent="0.25">
      <c r="A109" s="1"/>
      <c r="B109" s="34">
        <v>5</v>
      </c>
      <c r="C109" s="45" t="s">
        <v>96</v>
      </c>
      <c r="D109" s="36">
        <f>IFERROR(HLOOKUP($J$1,[1]DB!$C$1:$K$172,109,FALSE),"")</f>
        <v>2</v>
      </c>
      <c r="E109" s="36">
        <f>SUMIFS('[1]Rincian Keluar'!$G:$G,'[1]Rincian Keluar'!$E:$E,SUKABASUKI!C109,'[1]Rincian Keluar'!$D:$D,SUKABASUKI!$D$1,'[1]Rincian Keluar'!$H:$H,SUKABASUKI!$J$1,'[1]Rincian Keluar'!$F:$F,SUKABASUKI!M109)</f>
        <v>1</v>
      </c>
      <c r="F109" s="57">
        <v>5000</v>
      </c>
      <c r="G109" s="98">
        <f t="shared" si="23"/>
        <v>5000</v>
      </c>
      <c r="H109" s="110"/>
      <c r="I109" s="42"/>
      <c r="J109" s="130"/>
      <c r="K109" s="105"/>
      <c r="M109" s="20" t="str">
        <f t="shared" si="22"/>
        <v>WC</v>
      </c>
    </row>
    <row r="110" spans="1:13" s="20" customFormat="1" ht="18" customHeight="1" x14ac:dyDescent="0.25">
      <c r="A110" s="1"/>
      <c r="B110" s="34">
        <v>6</v>
      </c>
      <c r="C110" s="45" t="s">
        <v>31</v>
      </c>
      <c r="D110" s="36">
        <f>IFERROR(HLOOKUP($J$1,[1]DB!$C$1:$K$172,110,FALSE),"")</f>
        <v>1</v>
      </c>
      <c r="E110" s="36">
        <f>SUMIFS('[1]Rincian Keluar'!$G:$G,'[1]Rincian Keluar'!$E:$E,SUKABASUKI!C110,'[1]Rincian Keluar'!$D:$D,SUKABASUKI!$D$1,'[1]Rincian Keluar'!$H:$H,SUKABASUKI!$J$1,'[1]Rincian Keluar'!$F:$F,SUKABASUKI!M110)</f>
        <v>3</v>
      </c>
      <c r="F110" s="57">
        <v>150000</v>
      </c>
      <c r="G110" s="98">
        <f t="shared" si="23"/>
        <v>450000</v>
      </c>
      <c r="H110" s="110"/>
      <c r="I110" s="42"/>
      <c r="J110" s="130"/>
      <c r="K110" s="105"/>
      <c r="M110" s="20" t="str">
        <f t="shared" si="22"/>
        <v>WC</v>
      </c>
    </row>
    <row r="111" spans="1:13" s="20" customFormat="1" ht="18" customHeight="1" x14ac:dyDescent="0.25">
      <c r="A111" s="1"/>
      <c r="B111" s="34">
        <v>7</v>
      </c>
      <c r="C111" s="45" t="s">
        <v>24</v>
      </c>
      <c r="D111" s="36">
        <f>IFERROR(HLOOKUP($J$1,[1]DB!$C$1:$K$172,111,FALSE),"")</f>
        <v>4</v>
      </c>
      <c r="E111" s="36">
        <f>SUMIFS('[1]Rincian Keluar'!$G:$G,'[1]Rincian Keluar'!$E:$E,SUKABASUKI!C111,'[1]Rincian Keluar'!$D:$D,SUKABASUKI!$D$1,'[1]Rincian Keluar'!$H:$H,SUKABASUKI!$J$1,'[1]Rincian Keluar'!$F:$F,SUKABASUKI!M111)</f>
        <v>3</v>
      </c>
      <c r="F111" s="37">
        <v>60700</v>
      </c>
      <c r="G111" s="98">
        <f t="shared" si="23"/>
        <v>182100</v>
      </c>
      <c r="H111" s="110"/>
      <c r="I111" s="42"/>
      <c r="J111" s="130"/>
      <c r="K111" s="105"/>
      <c r="M111" s="20" t="str">
        <f t="shared" si="22"/>
        <v>WC</v>
      </c>
    </row>
    <row r="112" spans="1:13" s="20" customFormat="1" ht="18" customHeight="1" x14ac:dyDescent="0.25">
      <c r="A112" s="1"/>
      <c r="B112" s="34">
        <v>8</v>
      </c>
      <c r="C112" s="45" t="s">
        <v>97</v>
      </c>
      <c r="D112" s="36">
        <f>IFERROR(HLOOKUP($J$1,[1]DB!$C$1:$K$172,112,FALSE),"")</f>
        <v>2</v>
      </c>
      <c r="E112" s="36">
        <f>SUMIFS('[1]Rincian Keluar'!$G:$G,'[1]Rincian Keluar'!$E:$E,SUKABASUKI!C112,'[1]Rincian Keluar'!$D:$D,SUKABASUKI!$D$1,'[1]Rincian Keluar'!$H:$H,SUKABASUKI!$J$1,'[1]Rincian Keluar'!$F:$F,SUKABASUKI!M112)</f>
        <v>0</v>
      </c>
      <c r="F112" s="57">
        <v>140000</v>
      </c>
      <c r="G112" s="98">
        <f t="shared" si="23"/>
        <v>0</v>
      </c>
      <c r="H112" s="110"/>
      <c r="I112" s="42"/>
      <c r="J112" s="130"/>
      <c r="K112" s="105"/>
      <c r="M112" s="20" t="str">
        <f t="shared" si="22"/>
        <v>WC</v>
      </c>
    </row>
    <row r="113" spans="1:13" s="20" customFormat="1" ht="18" customHeight="1" x14ac:dyDescent="0.25">
      <c r="A113" s="1"/>
      <c r="B113" s="34">
        <v>9</v>
      </c>
      <c r="C113" s="45" t="s">
        <v>98</v>
      </c>
      <c r="D113" s="36">
        <f>IFERROR(HLOOKUP($J$1,[1]DB!$C$1:$K$172,113,FALSE),"")</f>
        <v>2</v>
      </c>
      <c r="E113" s="36">
        <f>SUMIFS('[1]Rincian Keluar'!$G:$G,'[1]Rincian Keluar'!$E:$E,SUKABASUKI!C113,'[1]Rincian Keluar'!$D:$D,SUKABASUKI!$D$1,'[1]Rincian Keluar'!$H:$H,SUKABASUKI!$J$1,'[1]Rincian Keluar'!$F:$F,SUKABASUKI!M113)</f>
        <v>2</v>
      </c>
      <c r="F113" s="57">
        <v>18000</v>
      </c>
      <c r="G113" s="98">
        <f t="shared" si="23"/>
        <v>36000</v>
      </c>
      <c r="H113" s="110"/>
      <c r="I113" s="42"/>
      <c r="J113" s="130"/>
      <c r="K113" s="105"/>
      <c r="M113" s="20" t="str">
        <f t="shared" si="22"/>
        <v>WC</v>
      </c>
    </row>
    <row r="114" spans="1:13" s="20" customFormat="1" ht="18" customHeight="1" x14ac:dyDescent="0.25">
      <c r="A114" s="1"/>
      <c r="B114" s="34">
        <v>10</v>
      </c>
      <c r="C114" s="45" t="s">
        <v>99</v>
      </c>
      <c r="D114" s="36">
        <f>IFERROR(HLOOKUP($J$1,[1]DB!$C$1:$K$172,114,FALSE),"")</f>
        <v>6</v>
      </c>
      <c r="E114" s="36">
        <f>SUMIFS('[1]Rincian Keluar'!$G:$G,'[1]Rincian Keluar'!$E:$E,SUKABASUKI!C114,'[1]Rincian Keluar'!$D:$D,SUKABASUKI!$D$1,'[1]Rincian Keluar'!$H:$H,SUKABASUKI!$J$1,'[1]Rincian Keluar'!$F:$F,SUKABASUKI!M114)</f>
        <v>6</v>
      </c>
      <c r="F114" s="57">
        <v>2500</v>
      </c>
      <c r="G114" s="98">
        <f t="shared" si="23"/>
        <v>15000</v>
      </c>
      <c r="H114" s="110"/>
      <c r="I114" s="42"/>
      <c r="J114" s="130"/>
      <c r="K114" s="105"/>
      <c r="M114" s="20" t="str">
        <f t="shared" si="22"/>
        <v>WC</v>
      </c>
    </row>
    <row r="115" spans="1:13" s="20" customFormat="1" ht="18" customHeight="1" x14ac:dyDescent="0.25">
      <c r="A115" s="1"/>
      <c r="B115" s="34">
        <v>11</v>
      </c>
      <c r="C115" s="45" t="s">
        <v>100</v>
      </c>
      <c r="D115" s="36">
        <f>IFERROR(HLOOKUP($J$1,[1]DB!$C$1:$K$172,115,FALSE),"")</f>
        <v>3</v>
      </c>
      <c r="E115" s="36">
        <f>SUMIFS('[1]Rincian Keluar'!$G:$G,'[1]Rincian Keluar'!$E:$E,SUKABASUKI!C115,'[1]Rincian Keluar'!$D:$D,SUKABASUKI!$D$1,'[1]Rincian Keluar'!$H:$H,SUKABASUKI!$J$1,'[1]Rincian Keluar'!$F:$F,SUKABASUKI!M115)</f>
        <v>2</v>
      </c>
      <c r="F115" s="57">
        <v>10000</v>
      </c>
      <c r="G115" s="98">
        <f t="shared" si="23"/>
        <v>20000</v>
      </c>
      <c r="H115" s="110"/>
      <c r="I115" s="42"/>
      <c r="J115" s="130"/>
      <c r="K115" s="105"/>
      <c r="M115" s="20" t="str">
        <f t="shared" si="22"/>
        <v>WC</v>
      </c>
    </row>
    <row r="116" spans="1:13" ht="18" customHeight="1" x14ac:dyDescent="0.25">
      <c r="B116" s="34">
        <v>12</v>
      </c>
      <c r="C116" s="45" t="s">
        <v>101</v>
      </c>
      <c r="D116" s="36">
        <f>IFERROR(HLOOKUP($J$1,[1]DB!$C$1:$K$172,116,FALSE),"")</f>
        <v>1</v>
      </c>
      <c r="E116" s="36">
        <f>SUMIFS('[1]Rincian Keluar'!$G:$G,'[1]Rincian Keluar'!$E:$E,SUKABASUKI!C116,'[1]Rincian Keluar'!$D:$D,SUKABASUKI!$D$1,'[1]Rincian Keluar'!$H:$H,SUKABASUKI!$J$1,'[1]Rincian Keluar'!$F:$F,SUKABASUKI!M116)</f>
        <v>2</v>
      </c>
      <c r="F116" s="57">
        <v>5000</v>
      </c>
      <c r="G116" s="98">
        <f t="shared" si="23"/>
        <v>10000</v>
      </c>
      <c r="H116" s="112"/>
      <c r="I116" s="47"/>
      <c r="J116" s="131"/>
      <c r="K116" s="107"/>
      <c r="M116" s="20" t="str">
        <f t="shared" si="22"/>
        <v>WC</v>
      </c>
    </row>
    <row r="117" spans="1:13" ht="18" customHeight="1" x14ac:dyDescent="0.25">
      <c r="B117" s="29" t="s">
        <v>102</v>
      </c>
      <c r="C117" s="124" t="s">
        <v>103</v>
      </c>
      <c r="D117" s="31"/>
      <c r="E117" s="31"/>
      <c r="F117" s="31"/>
      <c r="G117" s="31"/>
      <c r="H117" s="31"/>
      <c r="I117" s="32"/>
      <c r="J117" s="31"/>
      <c r="K117" s="33"/>
      <c r="M117" s="20"/>
    </row>
    <row r="118" spans="1:13" ht="18" customHeight="1" x14ac:dyDescent="0.25">
      <c r="B118" s="34">
        <v>1</v>
      </c>
      <c r="C118" s="72" t="s">
        <v>104</v>
      </c>
      <c r="D118" s="36">
        <f>IFERROR(HLOOKUP($J$1,[1]DB!$C$1:$K$172,118,FALSE),"")</f>
        <v>24</v>
      </c>
      <c r="E118" s="36">
        <f>SUMIFS('[1]Rincian Keluar'!$G:$G,'[1]Rincian Keluar'!$E:$E,SUKABASUKI!C118,'[1]Rincian Keluar'!$D:$D,SUKABASUKI!$D$1,'[1]Rincian Keluar'!$H:$H,SUKABASUKI!$J$1,'[1]Rincian Keluar'!$F:$F,SUKABASUKI!M118)</f>
        <v>0</v>
      </c>
      <c r="F118" s="57">
        <v>124500</v>
      </c>
      <c r="G118" s="98">
        <f>E118*F118</f>
        <v>0</v>
      </c>
      <c r="H118" s="36"/>
      <c r="I118" s="126">
        <f>IFERROR(VLOOKUP($C117,[1]HK!$B$5:$C$20,2,FALSE),"")*$J1</f>
        <v>1085000</v>
      </c>
      <c r="J118" s="127"/>
      <c r="K118" s="178"/>
      <c r="M118" s="20" t="str">
        <f>$C$117</f>
        <v>ACI MINIMALIS</v>
      </c>
    </row>
    <row r="119" spans="1:13" ht="18" customHeight="1" x14ac:dyDescent="0.25">
      <c r="B119" s="91" t="s">
        <v>105</v>
      </c>
      <c r="C119" s="205" t="s">
        <v>106</v>
      </c>
      <c r="D119" s="93"/>
      <c r="E119" s="93"/>
      <c r="F119" s="93"/>
      <c r="G119" s="93"/>
      <c r="H119" s="93"/>
      <c r="I119" s="94"/>
      <c r="J119" s="93"/>
      <c r="K119" s="95"/>
      <c r="M119" s="20"/>
    </row>
    <row r="120" spans="1:13" ht="18" customHeight="1" x14ac:dyDescent="0.25">
      <c r="B120" s="34">
        <v>1</v>
      </c>
      <c r="C120" s="35" t="s">
        <v>107</v>
      </c>
      <c r="D120" s="36">
        <f>IFERROR(HLOOKUP($J$1,[1]DB!$C$1:$K$172,120,FALSE),"")</f>
        <v>1</v>
      </c>
      <c r="E120" s="36">
        <f>SUMIFS('[1]Rincian Keluar'!$G:$G,'[1]Rincian Keluar'!$E:$E,SUKABASUKI!C120,'[1]Rincian Keluar'!$D:$D,SUKABASUKI!$D$1,'[1]Rincian Keluar'!$H:$H,SUKABASUKI!$J$1,'[1]Rincian Keluar'!$F:$F,SUKABASUKI!M120)</f>
        <v>0</v>
      </c>
      <c r="F120" s="64">
        <v>2434900</v>
      </c>
      <c r="G120" s="98">
        <f>E120*F120</f>
        <v>0</v>
      </c>
      <c r="H120" s="108">
        <v>4433000</v>
      </c>
      <c r="I120" s="39">
        <f>IFERROR(VLOOKUP($C119,[1]HK!$B$5:$C$20,2,FALSE),"")*$J1</f>
        <v>3475000</v>
      </c>
      <c r="J120" s="129">
        <f>I120-H120</f>
        <v>-958000</v>
      </c>
      <c r="K120" s="103">
        <v>0.6</v>
      </c>
      <c r="M120" s="20" t="str">
        <f>$C$119</f>
        <v>CAT</v>
      </c>
    </row>
    <row r="121" spans="1:13" ht="18" customHeight="1" x14ac:dyDescent="0.25">
      <c r="B121" s="34">
        <v>2</v>
      </c>
      <c r="C121" s="35" t="s">
        <v>108</v>
      </c>
      <c r="D121" s="36">
        <f>IFERROR(HLOOKUP($J$1,[1]DB!$C$1:$K$172,121,FALSE),"")</f>
        <v>6</v>
      </c>
      <c r="E121" s="36">
        <f>SUMIFS('[1]Rincian Keluar'!$G:$G,'[1]Rincian Keluar'!$E:$E,SUKABASUKI!C121,'[1]Rincian Keluar'!$D:$D,SUKABASUKI!$D$1,'[1]Rincian Keluar'!$H:$H,SUKABASUKI!$J$1,'[1]Rincian Keluar'!$F:$F,SUKABASUKI!M121)</f>
        <v>3</v>
      </c>
      <c r="F121" s="64">
        <v>275000</v>
      </c>
      <c r="G121" s="98">
        <f t="shared" ref="G121:G123" si="24">E121*F121</f>
        <v>825000</v>
      </c>
      <c r="H121" s="110"/>
      <c r="I121" s="42"/>
      <c r="J121" s="130"/>
      <c r="K121" s="105"/>
      <c r="M121" s="20" t="str">
        <f>$C$119</f>
        <v>CAT</v>
      </c>
    </row>
    <row r="122" spans="1:13" ht="18" customHeight="1" x14ac:dyDescent="0.25">
      <c r="B122" s="34">
        <v>3</v>
      </c>
      <c r="C122" s="72" t="s">
        <v>104</v>
      </c>
      <c r="D122" s="36">
        <f>IFERROR(HLOOKUP($J$1,[1]DB!$C$1:$K$172,122,FALSE),"")</f>
        <v>24</v>
      </c>
      <c r="E122" s="36">
        <f>SUMIFS('[1]Rincian Keluar'!$G:$G,'[1]Rincian Keluar'!$E:$E,SUKABASUKI!C122,'[1]Rincian Keluar'!$D:$D,SUKABASUKI!$D$1,'[1]Rincian Keluar'!$H:$H,SUKABASUKI!$J$1,'[1]Rincian Keluar'!$F:$F,SUKABASUKI!M122)</f>
        <v>13</v>
      </c>
      <c r="F122" s="57">
        <v>124500</v>
      </c>
      <c r="G122" s="98">
        <f t="shared" si="24"/>
        <v>1618500</v>
      </c>
      <c r="H122" s="110"/>
      <c r="I122" s="42"/>
      <c r="J122" s="130"/>
      <c r="K122" s="105"/>
      <c r="M122" s="20" t="str">
        <f>$C$119</f>
        <v>CAT</v>
      </c>
    </row>
    <row r="123" spans="1:13" ht="18" customHeight="1" x14ac:dyDescent="0.25">
      <c r="B123" s="34">
        <v>4</v>
      </c>
      <c r="C123" s="72" t="s">
        <v>109</v>
      </c>
      <c r="D123" s="36">
        <f>IFERROR(HLOOKUP($J$1,[1]DB!$C$1:$K$172,123,FALSE),"")</f>
        <v>2</v>
      </c>
      <c r="E123" s="36">
        <f>SUMIFS('[1]Rincian Keluar'!$G:$G,'[1]Rincian Keluar'!$E:$E,SUKABASUKI!C123,'[1]Rincian Keluar'!$D:$D,SUKABASUKI!$D$1,'[1]Rincian Keluar'!$H:$H,SUKABASUKI!$J$1,'[1]Rincian Keluar'!$F:$F,SUKABASUKI!M123)</f>
        <v>5</v>
      </c>
      <c r="F123" s="57">
        <v>115000</v>
      </c>
      <c r="G123" s="98">
        <f t="shared" si="24"/>
        <v>575000</v>
      </c>
      <c r="H123" s="112"/>
      <c r="I123" s="47"/>
      <c r="J123" s="131"/>
      <c r="K123" s="107"/>
      <c r="M123" s="20" t="str">
        <f>$C$119</f>
        <v>CAT</v>
      </c>
    </row>
    <row r="124" spans="1:13" ht="18" customHeight="1" x14ac:dyDescent="0.25">
      <c r="B124" s="29" t="s">
        <v>110</v>
      </c>
      <c r="C124" s="124" t="s">
        <v>111</v>
      </c>
      <c r="D124" s="132"/>
      <c r="E124" s="132"/>
      <c r="F124" s="132"/>
      <c r="G124" s="132"/>
      <c r="H124" s="132"/>
      <c r="I124" s="133"/>
      <c r="J124" s="132"/>
      <c r="K124" s="134"/>
      <c r="M124" s="20"/>
    </row>
    <row r="125" spans="1:13" ht="18" customHeight="1" x14ac:dyDescent="0.25">
      <c r="B125" s="34">
        <v>1</v>
      </c>
      <c r="C125" s="35" t="s">
        <v>54</v>
      </c>
      <c r="D125" s="36">
        <f>IFERROR(HLOOKUP($J$1,[1]DB!$C$1:$K$172,125,FALSE),"")</f>
        <v>100</v>
      </c>
      <c r="E125" s="36">
        <f>SUMIFS('[1]Rincian Keluar'!$G:$G,'[1]Rincian Keluar'!$E:$E,SUKABASUKI!C125,'[1]Rincian Keluar'!$D:$D,SUKABASUKI!$D$1,'[1]Rincian Keluar'!$H:$H,SUKABASUKI!$J$1,'[1]Rincian Keluar'!$F:$F,SUKABASUKI!M125)</f>
        <v>2562</v>
      </c>
      <c r="F125" s="37">
        <v>1850</v>
      </c>
      <c r="G125" s="135">
        <f>E125*F125</f>
        <v>4739700</v>
      </c>
      <c r="H125" s="108">
        <v>2326200</v>
      </c>
      <c r="I125" s="39">
        <f>IFERROR(VLOOKUP($C124,[1]HK!$B$5:$C$20,2,FALSE),"")*$J1</f>
        <v>445000</v>
      </c>
      <c r="J125" s="129">
        <f>I125-H125</f>
        <v>-1881200</v>
      </c>
      <c r="K125" s="103">
        <v>0.7</v>
      </c>
      <c r="M125" s="20" t="str">
        <f>$C$124</f>
        <v>PAGAR</v>
      </c>
    </row>
    <row r="126" spans="1:13" ht="18" customHeight="1" x14ac:dyDescent="0.25">
      <c r="B126" s="34">
        <v>2</v>
      </c>
      <c r="C126" s="35" t="s">
        <v>31</v>
      </c>
      <c r="D126" s="36">
        <f>IFERROR(HLOOKUP($J$1,[1]DB!$C$1:$K$172,126,FALSE),"")</f>
        <v>1</v>
      </c>
      <c r="E126" s="36">
        <f>SUMIFS('[1]Rincian Keluar'!$G:$G,'[1]Rincian Keluar'!$E:$E,SUKABASUKI!C126,'[1]Rincian Keluar'!$D:$D,SUKABASUKI!$D$1,'[1]Rincian Keluar'!$H:$H,SUKABASUKI!$J$1,'[1]Rincian Keluar'!$F:$F,SUKABASUKI!M126)</f>
        <v>5</v>
      </c>
      <c r="F126" s="37">
        <v>150000</v>
      </c>
      <c r="G126" s="135">
        <f t="shared" ref="G126:G129" si="25">E126*F126</f>
        <v>750000</v>
      </c>
      <c r="H126" s="110"/>
      <c r="I126" s="42"/>
      <c r="J126" s="130"/>
      <c r="K126" s="105"/>
      <c r="M126" s="20" t="str">
        <f>$C$124</f>
        <v>PAGAR</v>
      </c>
    </row>
    <row r="127" spans="1:13" ht="18" customHeight="1" x14ac:dyDescent="0.25">
      <c r="B127" s="34">
        <v>3</v>
      </c>
      <c r="C127" s="45" t="s">
        <v>24</v>
      </c>
      <c r="D127" s="36">
        <f>IFERROR(HLOOKUP($J$1,[1]DB!$C$1:$K$172,127,FALSE),"")</f>
        <v>3</v>
      </c>
      <c r="E127" s="36">
        <f>SUMIFS('[1]Rincian Keluar'!$G:$G,'[1]Rincian Keluar'!$E:$E,SUKABASUKI!C127,'[1]Rincian Keluar'!$D:$D,SUKABASUKI!$D$1,'[1]Rincian Keluar'!$H:$H,SUKABASUKI!$J$1,'[1]Rincian Keluar'!$F:$F,SUKABASUKI!M127)</f>
        <v>32</v>
      </c>
      <c r="F127" s="37">
        <v>60700</v>
      </c>
      <c r="G127" s="135">
        <f t="shared" si="25"/>
        <v>1942400</v>
      </c>
      <c r="H127" s="110"/>
      <c r="I127" s="42"/>
      <c r="J127" s="130"/>
      <c r="K127" s="105"/>
      <c r="M127" s="20" t="str">
        <f>$C$124</f>
        <v>PAGAR</v>
      </c>
    </row>
    <row r="128" spans="1:13" ht="18" customHeight="1" x14ac:dyDescent="0.25">
      <c r="B128" s="34">
        <v>4</v>
      </c>
      <c r="C128" s="45" t="s">
        <v>51</v>
      </c>
      <c r="D128" s="36">
        <f>IFERROR(HLOOKUP($J$1,[1]DB!$C$1:$K$172,128,FALSE),"")</f>
        <v>2</v>
      </c>
      <c r="E128" s="36">
        <f>SUMIFS('[1]Rincian Keluar'!$G:$G,'[1]Rincian Keluar'!$E:$E,SUKABASUKI!C128,'[1]Rincian Keluar'!$D:$D,SUKABASUKI!$D$1,'[1]Rincian Keluar'!$H:$H,SUKABASUKI!$J$1,'[1]Rincian Keluar'!$F:$F,SUKABASUKI!M128)</f>
        <v>4</v>
      </c>
      <c r="F128" s="37">
        <v>22000</v>
      </c>
      <c r="G128" s="135">
        <f t="shared" si="25"/>
        <v>88000</v>
      </c>
      <c r="H128" s="110"/>
      <c r="I128" s="42"/>
      <c r="J128" s="130"/>
      <c r="K128" s="105"/>
      <c r="M128" s="20" t="str">
        <f>$C$124</f>
        <v>PAGAR</v>
      </c>
    </row>
    <row r="129" spans="2:13" ht="18" customHeight="1" x14ac:dyDescent="0.25">
      <c r="B129" s="29">
        <v>5</v>
      </c>
      <c r="C129" s="45" t="s">
        <v>57</v>
      </c>
      <c r="D129" s="36">
        <f>IFERROR(HLOOKUP($J$1,[1]DB!$C$1:$K$172,129,FALSE),"")</f>
        <v>4</v>
      </c>
      <c r="E129" s="36">
        <f>SUMIFS('[1]Rincian Keluar'!$G:$G,'[1]Rincian Keluar'!$E:$E,SUKABASUKI!C129,'[1]Rincian Keluar'!$D:$D,SUKABASUKI!$D$1,'[1]Rincian Keluar'!$H:$H,SUKABASUKI!$J$1,'[1]Rincian Keluar'!$F:$F,SUKABASUKI!M129)</f>
        <v>4</v>
      </c>
      <c r="F129" s="37">
        <v>35000</v>
      </c>
      <c r="G129" s="135">
        <f t="shared" si="25"/>
        <v>140000</v>
      </c>
      <c r="H129" s="112"/>
      <c r="I129" s="47"/>
      <c r="J129" s="131"/>
      <c r="K129" s="107"/>
      <c r="M129" s="20" t="str">
        <f>$C$124</f>
        <v>PAGAR</v>
      </c>
    </row>
    <row r="130" spans="2:13" ht="18" customHeight="1" x14ac:dyDescent="0.25">
      <c r="B130" s="29" t="s">
        <v>112</v>
      </c>
      <c r="C130" s="124" t="s">
        <v>113</v>
      </c>
      <c r="D130" s="132"/>
      <c r="E130" s="132"/>
      <c r="F130" s="132"/>
      <c r="G130" s="132"/>
      <c r="H130" s="132"/>
      <c r="I130" s="133"/>
      <c r="J130" s="132"/>
      <c r="K130" s="134"/>
      <c r="M130" s="20"/>
    </row>
    <row r="131" spans="2:13" ht="18" customHeight="1" x14ac:dyDescent="0.25">
      <c r="B131" s="34">
        <v>1</v>
      </c>
      <c r="C131" s="45" t="s">
        <v>24</v>
      </c>
      <c r="D131" s="36">
        <f>IFERROR(HLOOKUP($J$1,[1]DB!$C$1:$K$172,131,FALSE),"")</f>
        <v>9</v>
      </c>
      <c r="E131" s="36">
        <f>SUMIFS('[1]Rincian Keluar'!$G:$G,'[1]Rincian Keluar'!$E:$E,SUKABASUKI!C131,'[1]Rincian Keluar'!$D:$D,SUKABASUKI!$D$1,'[1]Rincian Keluar'!$H:$H,SUKABASUKI!$J$1,'[1]Rincian Keluar'!$F:$F,SUKABASUKI!M131)</f>
        <v>0</v>
      </c>
      <c r="F131" s="37">
        <v>60700</v>
      </c>
      <c r="G131" s="135">
        <f>E131*F131</f>
        <v>0</v>
      </c>
      <c r="H131" s="172"/>
      <c r="I131" s="39">
        <f>IFERROR(VLOOKUP($C130,[1]HK!$B$5:$C$20,2,FALSE),"")*$J1</f>
        <v>552500</v>
      </c>
      <c r="J131" s="173"/>
      <c r="K131" s="103"/>
      <c r="M131" s="20" t="str">
        <f>$C$130</f>
        <v>MINIMALIS CARPORT</v>
      </c>
    </row>
    <row r="132" spans="2:13" ht="18" customHeight="1" x14ac:dyDescent="0.25">
      <c r="B132" s="34">
        <v>2</v>
      </c>
      <c r="C132" s="35" t="s">
        <v>31</v>
      </c>
      <c r="D132" s="36">
        <f>IFERROR(HLOOKUP($J$1,[1]DB!$C$1:$K$172,132,FALSE),"")</f>
        <v>2</v>
      </c>
      <c r="E132" s="36">
        <f>SUMIFS('[1]Rincian Keluar'!$G:$G,'[1]Rincian Keluar'!$E:$E,SUKABASUKI!C132,'[1]Rincian Keluar'!$D:$D,SUKABASUKI!$D$1,'[1]Rincian Keluar'!$H:$H,SUKABASUKI!$J$1,'[1]Rincian Keluar'!$F:$F,SUKABASUKI!M132)</f>
        <v>0</v>
      </c>
      <c r="F132" s="37">
        <v>150000</v>
      </c>
      <c r="G132" s="135">
        <f>E132*F132</f>
        <v>0</v>
      </c>
      <c r="H132" s="122"/>
      <c r="I132" s="47"/>
      <c r="J132" s="113"/>
      <c r="K132" s="107"/>
      <c r="M132" s="20" t="str">
        <f>$C$130</f>
        <v>MINIMALIS CARPORT</v>
      </c>
    </row>
    <row r="133" spans="2:13" ht="18" customHeight="1" x14ac:dyDescent="0.25">
      <c r="B133" s="29" t="s">
        <v>114</v>
      </c>
      <c r="C133" s="124" t="s">
        <v>115</v>
      </c>
      <c r="D133" s="132"/>
      <c r="E133" s="132"/>
      <c r="F133" s="132"/>
      <c r="G133" s="132"/>
      <c r="H133" s="132"/>
      <c r="I133" s="133"/>
      <c r="J133" s="132"/>
      <c r="K133" s="134"/>
      <c r="M133" s="20"/>
    </row>
    <row r="134" spans="2:13" s="66" customFormat="1" ht="18" customHeight="1" x14ac:dyDescent="0.25">
      <c r="B134" s="34">
        <v>1</v>
      </c>
      <c r="C134" s="35" t="s">
        <v>116</v>
      </c>
      <c r="D134" s="36" t="str">
        <f>IFERROR(HLOOKUP($J$1,[1]DB!$C$1:$K$172,1334,FALSE),"")</f>
        <v/>
      </c>
      <c r="E134" s="36">
        <f>SUMIFS('[1]Rincian Keluar'!$G:$G,'[1]Rincian Keluar'!$E:$E,SUKABASUKI!C134,'[1]Rincian Keluar'!$D:$D,SUKABASUKI!$D$1,'[1]Rincian Keluar'!$H:$H,SUKABASUKI!$J$1,'[1]Rincian Keluar'!$F:$F,SUKABASUKI!M134)</f>
        <v>5</v>
      </c>
      <c r="F134" s="37">
        <v>82000</v>
      </c>
      <c r="G134" s="135">
        <f>E134*F134</f>
        <v>410000</v>
      </c>
      <c r="H134" s="51">
        <v>272000</v>
      </c>
      <c r="I134" s="51">
        <v>272000</v>
      </c>
      <c r="J134" s="206">
        <f>I134-H134</f>
        <v>0</v>
      </c>
      <c r="K134" s="84">
        <v>1</v>
      </c>
      <c r="M134" s="20" t="str">
        <f t="shared" ref="M134:M141" si="26">$C$133</f>
        <v>TALANG AIR</v>
      </c>
    </row>
    <row r="135" spans="2:13" s="66" customFormat="1" ht="18" customHeight="1" x14ac:dyDescent="0.25">
      <c r="B135" s="34">
        <v>2</v>
      </c>
      <c r="C135" s="35" t="s">
        <v>117</v>
      </c>
      <c r="D135" s="36">
        <f>IFERROR(HLOOKUP($J$1,[1]DB!$C$1:$K$172,135,FALSE),"")</f>
        <v>2</v>
      </c>
      <c r="E135" s="36">
        <f>SUMIFS('[1]Rincian Keluar'!$G:$G,'[1]Rincian Keluar'!$E:$E,SUKABASUKI!C135,'[1]Rincian Keluar'!$D:$D,SUKABASUKI!$D$1,'[1]Rincian Keluar'!$H:$H,SUKABASUKI!$J$1,'[1]Rincian Keluar'!$F:$F,SUKABASUKI!M135)</f>
        <v>2</v>
      </c>
      <c r="F135" s="37">
        <v>50000</v>
      </c>
      <c r="G135" s="135">
        <f t="shared" ref="G135:G141" si="27">E135*F135</f>
        <v>100000</v>
      </c>
      <c r="H135" s="53"/>
      <c r="I135" s="53"/>
      <c r="J135" s="104"/>
      <c r="K135" s="87"/>
      <c r="M135" s="20" t="str">
        <f t="shared" si="26"/>
        <v>TALANG AIR</v>
      </c>
    </row>
    <row r="136" spans="2:13" s="66" customFormat="1" ht="18" customHeight="1" x14ac:dyDescent="0.25">
      <c r="B136" s="34">
        <v>3</v>
      </c>
      <c r="C136" s="35" t="s">
        <v>118</v>
      </c>
      <c r="D136" s="36">
        <f>IFERROR(HLOOKUP($J$1,[1]DB!$C$1:$K$172,136,FALSE),"")</f>
        <v>2</v>
      </c>
      <c r="E136" s="36">
        <f>SUMIFS('[1]Rincian Keluar'!$G:$G,'[1]Rincian Keluar'!$E:$E,SUKABASUKI!C136,'[1]Rincian Keluar'!$D:$D,SUKABASUKI!$D$1,'[1]Rincian Keluar'!$H:$H,SUKABASUKI!$J$1,'[1]Rincian Keluar'!$F:$F,SUKABASUKI!M136)</f>
        <v>2</v>
      </c>
      <c r="F136" s="37">
        <v>4000</v>
      </c>
      <c r="G136" s="135">
        <f t="shared" si="27"/>
        <v>8000</v>
      </c>
      <c r="H136" s="53"/>
      <c r="I136" s="53"/>
      <c r="J136" s="104"/>
      <c r="K136" s="87"/>
      <c r="M136" s="20" t="str">
        <f t="shared" si="26"/>
        <v>TALANG AIR</v>
      </c>
    </row>
    <row r="137" spans="2:13" s="66" customFormat="1" ht="18" customHeight="1" x14ac:dyDescent="0.25">
      <c r="B137" s="34">
        <v>4</v>
      </c>
      <c r="C137" s="35" t="s">
        <v>119</v>
      </c>
      <c r="D137" s="36">
        <f>IFERROR(HLOOKUP($J$1,[1]DB!$C$1:$K$172,137,FALSE),"")</f>
        <v>1</v>
      </c>
      <c r="E137" s="36">
        <f>SUMIFS('[1]Rincian Keluar'!$G:$G,'[1]Rincian Keluar'!$E:$E,SUKABASUKI!C137,'[1]Rincian Keluar'!$D:$D,SUKABASUKI!$D$1,'[1]Rincian Keluar'!$H:$H,SUKABASUKI!$J$1,'[1]Rincian Keluar'!$F:$F,SUKABASUKI!M137)</f>
        <v>2</v>
      </c>
      <c r="F137" s="37">
        <v>15000</v>
      </c>
      <c r="G137" s="135">
        <f t="shared" si="27"/>
        <v>30000</v>
      </c>
      <c r="H137" s="53"/>
      <c r="I137" s="53"/>
      <c r="J137" s="104"/>
      <c r="K137" s="87"/>
      <c r="M137" s="20" t="str">
        <f t="shared" si="26"/>
        <v>TALANG AIR</v>
      </c>
    </row>
    <row r="138" spans="2:13" s="66" customFormat="1" ht="18" customHeight="1" x14ac:dyDescent="0.25">
      <c r="B138" s="34">
        <v>5</v>
      </c>
      <c r="C138" s="35" t="s">
        <v>120</v>
      </c>
      <c r="D138" s="36">
        <f>IFERROR(HLOOKUP($J$1,[1]DB!$C$1:$K$172,138,FALSE),"")</f>
        <v>1</v>
      </c>
      <c r="E138" s="36">
        <f>SUMIFS('[1]Rincian Keluar'!$G:$G,'[1]Rincian Keluar'!$E:$E,SUKABASUKI!C138,'[1]Rincian Keluar'!$D:$D,SUKABASUKI!$D$1,'[1]Rincian Keluar'!$H:$H,SUKABASUKI!$J$1,'[1]Rincian Keluar'!$F:$F,SUKABASUKI!M138)</f>
        <v>2</v>
      </c>
      <c r="F138" s="37">
        <v>12000</v>
      </c>
      <c r="G138" s="135">
        <f t="shared" si="27"/>
        <v>24000</v>
      </c>
      <c r="H138" s="53"/>
      <c r="I138" s="53"/>
      <c r="J138" s="104"/>
      <c r="K138" s="87"/>
      <c r="M138" s="20" t="str">
        <f t="shared" si="26"/>
        <v>TALANG AIR</v>
      </c>
    </row>
    <row r="139" spans="2:13" s="66" customFormat="1" ht="18" customHeight="1" x14ac:dyDescent="0.25">
      <c r="B139" s="34">
        <v>6</v>
      </c>
      <c r="C139" s="35" t="s">
        <v>121</v>
      </c>
      <c r="D139" s="36">
        <f>IFERROR(HLOOKUP($J$1,[1]DB!$C$1:$K$172,139,FALSE),"")</f>
        <v>3</v>
      </c>
      <c r="E139" s="36">
        <f>SUMIFS('[1]Rincian Keluar'!$G:$G,'[1]Rincian Keluar'!$E:$E,SUKABASUKI!C139,'[1]Rincian Keluar'!$D:$D,SUKABASUKI!$D$1,'[1]Rincian Keluar'!$H:$H,SUKABASUKI!$J$1,'[1]Rincian Keluar'!$F:$F,SUKABASUKI!M139)</f>
        <v>4</v>
      </c>
      <c r="F139" s="37">
        <v>4000</v>
      </c>
      <c r="G139" s="135">
        <f t="shared" si="27"/>
        <v>16000</v>
      </c>
      <c r="H139" s="53"/>
      <c r="I139" s="53"/>
      <c r="J139" s="104"/>
      <c r="K139" s="87"/>
      <c r="M139" s="20" t="str">
        <f t="shared" si="26"/>
        <v>TALANG AIR</v>
      </c>
    </row>
    <row r="140" spans="2:13" s="66" customFormat="1" ht="18" customHeight="1" x14ac:dyDescent="0.25">
      <c r="B140" s="34">
        <v>7</v>
      </c>
      <c r="C140" s="35" t="s">
        <v>122</v>
      </c>
      <c r="D140" s="36">
        <f>IFERROR(HLOOKUP($J$1,[1]DB!$C$1:$K$172,140,FALSE),"")</f>
        <v>1</v>
      </c>
      <c r="E140" s="36">
        <f>SUMIFS('[1]Rincian Keluar'!$G:$G,'[1]Rincian Keluar'!$E:$E,SUKABASUKI!C140,'[1]Rincian Keluar'!$D:$D,SUKABASUKI!$D$1,'[1]Rincian Keluar'!$H:$H,SUKABASUKI!$J$1,'[1]Rincian Keluar'!$F:$F,SUKABASUKI!M140)</f>
        <v>2</v>
      </c>
      <c r="F140" s="37">
        <v>8000</v>
      </c>
      <c r="G140" s="135">
        <f t="shared" si="27"/>
        <v>16000</v>
      </c>
      <c r="H140" s="53"/>
      <c r="I140" s="53"/>
      <c r="J140" s="104"/>
      <c r="K140" s="87"/>
      <c r="M140" s="20" t="str">
        <f t="shared" si="26"/>
        <v>TALANG AIR</v>
      </c>
    </row>
    <row r="141" spans="2:13" s="66" customFormat="1" ht="18" customHeight="1" x14ac:dyDescent="0.25">
      <c r="B141" s="34">
        <v>8</v>
      </c>
      <c r="C141" s="139" t="s">
        <v>123</v>
      </c>
      <c r="D141" s="36">
        <f>IFERROR(HLOOKUP($J$1,[1]DB!$C$1:$K$172,141,FALSE),"")</f>
        <v>1</v>
      </c>
      <c r="E141" s="36">
        <f>SUMIFS('[1]Rincian Keluar'!$G:$G,'[1]Rincian Keluar'!$E:$E,SUKABASUKI!C141,'[1]Rincian Keluar'!$D:$D,SUKABASUKI!$D$1,'[1]Rincian Keluar'!$H:$H,SUKABASUKI!$J$1,'[1]Rincian Keluar'!$F:$F,SUKABASUKI!M141)</f>
        <v>4</v>
      </c>
      <c r="F141" s="37">
        <v>22000</v>
      </c>
      <c r="G141" s="135">
        <f t="shared" si="27"/>
        <v>88000</v>
      </c>
      <c r="H141" s="55"/>
      <c r="I141" s="55"/>
      <c r="J141" s="106"/>
      <c r="K141" s="90"/>
      <c r="M141" s="20" t="str">
        <f t="shared" si="26"/>
        <v>TALANG AIR</v>
      </c>
    </row>
    <row r="142" spans="2:13" ht="18" customHeight="1" x14ac:dyDescent="0.25">
      <c r="B142" s="29" t="s">
        <v>124</v>
      </c>
      <c r="C142" s="124" t="s">
        <v>125</v>
      </c>
      <c r="D142" s="132"/>
      <c r="E142" s="132"/>
      <c r="F142" s="132"/>
      <c r="G142" s="132"/>
      <c r="H142" s="132"/>
      <c r="I142" s="133"/>
      <c r="J142" s="132"/>
      <c r="K142" s="134"/>
      <c r="M142" s="20"/>
    </row>
    <row r="143" spans="2:13" s="142" customFormat="1" ht="18" customHeight="1" x14ac:dyDescent="0.25">
      <c r="B143" s="34">
        <v>1</v>
      </c>
      <c r="C143" s="139" t="s">
        <v>126</v>
      </c>
      <c r="D143" s="36">
        <f>IFERROR(HLOOKUP($J$1,[1]DB!$C$1:$K$172,143,FALSE),"")</f>
        <v>4</v>
      </c>
      <c r="E143" s="36">
        <f>SUMIFS('[1]Rincian Keluar'!$G:$G,'[1]Rincian Keluar'!$E:$E,SUKABASUKI!C143,'[1]Rincian Keluar'!$D:$D,SUKABASUKI!$D$1,'[1]Rincian Keluar'!$H:$H,SUKABASUKI!$J$1,'[1]Rincian Keluar'!$F:$F,SUKABASUKI!M143)</f>
        <v>0</v>
      </c>
      <c r="F143" s="141">
        <v>165000</v>
      </c>
      <c r="G143" s="98">
        <f>E143*F143</f>
        <v>0</v>
      </c>
      <c r="H143" s="136"/>
      <c r="I143" s="39"/>
      <c r="J143" s="137"/>
      <c r="K143" s="84"/>
      <c r="M143" s="20" t="str">
        <f t="shared" ref="M143:M161" si="28">$C$142</f>
        <v xml:space="preserve">JENDELA </v>
      </c>
    </row>
    <row r="144" spans="2:13" s="142" customFormat="1" ht="18" customHeight="1" x14ac:dyDescent="0.25">
      <c r="B144" s="34">
        <v>2</v>
      </c>
      <c r="C144" s="139" t="s">
        <v>127</v>
      </c>
      <c r="D144" s="36">
        <f>IFERROR(HLOOKUP($J$1,[1]DB!$C$1:$K$172,144,FALSE),"")</f>
        <v>2</v>
      </c>
      <c r="E144" s="36">
        <f>SUMIFS('[1]Rincian Keluar'!$G:$G,'[1]Rincian Keluar'!$E:$E,SUKABASUKI!C144,'[1]Rincian Keluar'!$D:$D,SUKABASUKI!$D$1,'[1]Rincian Keluar'!$H:$H,SUKABASUKI!$J$1,'[1]Rincian Keluar'!$F:$F,SUKABASUKI!M144)</f>
        <v>0</v>
      </c>
      <c r="F144" s="141">
        <v>198000</v>
      </c>
      <c r="G144" s="98">
        <f t="shared" ref="G144:G161" si="29">E144*F144</f>
        <v>0</v>
      </c>
      <c r="H144" s="138"/>
      <c r="I144" s="42"/>
      <c r="J144" s="104"/>
      <c r="K144" s="87"/>
      <c r="M144" s="20" t="str">
        <f t="shared" si="28"/>
        <v xml:space="preserve">JENDELA </v>
      </c>
    </row>
    <row r="145" spans="2:13" s="142" customFormat="1" ht="18" customHeight="1" x14ac:dyDescent="0.25">
      <c r="B145" s="34">
        <v>3</v>
      </c>
      <c r="C145" s="139" t="s">
        <v>128</v>
      </c>
      <c r="D145" s="36">
        <f>IFERROR(HLOOKUP($J$1,[1]DB!$C$1:$K$172,145,FALSE),"")</f>
        <v>6</v>
      </c>
      <c r="E145" s="36">
        <f>SUMIFS('[1]Rincian Keluar'!$G:$G,'[1]Rincian Keluar'!$E:$E,SUKABASUKI!C145,'[1]Rincian Keluar'!$D:$D,SUKABASUKI!$D$1,'[1]Rincian Keluar'!$H:$H,SUKABASUKI!$J$1,'[1]Rincian Keluar'!$F:$F,SUKABASUKI!M145)</f>
        <v>0</v>
      </c>
      <c r="F145" s="141">
        <v>86000</v>
      </c>
      <c r="G145" s="98">
        <f t="shared" si="29"/>
        <v>0</v>
      </c>
      <c r="H145" s="138"/>
      <c r="I145" s="42"/>
      <c r="J145" s="104"/>
      <c r="K145" s="87"/>
      <c r="M145" s="20" t="str">
        <f t="shared" si="28"/>
        <v xml:space="preserve">JENDELA </v>
      </c>
    </row>
    <row r="146" spans="2:13" s="142" customFormat="1" ht="18" customHeight="1" x14ac:dyDescent="0.25">
      <c r="B146" s="34">
        <v>4</v>
      </c>
      <c r="C146" s="139" t="s">
        <v>129</v>
      </c>
      <c r="D146" s="36">
        <f>IFERROR(HLOOKUP($J$1,[1]DB!$C$1:$K$172,146,FALSE),"")</f>
        <v>6</v>
      </c>
      <c r="E146" s="36">
        <f>SUMIFS('[1]Rincian Keluar'!$G:$G,'[1]Rincian Keluar'!$E:$E,SUKABASUKI!C146,'[1]Rincian Keluar'!$D:$D,SUKABASUKI!$D$1,'[1]Rincian Keluar'!$H:$H,SUKABASUKI!$J$1,'[1]Rincian Keluar'!$F:$F,SUKABASUKI!M146)</f>
        <v>0</v>
      </c>
      <c r="F146" s="141">
        <v>50000</v>
      </c>
      <c r="G146" s="98">
        <f t="shared" si="29"/>
        <v>0</v>
      </c>
      <c r="H146" s="138"/>
      <c r="I146" s="42"/>
      <c r="J146" s="104"/>
      <c r="K146" s="87"/>
      <c r="M146" s="20" t="str">
        <f t="shared" si="28"/>
        <v xml:space="preserve">JENDELA </v>
      </c>
    </row>
    <row r="147" spans="2:13" s="142" customFormat="1" ht="18" customHeight="1" x14ac:dyDescent="0.25">
      <c r="B147" s="34">
        <v>5</v>
      </c>
      <c r="C147" s="139" t="s">
        <v>130</v>
      </c>
      <c r="D147" s="36">
        <f>IFERROR(HLOOKUP($J$1,[1]DB!$C$1:$K$172,147,FALSE),"")</f>
        <v>1</v>
      </c>
      <c r="E147" s="36">
        <f>SUMIFS('[1]Rincian Keluar'!$G:$G,'[1]Rincian Keluar'!$E:$E,SUKABASUKI!C147,'[1]Rincian Keluar'!$D:$D,SUKABASUKI!$D$1,'[1]Rincian Keluar'!$H:$H,SUKABASUKI!$J$1,'[1]Rincian Keluar'!$F:$F,SUKABASUKI!M147)</f>
        <v>0</v>
      </c>
      <c r="F147" s="141">
        <v>60000</v>
      </c>
      <c r="G147" s="98">
        <f t="shared" si="29"/>
        <v>0</v>
      </c>
      <c r="H147" s="138"/>
      <c r="I147" s="42"/>
      <c r="J147" s="104"/>
      <c r="K147" s="87"/>
      <c r="M147" s="20" t="str">
        <f t="shared" si="28"/>
        <v xml:space="preserve">JENDELA </v>
      </c>
    </row>
    <row r="148" spans="2:13" s="142" customFormat="1" ht="18" customHeight="1" x14ac:dyDescent="0.25">
      <c r="B148" s="34">
        <v>6</v>
      </c>
      <c r="C148" s="139" t="s">
        <v>131</v>
      </c>
      <c r="D148" s="36">
        <f>IFERROR(HLOOKUP($J$1,[1]DB!$C$1:$K$172,148,FALSE),"")</f>
        <v>2</v>
      </c>
      <c r="E148" s="36">
        <f>SUMIFS('[1]Rincian Keluar'!$G:$G,'[1]Rincian Keluar'!$E:$E,SUKABASUKI!C148,'[1]Rincian Keluar'!$D:$D,SUKABASUKI!$D$1,'[1]Rincian Keluar'!$H:$H,SUKABASUKI!$J$1,'[1]Rincian Keluar'!$F:$F,SUKABASUKI!M148)</f>
        <v>0</v>
      </c>
      <c r="F148" s="141">
        <v>55000</v>
      </c>
      <c r="G148" s="98">
        <f t="shared" si="29"/>
        <v>0</v>
      </c>
      <c r="H148" s="138"/>
      <c r="I148" s="42"/>
      <c r="J148" s="104"/>
      <c r="K148" s="87"/>
      <c r="M148" s="20" t="str">
        <f t="shared" si="28"/>
        <v xml:space="preserve">JENDELA </v>
      </c>
    </row>
    <row r="149" spans="2:13" s="142" customFormat="1" ht="18" customHeight="1" x14ac:dyDescent="0.25">
      <c r="B149" s="34">
        <v>7</v>
      </c>
      <c r="C149" s="139" t="s">
        <v>132</v>
      </c>
      <c r="D149" s="36">
        <f>IFERROR(HLOOKUP($J$1,[1]DB!$C$1:$K$172,149,FALSE),"")</f>
        <v>2</v>
      </c>
      <c r="E149" s="36">
        <f>SUMIFS('[1]Rincian Keluar'!$G:$G,'[1]Rincian Keluar'!$E:$E,SUKABASUKI!C149,'[1]Rincian Keluar'!$D:$D,SUKABASUKI!$D$1,'[1]Rincian Keluar'!$H:$H,SUKABASUKI!$J$1,'[1]Rincian Keluar'!$F:$F,SUKABASUKI!M149)</f>
        <v>0</v>
      </c>
      <c r="F149" s="141">
        <v>50000</v>
      </c>
      <c r="G149" s="98">
        <f t="shared" si="29"/>
        <v>0</v>
      </c>
      <c r="H149" s="138"/>
      <c r="I149" s="42"/>
      <c r="J149" s="104"/>
      <c r="K149" s="87"/>
      <c r="M149" s="20" t="str">
        <f t="shared" si="28"/>
        <v xml:space="preserve">JENDELA </v>
      </c>
    </row>
    <row r="150" spans="2:13" s="142" customFormat="1" ht="18" customHeight="1" x14ac:dyDescent="0.25">
      <c r="B150" s="34">
        <v>8</v>
      </c>
      <c r="C150" s="139" t="s">
        <v>133</v>
      </c>
      <c r="D150" s="36">
        <f>IFERROR(HLOOKUP($J$1,[1]DB!$C$1:$K$172,150,FALSE),"")</f>
        <v>3</v>
      </c>
      <c r="E150" s="36">
        <f>SUMIFS('[1]Rincian Keluar'!$G:$G,'[1]Rincian Keluar'!$E:$E,SUKABASUKI!C150,'[1]Rincian Keluar'!$D:$D,SUKABASUKI!$D$1,'[1]Rincian Keluar'!$H:$H,SUKABASUKI!$J$1,'[1]Rincian Keluar'!$F:$F,SUKABASUKI!M150)</f>
        <v>0</v>
      </c>
      <c r="F150" s="141">
        <v>11000</v>
      </c>
      <c r="G150" s="98">
        <f t="shared" si="29"/>
        <v>0</v>
      </c>
      <c r="H150" s="138"/>
      <c r="I150" s="42"/>
      <c r="J150" s="104"/>
      <c r="K150" s="87"/>
      <c r="M150" s="20" t="str">
        <f t="shared" si="28"/>
        <v xml:space="preserve">JENDELA </v>
      </c>
    </row>
    <row r="151" spans="2:13" s="142" customFormat="1" ht="18" customHeight="1" x14ac:dyDescent="0.25">
      <c r="B151" s="34">
        <v>9</v>
      </c>
      <c r="C151" s="139" t="s">
        <v>134</v>
      </c>
      <c r="D151" s="36">
        <f>IFERROR(HLOOKUP($J$1,[1]DB!$C$1:$K$172,151,FALSE),"")</f>
        <v>2</v>
      </c>
      <c r="E151" s="36">
        <f>SUMIFS('[1]Rincian Keluar'!$G:$G,'[1]Rincian Keluar'!$E:$E,SUKABASUKI!C151,'[1]Rincian Keluar'!$D:$D,SUKABASUKI!$D$1,'[1]Rincian Keluar'!$H:$H,SUKABASUKI!$J$1,'[1]Rincian Keluar'!$F:$F,SUKABASUKI!M151)</f>
        <v>0</v>
      </c>
      <c r="F151" s="141">
        <v>11000</v>
      </c>
      <c r="G151" s="98">
        <f t="shared" si="29"/>
        <v>0</v>
      </c>
      <c r="H151" s="138"/>
      <c r="I151" s="42"/>
      <c r="J151" s="104"/>
      <c r="K151" s="87"/>
      <c r="M151" s="20" t="str">
        <f t="shared" si="28"/>
        <v xml:space="preserve">JENDELA </v>
      </c>
    </row>
    <row r="152" spans="2:13" s="142" customFormat="1" ht="18" customHeight="1" x14ac:dyDescent="0.25">
      <c r="B152" s="34">
        <v>10</v>
      </c>
      <c r="C152" s="139" t="s">
        <v>135</v>
      </c>
      <c r="D152" s="36">
        <f>IFERROR(HLOOKUP($J$1,[1]DB!$C$1:$K$172,152,FALSE),"")</f>
        <v>5</v>
      </c>
      <c r="E152" s="36">
        <f>SUMIFS('[1]Rincian Keluar'!$G:$G,'[1]Rincian Keluar'!$E:$E,SUKABASUKI!C152,'[1]Rincian Keluar'!$D:$D,SUKABASUKI!$D$1,'[1]Rincian Keluar'!$H:$H,SUKABASUKI!$J$1,'[1]Rincian Keluar'!$F:$F,SUKABASUKI!M152)</f>
        <v>0</v>
      </c>
      <c r="F152" s="141">
        <v>17000</v>
      </c>
      <c r="G152" s="98">
        <f t="shared" si="29"/>
        <v>0</v>
      </c>
      <c r="H152" s="138"/>
      <c r="I152" s="42"/>
      <c r="J152" s="104"/>
      <c r="K152" s="87"/>
      <c r="M152" s="20" t="str">
        <f t="shared" si="28"/>
        <v xml:space="preserve">JENDELA </v>
      </c>
    </row>
    <row r="153" spans="2:13" s="142" customFormat="1" ht="18" customHeight="1" x14ac:dyDescent="0.25">
      <c r="B153" s="34">
        <v>11</v>
      </c>
      <c r="C153" s="139" t="s">
        <v>136</v>
      </c>
      <c r="D153" s="36">
        <f>IFERROR(HLOOKUP($J$1,[1]DB!$C$1:$K$172,153,FALSE),"")</f>
        <v>4</v>
      </c>
      <c r="E153" s="36">
        <f>SUMIFS('[1]Rincian Keluar'!$G:$G,'[1]Rincian Keluar'!$E:$E,SUKABASUKI!C153,'[1]Rincian Keluar'!$D:$D,SUKABASUKI!$D$1,'[1]Rincian Keluar'!$H:$H,SUKABASUKI!$J$1,'[1]Rincian Keluar'!$F:$F,SUKABASUKI!M153)</f>
        <v>0</v>
      </c>
      <c r="F153" s="141">
        <v>40000</v>
      </c>
      <c r="G153" s="98">
        <f t="shared" si="29"/>
        <v>0</v>
      </c>
      <c r="H153" s="138"/>
      <c r="I153" s="42"/>
      <c r="J153" s="104"/>
      <c r="K153" s="87"/>
      <c r="M153" s="20" t="str">
        <f t="shared" si="28"/>
        <v xml:space="preserve">JENDELA </v>
      </c>
    </row>
    <row r="154" spans="2:13" s="142" customFormat="1" ht="18" customHeight="1" x14ac:dyDescent="0.25">
      <c r="B154" s="34">
        <v>12</v>
      </c>
      <c r="C154" s="139" t="s">
        <v>137</v>
      </c>
      <c r="D154" s="36">
        <f>IFERROR(HLOOKUP($J$1,[1]DB!$C$1:$K$172,154,FALSE),"")</f>
        <v>25</v>
      </c>
      <c r="E154" s="36">
        <f>SUMIFS('[1]Rincian Keluar'!$G:$G,'[1]Rincian Keluar'!$E:$E,SUKABASUKI!C154,'[1]Rincian Keluar'!$D:$D,SUKABASUKI!$D$1,'[1]Rincian Keluar'!$H:$H,SUKABASUKI!$J$1,'[1]Rincian Keluar'!$F:$F,SUKABASUKI!M154)</f>
        <v>0</v>
      </c>
      <c r="F154" s="141">
        <v>400</v>
      </c>
      <c r="G154" s="98">
        <f t="shared" si="29"/>
        <v>0</v>
      </c>
      <c r="H154" s="138"/>
      <c r="I154" s="42"/>
      <c r="J154" s="104"/>
      <c r="K154" s="87"/>
      <c r="M154" s="20" t="str">
        <f t="shared" si="28"/>
        <v xml:space="preserve">JENDELA </v>
      </c>
    </row>
    <row r="155" spans="2:13" s="142" customFormat="1" ht="18" customHeight="1" x14ac:dyDescent="0.25">
      <c r="B155" s="34">
        <v>13</v>
      </c>
      <c r="C155" s="139" t="s">
        <v>138</v>
      </c>
      <c r="D155" s="36">
        <f>IFERROR(HLOOKUP($J$1,[1]DB!$C$1:$K$172,155,FALSE),"")</f>
        <v>40</v>
      </c>
      <c r="E155" s="36">
        <f>SUMIFS('[1]Rincian Keluar'!$G:$G,'[1]Rincian Keluar'!$E:$E,SUKABASUKI!C155,'[1]Rincian Keluar'!$D:$D,SUKABASUKI!$D$1,'[1]Rincian Keluar'!$H:$H,SUKABASUKI!$J$1,'[1]Rincian Keluar'!$F:$F,SUKABASUKI!M155)</f>
        <v>0</v>
      </c>
      <c r="F155" s="141">
        <v>15000</v>
      </c>
      <c r="G155" s="98">
        <f t="shared" si="29"/>
        <v>0</v>
      </c>
      <c r="H155" s="138"/>
      <c r="I155" s="42"/>
      <c r="J155" s="104"/>
      <c r="K155" s="87"/>
      <c r="M155" s="20" t="str">
        <f t="shared" si="28"/>
        <v xml:space="preserve">JENDELA </v>
      </c>
    </row>
    <row r="156" spans="2:13" s="142" customFormat="1" ht="18" customHeight="1" x14ac:dyDescent="0.25">
      <c r="B156" s="34">
        <v>14</v>
      </c>
      <c r="C156" s="139" t="s">
        <v>139</v>
      </c>
      <c r="D156" s="36">
        <f>IFERROR(HLOOKUP($J$1,[1]DB!$C$1:$K$172,156,FALSE),"")</f>
        <v>40</v>
      </c>
      <c r="E156" s="36">
        <f>SUMIFS('[1]Rincian Keluar'!$G:$G,'[1]Rincian Keluar'!$E:$E,SUKABASUKI!C156,'[1]Rincian Keluar'!$D:$D,SUKABASUKI!$D$1,'[1]Rincian Keluar'!$H:$H,SUKABASUKI!$J$1,'[1]Rincian Keluar'!$F:$F,SUKABASUKI!M156)</f>
        <v>0</v>
      </c>
      <c r="F156" s="141">
        <v>200</v>
      </c>
      <c r="G156" s="98">
        <f t="shared" si="29"/>
        <v>0</v>
      </c>
      <c r="H156" s="138"/>
      <c r="I156" s="42"/>
      <c r="J156" s="104"/>
      <c r="K156" s="87"/>
      <c r="M156" s="20" t="str">
        <f t="shared" si="28"/>
        <v xml:space="preserve">JENDELA </v>
      </c>
    </row>
    <row r="157" spans="2:13" s="142" customFormat="1" ht="18" customHeight="1" x14ac:dyDescent="0.25">
      <c r="B157" s="34">
        <v>15</v>
      </c>
      <c r="C157" s="139" t="s">
        <v>140</v>
      </c>
      <c r="D157" s="36">
        <f>IFERROR(HLOOKUP($J$1,[1]DB!$C$1:$K$172,157,FALSE),"")</f>
        <v>80</v>
      </c>
      <c r="E157" s="36">
        <f>SUMIFS('[1]Rincian Keluar'!$G:$G,'[1]Rincian Keluar'!$E:$E,SUKABASUKI!C157,'[1]Rincian Keluar'!$D:$D,SUKABASUKI!$D$1,'[1]Rincian Keluar'!$H:$H,SUKABASUKI!$J$1,'[1]Rincian Keluar'!$F:$F,SUKABASUKI!M157)</f>
        <v>0</v>
      </c>
      <c r="F157" s="141">
        <v>100</v>
      </c>
      <c r="G157" s="98">
        <f t="shared" si="29"/>
        <v>0</v>
      </c>
      <c r="H157" s="138"/>
      <c r="I157" s="42"/>
      <c r="J157" s="104"/>
      <c r="K157" s="87"/>
      <c r="M157" s="20" t="str">
        <f t="shared" si="28"/>
        <v xml:space="preserve">JENDELA </v>
      </c>
    </row>
    <row r="158" spans="2:13" s="142" customFormat="1" ht="18" customHeight="1" x14ac:dyDescent="0.25">
      <c r="B158" s="34">
        <v>16</v>
      </c>
      <c r="C158" s="139" t="s">
        <v>141</v>
      </c>
      <c r="D158" s="36">
        <f>IFERROR(HLOOKUP($J$1,[1]DB!$C$1:$K$172,158,FALSE),"")</f>
        <v>1</v>
      </c>
      <c r="E158" s="36">
        <f>SUMIFS('[1]Rincian Keluar'!$G:$G,'[1]Rincian Keluar'!$E:$E,SUKABASUKI!C158,'[1]Rincian Keluar'!$D:$D,SUKABASUKI!$D$1,'[1]Rincian Keluar'!$H:$H,SUKABASUKI!$J$1,'[1]Rincian Keluar'!$F:$F,SUKABASUKI!M158)</f>
        <v>0</v>
      </c>
      <c r="F158" s="141">
        <v>55000</v>
      </c>
      <c r="G158" s="98">
        <f t="shared" si="29"/>
        <v>0</v>
      </c>
      <c r="H158" s="138"/>
      <c r="I158" s="42"/>
      <c r="J158" s="104"/>
      <c r="K158" s="87"/>
      <c r="M158" s="20" t="str">
        <f t="shared" si="28"/>
        <v xml:space="preserve">JENDELA </v>
      </c>
    </row>
    <row r="159" spans="2:13" s="142" customFormat="1" ht="18" customHeight="1" x14ac:dyDescent="0.25">
      <c r="B159" s="34">
        <v>17</v>
      </c>
      <c r="C159" s="139" t="s">
        <v>142</v>
      </c>
      <c r="D159" s="36">
        <f>IFERROR(HLOOKUP($J$1,[1]DB!$C$1:$K$172,159,FALSE),"")</f>
        <v>1</v>
      </c>
      <c r="E159" s="36">
        <f>SUMIFS('[1]Rincian Keluar'!$G:$G,'[1]Rincian Keluar'!$E:$E,SUKABASUKI!C159,'[1]Rincian Keluar'!$D:$D,SUKABASUKI!$D$1,'[1]Rincian Keluar'!$H:$H,SUKABASUKI!$J$1,'[1]Rincian Keluar'!$F:$F,SUKABASUKI!M159)</f>
        <v>0</v>
      </c>
      <c r="F159" s="141">
        <v>10000</v>
      </c>
      <c r="G159" s="98">
        <f t="shared" si="29"/>
        <v>0</v>
      </c>
      <c r="H159" s="138"/>
      <c r="I159" s="42"/>
      <c r="J159" s="104"/>
      <c r="K159" s="87"/>
      <c r="M159" s="20" t="str">
        <f t="shared" si="28"/>
        <v xml:space="preserve">JENDELA </v>
      </c>
    </row>
    <row r="160" spans="2:13" s="142" customFormat="1" ht="18" customHeight="1" x14ac:dyDescent="0.25">
      <c r="B160" s="34">
        <v>18</v>
      </c>
      <c r="C160" s="139" t="s">
        <v>143</v>
      </c>
      <c r="D160" s="36">
        <f>IFERROR(HLOOKUP($J$1,[1]DB!$C$1:$K$172,160,FALSE),"")</f>
        <v>6</v>
      </c>
      <c r="E160" s="36">
        <f>SUMIFS('[1]Rincian Keluar'!$G:$G,'[1]Rincian Keluar'!$E:$E,SUKABASUKI!C160,'[1]Rincian Keluar'!$D:$D,SUKABASUKI!$D$1,'[1]Rincian Keluar'!$H:$H,SUKABASUKI!$J$1,'[1]Rincian Keluar'!$F:$F,SUKABASUKI!M160)</f>
        <v>0</v>
      </c>
      <c r="F160" s="141">
        <v>300000</v>
      </c>
      <c r="G160" s="98">
        <f t="shared" si="29"/>
        <v>0</v>
      </c>
      <c r="H160" s="138"/>
      <c r="I160" s="42"/>
      <c r="J160" s="104"/>
      <c r="K160" s="87"/>
      <c r="M160" s="20" t="str">
        <f t="shared" si="28"/>
        <v xml:space="preserve">JENDELA </v>
      </c>
    </row>
    <row r="161" spans="1:13" s="142" customFormat="1" ht="18" customHeight="1" x14ac:dyDescent="0.25">
      <c r="B161" s="34">
        <v>19</v>
      </c>
      <c r="C161" s="139" t="s">
        <v>144</v>
      </c>
      <c r="D161" s="36">
        <f>IFERROR(HLOOKUP($J$1,[1]DB!$C$1:$K$172,161,FALSE),"")</f>
        <v>4</v>
      </c>
      <c r="E161" s="36">
        <f>SUMIFS('[1]Rincian Keluar'!$G:$G,'[1]Rincian Keluar'!$E:$E,SUKABASUKI!C161,'[1]Rincian Keluar'!$D:$D,SUKABASUKI!$D$1,'[1]Rincian Keluar'!$H:$H,SUKABASUKI!$J$1,'[1]Rincian Keluar'!$F:$F,SUKABASUKI!M161)</f>
        <v>0</v>
      </c>
      <c r="F161" s="141">
        <v>40000</v>
      </c>
      <c r="G161" s="98">
        <f t="shared" si="29"/>
        <v>0</v>
      </c>
      <c r="H161" s="140"/>
      <c r="I161" s="47"/>
      <c r="J161" s="106"/>
      <c r="K161" s="90"/>
      <c r="M161" s="20" t="str">
        <f t="shared" si="28"/>
        <v xml:space="preserve">JENDELA </v>
      </c>
    </row>
    <row r="162" spans="1:13" ht="18" customHeight="1" x14ac:dyDescent="0.25">
      <c r="B162" s="29" t="s">
        <v>145</v>
      </c>
      <c r="C162" s="124" t="s">
        <v>146</v>
      </c>
      <c r="D162" s="132"/>
      <c r="E162" s="132"/>
      <c r="F162" s="132"/>
      <c r="G162" s="132"/>
      <c r="H162" s="132"/>
      <c r="I162" s="133"/>
      <c r="J162" s="132"/>
      <c r="K162" s="134"/>
      <c r="M162" s="20"/>
    </row>
    <row r="163" spans="1:13" s="66" customFormat="1" ht="18" customHeight="1" x14ac:dyDescent="0.25">
      <c r="B163" s="34">
        <v>1</v>
      </c>
      <c r="C163" s="35" t="s">
        <v>147</v>
      </c>
      <c r="D163" s="36">
        <f>IFERROR(HLOOKUP($J$1,[1]DB!$C$1:$K$172,163,FALSE),"")</f>
        <v>6</v>
      </c>
      <c r="E163" s="36">
        <f>SUMIFS('[1]Rincian Keluar'!$G:$G,'[1]Rincian Keluar'!$E:$E,SUKABASUKI!C163,'[1]Rincian Keluar'!$D:$D,SUKABASUKI!$D$1,'[1]Rincian Keluar'!$H:$H,SUKABASUKI!$J$1,'[1]Rincian Keluar'!$F:$F,SUKABASUKI!M163)</f>
        <v>0</v>
      </c>
      <c r="F163" s="37">
        <v>14000</v>
      </c>
      <c r="G163" s="135">
        <f>E163*F163</f>
        <v>0</v>
      </c>
      <c r="H163" s="136"/>
      <c r="I163" s="39"/>
      <c r="J163" s="137"/>
      <c r="K163" s="84"/>
      <c r="M163" s="20" t="str">
        <f>$C$162</f>
        <v>ELEKTICAL</v>
      </c>
    </row>
    <row r="164" spans="1:13" s="66" customFormat="1" ht="18" customHeight="1" x14ac:dyDescent="0.25">
      <c r="B164" s="34">
        <v>2</v>
      </c>
      <c r="C164" s="35" t="s">
        <v>148</v>
      </c>
      <c r="D164" s="36">
        <f>IFERROR(HLOOKUP($J$1,[1]DB!$C$1:$K$172,164,FALSE),"")</f>
        <v>1</v>
      </c>
      <c r="E164" s="36">
        <f>SUMIFS('[1]Rincian Keluar'!$G:$G,'[1]Rincian Keluar'!$E:$E,SUKABASUKI!C164,'[1]Rincian Keluar'!$D:$D,SUKABASUKI!$D$1,'[1]Rincian Keluar'!$H:$H,SUKABASUKI!$J$1,'[1]Rincian Keluar'!$F:$F,SUKABASUKI!M164)</f>
        <v>0</v>
      </c>
      <c r="F164" s="37">
        <v>18000</v>
      </c>
      <c r="G164" s="135">
        <f t="shared" ref="G164:G172" si="30">E164*F164</f>
        <v>0</v>
      </c>
      <c r="H164" s="138"/>
      <c r="I164" s="42"/>
      <c r="J164" s="104"/>
      <c r="K164" s="87"/>
      <c r="M164" s="20" t="str">
        <f t="shared" ref="M164:M172" si="31">$C$162</f>
        <v>ELEKTICAL</v>
      </c>
    </row>
    <row r="165" spans="1:13" s="66" customFormat="1" ht="18" customHeight="1" x14ac:dyDescent="0.25">
      <c r="B165" s="34">
        <v>3</v>
      </c>
      <c r="C165" s="35" t="s">
        <v>149</v>
      </c>
      <c r="D165" s="36">
        <f>IFERROR(HLOOKUP($J$1,[1]DB!$C$1:$K$172,165,FALSE),"")</f>
        <v>11</v>
      </c>
      <c r="E165" s="36">
        <f>SUMIFS('[1]Rincian Keluar'!$G:$G,'[1]Rincian Keluar'!$E:$E,SUKABASUKI!C165,'[1]Rincian Keluar'!$D:$D,SUKABASUKI!$D$1,'[1]Rincian Keluar'!$H:$H,SUKABASUKI!$J$1,'[1]Rincian Keluar'!$F:$F,SUKABASUKI!M165)</f>
        <v>0</v>
      </c>
      <c r="F165" s="37">
        <v>15000</v>
      </c>
      <c r="G165" s="135">
        <f t="shared" si="30"/>
        <v>0</v>
      </c>
      <c r="H165" s="138"/>
      <c r="I165" s="42"/>
      <c r="J165" s="104"/>
      <c r="K165" s="87"/>
      <c r="M165" s="20" t="str">
        <f t="shared" si="31"/>
        <v>ELEKTICAL</v>
      </c>
    </row>
    <row r="166" spans="1:13" s="66" customFormat="1" ht="18" customHeight="1" x14ac:dyDescent="0.25">
      <c r="B166" s="34">
        <v>4</v>
      </c>
      <c r="C166" s="35" t="s">
        <v>150</v>
      </c>
      <c r="D166" s="36">
        <f>IFERROR(HLOOKUP($J$1,[1]DB!$C$1:$K$172,166,FALSE),"")</f>
        <v>1</v>
      </c>
      <c r="E166" s="36">
        <f>SUMIFS('[1]Rincian Keluar'!$G:$G,'[1]Rincian Keluar'!$E:$E,SUKABASUKI!C166,'[1]Rincian Keluar'!$D:$D,SUKABASUKI!$D$1,'[1]Rincian Keluar'!$H:$H,SUKABASUKI!$J$1,'[1]Rincian Keluar'!$F:$F,SUKABASUKI!M166)</f>
        <v>0</v>
      </c>
      <c r="F166" s="37">
        <v>336000</v>
      </c>
      <c r="G166" s="135">
        <f t="shared" si="30"/>
        <v>0</v>
      </c>
      <c r="H166" s="138"/>
      <c r="I166" s="42"/>
      <c r="J166" s="104"/>
      <c r="K166" s="87"/>
      <c r="M166" s="20" t="str">
        <f t="shared" si="31"/>
        <v>ELEKTICAL</v>
      </c>
    </row>
    <row r="167" spans="1:13" s="66" customFormat="1" ht="18" customHeight="1" x14ac:dyDescent="0.25">
      <c r="B167" s="34">
        <v>5</v>
      </c>
      <c r="C167" s="35" t="s">
        <v>151</v>
      </c>
      <c r="D167" s="36">
        <f>IFERROR(HLOOKUP($J$1,[1]DB!$C$1:$K$172,167,FALSE),"")</f>
        <v>7</v>
      </c>
      <c r="E167" s="36">
        <f>SUMIFS('[1]Rincian Keluar'!$G:$G,'[1]Rincian Keluar'!$E:$E,SUKABASUKI!C167,'[1]Rincian Keluar'!$D:$D,SUKABASUKI!$D$1,'[1]Rincian Keluar'!$H:$H,SUKABASUKI!$J$1,'[1]Rincian Keluar'!$F:$F,SUKABASUKI!M167)</f>
        <v>0</v>
      </c>
      <c r="F167" s="37">
        <v>5500</v>
      </c>
      <c r="G167" s="135">
        <f t="shared" si="30"/>
        <v>0</v>
      </c>
      <c r="H167" s="138"/>
      <c r="I167" s="42"/>
      <c r="J167" s="104"/>
      <c r="K167" s="87"/>
      <c r="M167" s="20" t="str">
        <f t="shared" si="31"/>
        <v>ELEKTICAL</v>
      </c>
    </row>
    <row r="168" spans="1:13" s="66" customFormat="1" ht="18" customHeight="1" x14ac:dyDescent="0.25">
      <c r="B168" s="34">
        <v>6</v>
      </c>
      <c r="C168" s="35" t="s">
        <v>152</v>
      </c>
      <c r="D168" s="36">
        <f>IFERROR(HLOOKUP($J$1,[1]DB!$C$1:$K$172,168,FALSE),"")</f>
        <v>25</v>
      </c>
      <c r="E168" s="36">
        <f>SUMIFS('[1]Rincian Keluar'!$G:$G,'[1]Rincian Keluar'!$E:$E,SUKABASUKI!C168,'[1]Rincian Keluar'!$D:$D,SUKABASUKI!$D$1,'[1]Rincian Keluar'!$H:$H,SUKABASUKI!$J$1,'[1]Rincian Keluar'!$F:$F,SUKABASUKI!M168)</f>
        <v>0</v>
      </c>
      <c r="F168" s="37">
        <v>8200</v>
      </c>
      <c r="G168" s="135">
        <f t="shared" si="30"/>
        <v>0</v>
      </c>
      <c r="H168" s="138"/>
      <c r="I168" s="42"/>
      <c r="J168" s="104"/>
      <c r="K168" s="87"/>
      <c r="M168" s="20" t="str">
        <f t="shared" si="31"/>
        <v>ELEKTICAL</v>
      </c>
    </row>
    <row r="169" spans="1:13" s="66" customFormat="1" ht="18" customHeight="1" x14ac:dyDescent="0.25">
      <c r="B169" s="34">
        <v>7</v>
      </c>
      <c r="C169" s="35" t="s">
        <v>153</v>
      </c>
      <c r="D169" s="36">
        <f>IFERROR(HLOOKUP($J$1,[1]DB!$C$1:$K$172,169,FALSE),"")</f>
        <v>35</v>
      </c>
      <c r="E169" s="36">
        <f>SUMIFS('[1]Rincian Keluar'!$G:$G,'[1]Rincian Keluar'!$E:$E,SUKABASUKI!C169,'[1]Rincian Keluar'!$D:$D,SUKABASUKI!$D$1,'[1]Rincian Keluar'!$H:$H,SUKABASUKI!$J$1,'[1]Rincian Keluar'!$F:$F,SUKABASUKI!M169)</f>
        <v>0</v>
      </c>
      <c r="F169" s="37">
        <v>12500</v>
      </c>
      <c r="G169" s="135">
        <f t="shared" si="30"/>
        <v>0</v>
      </c>
      <c r="H169" s="138"/>
      <c r="I169" s="42"/>
      <c r="J169" s="104"/>
      <c r="K169" s="87"/>
      <c r="M169" s="20" t="str">
        <f t="shared" si="31"/>
        <v>ELEKTICAL</v>
      </c>
    </row>
    <row r="170" spans="1:13" s="66" customFormat="1" ht="18" customHeight="1" x14ac:dyDescent="0.25">
      <c r="B170" s="34">
        <v>8</v>
      </c>
      <c r="C170" s="35" t="s">
        <v>154</v>
      </c>
      <c r="D170" s="36">
        <f>IFERROR(HLOOKUP($J$1,[1]DB!$C$1:$K$172,170,FALSE),"")</f>
        <v>1</v>
      </c>
      <c r="E170" s="36">
        <f>SUMIFS('[1]Rincian Keluar'!$G:$G,'[1]Rincian Keluar'!$E:$E,SUKABASUKI!C170,'[1]Rincian Keluar'!$D:$D,SUKABASUKI!$D$1,'[1]Rincian Keluar'!$H:$H,SUKABASUKI!$J$1,'[1]Rincian Keluar'!$F:$F,SUKABASUKI!M170)</f>
        <v>0</v>
      </c>
      <c r="F170" s="37">
        <v>19000</v>
      </c>
      <c r="G170" s="135">
        <f t="shared" si="30"/>
        <v>0</v>
      </c>
      <c r="H170" s="138"/>
      <c r="I170" s="42"/>
      <c r="J170" s="104"/>
      <c r="K170" s="87"/>
      <c r="M170" s="20" t="str">
        <f t="shared" si="31"/>
        <v>ELEKTICAL</v>
      </c>
    </row>
    <row r="171" spans="1:13" s="66" customFormat="1" ht="18" customHeight="1" x14ac:dyDescent="0.25">
      <c r="B171" s="34">
        <v>9</v>
      </c>
      <c r="C171" s="35" t="s">
        <v>155</v>
      </c>
      <c r="D171" s="36">
        <f>IFERROR(HLOOKUP($J$1,[1]DB!$C$1:$K$172,171,FALSE),"")</f>
        <v>1</v>
      </c>
      <c r="E171" s="36">
        <f>SUMIFS('[1]Rincian Keluar'!$G:$G,'[1]Rincian Keluar'!$E:$E,SUKABASUKI!C171,'[1]Rincian Keluar'!$D:$D,SUKABASUKI!$D$1,'[1]Rincian Keluar'!$H:$H,SUKABASUKI!$J$1,'[1]Rincian Keluar'!$F:$F,SUKABASUKI!M171)</f>
        <v>0</v>
      </c>
      <c r="F171" s="37">
        <v>14000</v>
      </c>
      <c r="G171" s="135">
        <f t="shared" si="30"/>
        <v>0</v>
      </c>
      <c r="H171" s="138"/>
      <c r="I171" s="42"/>
      <c r="J171" s="104"/>
      <c r="K171" s="87"/>
      <c r="M171" s="20" t="str">
        <f t="shared" si="31"/>
        <v>ELEKTICAL</v>
      </c>
    </row>
    <row r="172" spans="1:13" s="66" customFormat="1" ht="18" customHeight="1" x14ac:dyDescent="0.25">
      <c r="A172" s="66" t="s">
        <v>156</v>
      </c>
      <c r="B172" s="34">
        <v>10</v>
      </c>
      <c r="C172" s="35" t="s">
        <v>157</v>
      </c>
      <c r="D172" s="36">
        <f>IFERROR(HLOOKUP($J$1,[1]DB!$C$1:$K$172,172,FALSE),"")</f>
        <v>1</v>
      </c>
      <c r="E172" s="36">
        <f>SUMIFS('[1]Rincian Keluar'!$G:$G,'[1]Rincian Keluar'!$E:$E,SUKABASUKI!C172,'[1]Rincian Keluar'!$D:$D,SUKABASUKI!$D$1,'[1]Rincian Keluar'!$H:$H,SUKABASUKI!$J$1,'[1]Rincian Keluar'!$F:$F,SUKABASUKI!M172)</f>
        <v>0</v>
      </c>
      <c r="F172" s="37">
        <v>60000</v>
      </c>
      <c r="G172" s="135">
        <f t="shared" si="30"/>
        <v>0</v>
      </c>
      <c r="H172" s="140"/>
      <c r="I172" s="47"/>
      <c r="J172" s="106"/>
      <c r="K172" s="90"/>
      <c r="M172" s="20" t="str">
        <f t="shared" si="31"/>
        <v>ELEKTICAL</v>
      </c>
    </row>
    <row r="173" spans="1:13" ht="18" customHeight="1" x14ac:dyDescent="0.25">
      <c r="B173" s="143" t="s">
        <v>158</v>
      </c>
      <c r="C173" s="144"/>
      <c r="D173" s="144"/>
      <c r="E173" s="144"/>
      <c r="F173" s="145"/>
      <c r="G173" s="146">
        <f>SUM(G7:G172)</f>
        <v>90077000</v>
      </c>
      <c r="H173" s="146"/>
      <c r="I173" s="147"/>
      <c r="J173" s="146">
        <f>SUM(J7:J172)</f>
        <v>-3753300</v>
      </c>
      <c r="K173" s="148"/>
    </row>
    <row r="174" spans="1:13" ht="18" customHeight="1" thickBot="1" x14ac:dyDescent="0.3">
      <c r="B174" s="149" t="s">
        <v>159</v>
      </c>
      <c r="C174" s="150"/>
      <c r="D174" s="150"/>
      <c r="E174" s="150"/>
      <c r="F174" s="150"/>
      <c r="G174" s="151">
        <f>SUM(G173,J173)</f>
        <v>86323700</v>
      </c>
      <c r="H174" s="152"/>
      <c r="I174" s="153"/>
      <c r="J174" s="154"/>
      <c r="K174" s="155"/>
    </row>
    <row r="175" spans="1:13" x14ac:dyDescent="0.25">
      <c r="C175" s="156"/>
    </row>
    <row r="176" spans="1:13" x14ac:dyDescent="0.25">
      <c r="C176" s="156"/>
    </row>
    <row r="177" spans="3:3" x14ac:dyDescent="0.25">
      <c r="C177" s="156"/>
    </row>
    <row r="178" spans="3:3" x14ac:dyDescent="0.25">
      <c r="C178" s="156"/>
    </row>
    <row r="179" spans="3:3" x14ac:dyDescent="0.25">
      <c r="C179" s="156"/>
    </row>
    <row r="180" spans="3:3" x14ac:dyDescent="0.25">
      <c r="C180" s="156"/>
    </row>
    <row r="181" spans="3:3" x14ac:dyDescent="0.25">
      <c r="C181" s="156"/>
    </row>
    <row r="182" spans="3:3" x14ac:dyDescent="0.25">
      <c r="C182" s="156"/>
    </row>
    <row r="183" spans="3:3" x14ac:dyDescent="0.25">
      <c r="C183" s="156"/>
    </row>
    <row r="184" spans="3:3" x14ac:dyDescent="0.25">
      <c r="C184" s="156"/>
    </row>
    <row r="185" spans="3:3" x14ac:dyDescent="0.25">
      <c r="C185" s="156"/>
    </row>
    <row r="186" spans="3:3" x14ac:dyDescent="0.25">
      <c r="C186" s="156"/>
    </row>
    <row r="187" spans="3:3" x14ac:dyDescent="0.25">
      <c r="C187" s="156"/>
    </row>
  </sheetData>
  <autoFilter ref="B4:K174"/>
  <mergeCells count="75">
    <mergeCell ref="B173:F173"/>
    <mergeCell ref="B174:F174"/>
    <mergeCell ref="H143:H161"/>
    <mergeCell ref="I143:I161"/>
    <mergeCell ref="J143:J161"/>
    <mergeCell ref="K143:K161"/>
    <mergeCell ref="H163:H172"/>
    <mergeCell ref="I163:I172"/>
    <mergeCell ref="J163:J172"/>
    <mergeCell ref="K163:K172"/>
    <mergeCell ref="H131:H132"/>
    <mergeCell ref="I131:I132"/>
    <mergeCell ref="J131:J132"/>
    <mergeCell ref="K131:K132"/>
    <mergeCell ref="H134:H141"/>
    <mergeCell ref="I134:I141"/>
    <mergeCell ref="J134:J141"/>
    <mergeCell ref="K134:K141"/>
    <mergeCell ref="H120:H123"/>
    <mergeCell ref="I120:I123"/>
    <mergeCell ref="J120:J123"/>
    <mergeCell ref="K120:K123"/>
    <mergeCell ref="H125:H129"/>
    <mergeCell ref="I125:I129"/>
    <mergeCell ref="J125:J129"/>
    <mergeCell ref="K125:K129"/>
    <mergeCell ref="H99:H103"/>
    <mergeCell ref="I99:I103"/>
    <mergeCell ref="J99:J103"/>
    <mergeCell ref="K99:K103"/>
    <mergeCell ref="H105:H116"/>
    <mergeCell ref="I105:I116"/>
    <mergeCell ref="J105:J116"/>
    <mergeCell ref="K105:K116"/>
    <mergeCell ref="H83:H86"/>
    <mergeCell ref="I83:I86"/>
    <mergeCell ref="J83:J86"/>
    <mergeCell ref="K83:K86"/>
    <mergeCell ref="H88:H96"/>
    <mergeCell ref="I88:I96"/>
    <mergeCell ref="J88:J96"/>
    <mergeCell ref="K88:K96"/>
    <mergeCell ref="H65:H74"/>
    <mergeCell ref="I65:I74"/>
    <mergeCell ref="J65:J74"/>
    <mergeCell ref="K65:K74"/>
    <mergeCell ref="H76:H81"/>
    <mergeCell ref="I76:I81"/>
    <mergeCell ref="J76:J81"/>
    <mergeCell ref="K76:K81"/>
    <mergeCell ref="H38:H59"/>
    <mergeCell ref="I38:I59"/>
    <mergeCell ref="J38:J59"/>
    <mergeCell ref="K38:K59"/>
    <mergeCell ref="H61:H63"/>
    <mergeCell ref="I61:I63"/>
    <mergeCell ref="J61:J63"/>
    <mergeCell ref="K61:K63"/>
    <mergeCell ref="H20:H23"/>
    <mergeCell ref="I20:I23"/>
    <mergeCell ref="J20:J23"/>
    <mergeCell ref="K20:K23"/>
    <mergeCell ref="H25:H36"/>
    <mergeCell ref="I25:I36"/>
    <mergeCell ref="J25:J36"/>
    <mergeCell ref="K25:K36"/>
    <mergeCell ref="B3:K3"/>
    <mergeCell ref="H7:H14"/>
    <mergeCell ref="I7:I14"/>
    <mergeCell ref="J7:J14"/>
    <mergeCell ref="K7:K14"/>
    <mergeCell ref="H16:H18"/>
    <mergeCell ref="I16:I18"/>
    <mergeCell ref="J16:J18"/>
    <mergeCell ref="K16:K18"/>
  </mergeCells>
  <printOptions horizontalCentered="1"/>
  <pageMargins left="0.19685039370078741" right="0.19685039370078741" top="0.19685039370078741" bottom="0.19685039370078741" header="0" footer="0"/>
  <pageSetup paperSize="346" scale="59" fitToHeight="0" orientation="portrait" r:id="rId1"/>
  <rowBreaks count="1" manualBreakCount="1">
    <brk id="86" min="1" max="1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87"/>
  <sheetViews>
    <sheetView zoomScale="70" zoomScaleNormal="70" zoomScaleSheetLayoutView="87" workbookViewId="0">
      <selection activeCell="O13" sqref="O13"/>
    </sheetView>
  </sheetViews>
  <sheetFormatPr defaultColWidth="8.85546875" defaultRowHeight="15.75" x14ac:dyDescent="0.25"/>
  <cols>
    <col min="1" max="1" width="1.7109375" style="1" bestFit="1" customWidth="1"/>
    <col min="2" max="2" width="4.42578125" style="1" bestFit="1" customWidth="1"/>
    <col min="3" max="3" width="39.5703125" style="1" bestFit="1" customWidth="1"/>
    <col min="4" max="4" width="9.7109375" style="1" bestFit="1" customWidth="1"/>
    <col min="5" max="5" width="11.5703125" style="157" bestFit="1" customWidth="1"/>
    <col min="6" max="6" width="20.28515625" style="158" bestFit="1" customWidth="1"/>
    <col min="7" max="7" width="19.140625" style="159" bestFit="1" customWidth="1"/>
    <col min="8" max="8" width="15.7109375" style="1" customWidth="1"/>
    <col min="9" max="9" width="19.140625" style="160" bestFit="1" customWidth="1"/>
    <col min="10" max="10" width="21.5703125" style="161" bestFit="1" customWidth="1"/>
    <col min="11" max="11" width="13.42578125" style="162" bestFit="1" customWidth="1"/>
    <col min="12" max="13" width="8.85546875" style="1"/>
    <col min="14" max="14" width="34.5703125" style="1" customWidth="1"/>
    <col min="15" max="16384" width="8.85546875" style="1"/>
  </cols>
  <sheetData>
    <row r="1" spans="1:13" x14ac:dyDescent="0.25">
      <c r="B1" s="2" t="s">
        <v>0</v>
      </c>
      <c r="C1" s="3"/>
      <c r="D1" s="4" t="s">
        <v>163</v>
      </c>
      <c r="E1" s="5"/>
      <c r="F1" s="5"/>
      <c r="G1" s="5"/>
      <c r="H1" s="2" t="s">
        <v>2</v>
      </c>
      <c r="I1" s="6"/>
      <c r="J1" s="7">
        <v>55</v>
      </c>
      <c r="K1" s="8"/>
    </row>
    <row r="2" spans="1:13" ht="16.5" thickBot="1" x14ac:dyDescent="0.3">
      <c r="B2" s="9"/>
      <c r="C2" s="10"/>
      <c r="D2" s="11"/>
      <c r="E2" s="12"/>
      <c r="F2" s="12"/>
      <c r="G2" s="12"/>
      <c r="H2" s="9"/>
      <c r="I2" s="13"/>
      <c r="J2" s="14"/>
      <c r="K2" s="15"/>
    </row>
    <row r="3" spans="1:13" s="20" customFormat="1" ht="8.25" customHeight="1" x14ac:dyDescent="0.25">
      <c r="A3" s="1"/>
      <c r="B3" s="16"/>
      <c r="C3" s="17"/>
      <c r="D3" s="17"/>
      <c r="E3" s="17"/>
      <c r="F3" s="17"/>
      <c r="G3" s="17"/>
      <c r="H3" s="17"/>
      <c r="I3" s="17"/>
      <c r="J3" s="18"/>
      <c r="K3" s="19"/>
    </row>
    <row r="4" spans="1:13" s="20" customFormat="1" x14ac:dyDescent="0.25">
      <c r="A4" s="1"/>
      <c r="B4" s="21" t="s">
        <v>3</v>
      </c>
      <c r="C4" s="22" t="s">
        <v>4</v>
      </c>
      <c r="D4" s="23" t="s">
        <v>5</v>
      </c>
      <c r="E4" s="23"/>
      <c r="F4" s="24" t="s">
        <v>6</v>
      </c>
      <c r="G4" s="25" t="s">
        <v>7</v>
      </c>
      <c r="H4" s="22" t="s">
        <v>8</v>
      </c>
      <c r="I4" s="23" t="s">
        <v>9</v>
      </c>
      <c r="J4" s="23" t="s">
        <v>10</v>
      </c>
      <c r="K4" s="26" t="s">
        <v>11</v>
      </c>
    </row>
    <row r="5" spans="1:13" s="20" customFormat="1" x14ac:dyDescent="0.25">
      <c r="A5" s="1"/>
      <c r="B5" s="21"/>
      <c r="C5" s="27"/>
      <c r="D5" s="24" t="s">
        <v>12</v>
      </c>
      <c r="E5" s="24" t="s">
        <v>13</v>
      </c>
      <c r="F5" s="24" t="s">
        <v>14</v>
      </c>
      <c r="G5" s="25" t="s">
        <v>14</v>
      </c>
      <c r="H5" s="22"/>
      <c r="I5" s="23"/>
      <c r="J5" s="28"/>
      <c r="K5" s="26"/>
    </row>
    <row r="6" spans="1:13" s="20" customFormat="1" ht="18" customHeight="1" x14ac:dyDescent="0.25">
      <c r="A6" s="1"/>
      <c r="B6" s="91" t="s">
        <v>15</v>
      </c>
      <c r="C6" s="163" t="s">
        <v>16</v>
      </c>
      <c r="D6" s="93"/>
      <c r="E6" s="93"/>
      <c r="F6" s="93"/>
      <c r="G6" s="93"/>
      <c r="H6" s="93"/>
      <c r="I6" s="94"/>
      <c r="J6" s="93"/>
      <c r="K6" s="95"/>
    </row>
    <row r="7" spans="1:13" s="20" customFormat="1" ht="18" customHeight="1" x14ac:dyDescent="0.25">
      <c r="A7" s="1"/>
      <c r="B7" s="34">
        <v>1</v>
      </c>
      <c r="C7" s="35" t="s">
        <v>17</v>
      </c>
      <c r="D7" s="36">
        <f>IFERROR(HLOOKUP($J$1,[1]DB!$C$1:$K$172,7,FALSE),"")</f>
        <v>13</v>
      </c>
      <c r="E7" s="36">
        <f>SUMIFS('[1]Rincian Keluar'!$G:$G,'[1]Rincian Keluar'!$E:$E,'PELANGI 04'!C7,'[1]Rincian Keluar'!$D:$D,'PELANGI 04'!$D$1,'[1]Rincian Keluar'!$H:$H,'PELANGI 04'!$J$1,'[1]Rincian Keluar'!$F:$F,'PELANGI 04'!M7)</f>
        <v>10</v>
      </c>
      <c r="F7" s="37">
        <v>21500</v>
      </c>
      <c r="G7" s="38">
        <f>E7*F7</f>
        <v>215000</v>
      </c>
      <c r="H7" s="39">
        <v>2157000</v>
      </c>
      <c r="I7" s="39">
        <f>IFERROR(VLOOKUP($C6,[1]HK!$B$5:$C$14,2,FALSE),"")*$J1</f>
        <v>2293500</v>
      </c>
      <c r="J7" s="40">
        <f>I7-H7</f>
        <v>136500</v>
      </c>
      <c r="K7" s="41">
        <v>1</v>
      </c>
      <c r="M7" s="20" t="str">
        <f>$C$6</f>
        <v>PONDASI</v>
      </c>
    </row>
    <row r="8" spans="1:13" s="20" customFormat="1" ht="18" customHeight="1" x14ac:dyDescent="0.25">
      <c r="A8" s="1"/>
      <c r="B8" s="34">
        <v>2</v>
      </c>
      <c r="C8" s="35" t="s">
        <v>18</v>
      </c>
      <c r="D8" s="36">
        <f>IFERROR(HLOOKUP($J$1,[1]DB!$C$1:$K$172,8,FALSE),"")</f>
        <v>45</v>
      </c>
      <c r="E8" s="36">
        <f>SUMIFS('[1]Rincian Keluar'!$G:$G,'[1]Rincian Keluar'!$E:$E,'PELANGI 04'!C8,'[1]Rincian Keluar'!$D:$D,'PELANGI 04'!$D$1,'[1]Rincian Keluar'!$H:$H,'PELANGI 04'!$J$1,'[1]Rincian Keluar'!$F:$F,'PELANGI 04'!M8)</f>
        <v>35</v>
      </c>
      <c r="F8" s="37">
        <v>49000</v>
      </c>
      <c r="G8" s="38">
        <f t="shared" ref="G8:G14" si="0">E8*F8</f>
        <v>1715000</v>
      </c>
      <c r="H8" s="42"/>
      <c r="I8" s="42"/>
      <c r="J8" s="43"/>
      <c r="K8" s="44"/>
      <c r="M8" s="20" t="str">
        <f t="shared" ref="M8:M14" si="1">$C$6</f>
        <v>PONDASI</v>
      </c>
    </row>
    <row r="9" spans="1:13" s="20" customFormat="1" ht="18" customHeight="1" x14ac:dyDescent="0.25">
      <c r="A9" s="1"/>
      <c r="B9" s="34">
        <v>3</v>
      </c>
      <c r="C9" s="45" t="s">
        <v>19</v>
      </c>
      <c r="D9" s="36">
        <f>IFERROR(HLOOKUP($J$1,[1]DB!$C$1:$K$172,9,FALSE),"")</f>
        <v>38</v>
      </c>
      <c r="E9" s="36">
        <f>SUMIFS('[1]Rincian Keluar'!$G:$G,'[1]Rincian Keluar'!$E:$E,'PELANGI 04'!C9,'[1]Rincian Keluar'!$D:$D,'PELANGI 04'!$D$1,'[1]Rincian Keluar'!$H:$H,'PELANGI 04'!$J$1,'[1]Rincian Keluar'!$F:$F,'PELANGI 04'!M9)</f>
        <v>12</v>
      </c>
      <c r="F9" s="46">
        <v>11000</v>
      </c>
      <c r="G9" s="38">
        <f t="shared" si="0"/>
        <v>132000</v>
      </c>
      <c r="H9" s="42"/>
      <c r="I9" s="42"/>
      <c r="J9" s="43"/>
      <c r="K9" s="44"/>
      <c r="M9" s="20" t="str">
        <f t="shared" si="1"/>
        <v>PONDASI</v>
      </c>
    </row>
    <row r="10" spans="1:13" s="20" customFormat="1" ht="18" customHeight="1" x14ac:dyDescent="0.25">
      <c r="A10" s="1"/>
      <c r="B10" s="34">
        <v>4</v>
      </c>
      <c r="C10" s="45" t="s">
        <v>20</v>
      </c>
      <c r="D10" s="36">
        <f>IFERROR(HLOOKUP($J$1,[1]DB!$C$1:$K$172,10,FALSE),"")</f>
        <v>81</v>
      </c>
      <c r="E10" s="36">
        <f>SUMIFS('[1]Rincian Keluar'!$G:$G,'[1]Rincian Keluar'!$E:$E,'PELANGI 04'!C10,'[1]Rincian Keluar'!$D:$D,'PELANGI 04'!$D$1,'[1]Rincian Keluar'!$H:$H,'PELANGI 04'!$J$1,'[1]Rincian Keluar'!$F:$F,'PELANGI 04'!M10)</f>
        <v>71</v>
      </c>
      <c r="F10" s="37">
        <v>8000</v>
      </c>
      <c r="G10" s="38">
        <f t="shared" si="0"/>
        <v>568000</v>
      </c>
      <c r="H10" s="42"/>
      <c r="I10" s="42"/>
      <c r="J10" s="43"/>
      <c r="K10" s="44"/>
      <c r="M10" s="20" t="str">
        <f t="shared" si="1"/>
        <v>PONDASI</v>
      </c>
    </row>
    <row r="11" spans="1:13" s="20" customFormat="1" ht="18" customHeight="1" x14ac:dyDescent="0.25">
      <c r="A11" s="1"/>
      <c r="B11" s="34">
        <v>5</v>
      </c>
      <c r="C11" s="45" t="s">
        <v>21</v>
      </c>
      <c r="D11" s="36">
        <f>IFERROR(HLOOKUP($J$1,[1]DB!$C$1:$K$172,11,FALSE),"")</f>
        <v>180</v>
      </c>
      <c r="E11" s="36">
        <f>SUMIFS('[1]Rincian Keluar'!$G:$G,'[1]Rincian Keluar'!$E:$E,'PELANGI 04'!C11,'[1]Rincian Keluar'!$D:$D,'PELANGI 04'!$D$1,'[1]Rincian Keluar'!$H:$H,'PELANGI 04'!$J$1,'[1]Rincian Keluar'!$F:$F,'PELANGI 04'!M11)</f>
        <v>0</v>
      </c>
      <c r="F11" s="37">
        <v>11000</v>
      </c>
      <c r="G11" s="38">
        <f t="shared" si="0"/>
        <v>0</v>
      </c>
      <c r="H11" s="42"/>
      <c r="I11" s="42"/>
      <c r="J11" s="43"/>
      <c r="K11" s="44"/>
      <c r="M11" s="20" t="str">
        <f t="shared" si="1"/>
        <v>PONDASI</v>
      </c>
    </row>
    <row r="12" spans="1:13" s="20" customFormat="1" ht="18" customHeight="1" x14ac:dyDescent="0.25">
      <c r="A12" s="1"/>
      <c r="B12" s="34">
        <v>6</v>
      </c>
      <c r="C12" s="45" t="s">
        <v>22</v>
      </c>
      <c r="D12" s="36">
        <f>IFERROR(HLOOKUP($J$1,[1]DB!$C$1:$K$172,12,FALSE),"")</f>
        <v>14</v>
      </c>
      <c r="E12" s="36">
        <f>SUMIFS('[1]Rincian Keluar'!$G:$G,'[1]Rincian Keluar'!$E:$E,'PELANGI 04'!C12,'[1]Rincian Keluar'!$D:$D,'PELANGI 04'!$D$1,'[1]Rincian Keluar'!$H:$H,'PELANGI 04'!$J$1,'[1]Rincian Keluar'!$F:$F,'PELANGI 04'!M12)</f>
        <v>12</v>
      </c>
      <c r="F12" s="37">
        <v>150000</v>
      </c>
      <c r="G12" s="38">
        <f t="shared" si="0"/>
        <v>1800000</v>
      </c>
      <c r="H12" s="42"/>
      <c r="I12" s="42"/>
      <c r="J12" s="43"/>
      <c r="K12" s="44"/>
      <c r="M12" s="20" t="str">
        <f t="shared" si="1"/>
        <v>PONDASI</v>
      </c>
    </row>
    <row r="13" spans="1:13" s="20" customFormat="1" ht="18" customHeight="1" x14ac:dyDescent="0.25">
      <c r="A13" s="1"/>
      <c r="B13" s="34">
        <v>7</v>
      </c>
      <c r="C13" s="45" t="s">
        <v>23</v>
      </c>
      <c r="D13" s="36">
        <f>IFERROR(HLOOKUP($J$1,[1]DB!$C$1:$K$172,13,FALSE),"")</f>
        <v>2</v>
      </c>
      <c r="E13" s="36">
        <f>SUMIFS('[1]Rincian Keluar'!$G:$G,'[1]Rincian Keluar'!$E:$E,'PELANGI 04'!C13,'[1]Rincian Keluar'!$D:$D,'PELANGI 04'!$D$1,'[1]Rincian Keluar'!$H:$H,'PELANGI 04'!$J$1,'[1]Rincian Keluar'!$F:$F,'PELANGI 04'!M13)</f>
        <v>1</v>
      </c>
      <c r="F13" s="37">
        <v>500000</v>
      </c>
      <c r="G13" s="38">
        <f t="shared" si="0"/>
        <v>500000</v>
      </c>
      <c r="H13" s="42"/>
      <c r="I13" s="42"/>
      <c r="J13" s="43"/>
      <c r="K13" s="44"/>
      <c r="M13" s="20" t="str">
        <f t="shared" si="1"/>
        <v>PONDASI</v>
      </c>
    </row>
    <row r="14" spans="1:13" s="20" customFormat="1" ht="18" customHeight="1" x14ac:dyDescent="0.25">
      <c r="A14" s="1"/>
      <c r="B14" s="34">
        <v>8</v>
      </c>
      <c r="C14" s="45" t="s">
        <v>24</v>
      </c>
      <c r="D14" s="36">
        <f>IFERROR(HLOOKUP($J$1,[1]DB!$C$1:$K$172,14,FALSE),"")</f>
        <v>42</v>
      </c>
      <c r="E14" s="36">
        <f>SUMIFS('[1]Rincian Keluar'!$G:$G,'[1]Rincian Keluar'!$E:$E,'PELANGI 04'!C14,'[1]Rincian Keluar'!$D:$D,'PELANGI 04'!$D$1,'[1]Rincian Keluar'!$H:$H,'PELANGI 04'!$J$1,'[1]Rincian Keluar'!$F:$F,'PELANGI 04'!M14)</f>
        <v>45</v>
      </c>
      <c r="F14" s="37">
        <v>60700</v>
      </c>
      <c r="G14" s="38">
        <f t="shared" si="0"/>
        <v>2731500</v>
      </c>
      <c r="H14" s="47"/>
      <c r="I14" s="47"/>
      <c r="J14" s="48"/>
      <c r="K14" s="49"/>
      <c r="M14" s="20" t="str">
        <f t="shared" si="1"/>
        <v>PONDASI</v>
      </c>
    </row>
    <row r="15" spans="1:13" ht="18" customHeight="1" x14ac:dyDescent="0.25">
      <c r="B15" s="29" t="s">
        <v>25</v>
      </c>
      <c r="C15" s="50" t="s">
        <v>26</v>
      </c>
      <c r="D15" s="31"/>
      <c r="E15" s="31"/>
      <c r="F15" s="31"/>
      <c r="G15" s="31"/>
      <c r="H15" s="31"/>
      <c r="I15" s="32"/>
      <c r="J15" s="31"/>
      <c r="K15" s="33"/>
    </row>
    <row r="16" spans="1:13" ht="18" customHeight="1" x14ac:dyDescent="0.25">
      <c r="B16" s="34">
        <v>1</v>
      </c>
      <c r="C16" s="35" t="s">
        <v>22</v>
      </c>
      <c r="D16" s="36">
        <f>IFERROR(HLOOKUP($J$1,[1]DB!$C$1:$K$172,16,FALSE),"")</f>
        <v>35</v>
      </c>
      <c r="E16" s="36">
        <f>SUMIFS('[1]Rincian Keluar'!$G:$G,'[1]Rincian Keluar'!$E:$E,'PELANGI 04'!C16,'[1]Rincian Keluar'!$D:$D,'PELANGI 04'!$D$1,'[1]Rincian Keluar'!$H:$H,'PELANGI 04'!$J$1,'[1]Rincian Keluar'!$F:$F,'PELANGI 04'!M16)</f>
        <v>0</v>
      </c>
      <c r="F16" s="37">
        <v>150000</v>
      </c>
      <c r="G16" s="38">
        <f>E16*F16</f>
        <v>0</v>
      </c>
      <c r="H16" s="136"/>
      <c r="I16" s="39">
        <f>IFERROR(VLOOKUP($C15,[1]HK!$B$5:$C$14,2,FALSE),"")*$J1</f>
        <v>918500</v>
      </c>
      <c r="J16" s="52"/>
      <c r="K16" s="41"/>
      <c r="M16" s="20" t="str">
        <f>$C$15</f>
        <v>URUG</v>
      </c>
    </row>
    <row r="17" spans="2:13" ht="18" customHeight="1" x14ac:dyDescent="0.25">
      <c r="B17" s="34">
        <v>2</v>
      </c>
      <c r="C17" s="35" t="s">
        <v>27</v>
      </c>
      <c r="D17" s="36">
        <f>IFERROR(HLOOKUP($J$1,[1]DB!$C$1:$K$172,17,FALSE),"")</f>
        <v>2</v>
      </c>
      <c r="E17" s="36">
        <f>SUMIFS('[1]Rincian Keluar'!$G:$G,'[1]Rincian Keluar'!$E:$E,'PELANGI 04'!C17,'[1]Rincian Keluar'!$D:$D,'PELANGI 04'!$D$1,'[1]Rincian Keluar'!$H:$H,'PELANGI 04'!$J$1,'[1]Rincian Keluar'!$F:$F,'PELANGI 04'!M17)</f>
        <v>0</v>
      </c>
      <c r="F17" s="37">
        <v>133500</v>
      </c>
      <c r="G17" s="38">
        <f t="shared" ref="G17:G18" si="2">E17*F17</f>
        <v>0</v>
      </c>
      <c r="H17" s="138"/>
      <c r="I17" s="42"/>
      <c r="J17" s="54"/>
      <c r="K17" s="44"/>
      <c r="M17" s="20" t="str">
        <f t="shared" ref="M17:M18" si="3">$C$15</f>
        <v>URUG</v>
      </c>
    </row>
    <row r="18" spans="2:13" ht="18" customHeight="1" x14ac:dyDescent="0.25">
      <c r="B18" s="34">
        <v>3</v>
      </c>
      <c r="C18" s="35" t="s">
        <v>28</v>
      </c>
      <c r="D18" s="36">
        <f>IFERROR(HLOOKUP($J$1,[1]DB!$C$1:$K$172,18,FALSE),"")</f>
        <v>2</v>
      </c>
      <c r="E18" s="36">
        <f>SUMIFS('[1]Rincian Keluar'!$G:$G,'[1]Rincian Keluar'!$E:$E,'PELANGI 04'!C18,'[1]Rincian Keluar'!$D:$D,'PELANGI 04'!$D$1,'[1]Rincian Keluar'!$H:$H,'PELANGI 04'!$J$1,'[1]Rincian Keluar'!$F:$F,'PELANGI 04'!M18)</f>
        <v>0</v>
      </c>
      <c r="F18" s="37">
        <v>48000</v>
      </c>
      <c r="G18" s="38">
        <f t="shared" si="2"/>
        <v>0</v>
      </c>
      <c r="H18" s="140"/>
      <c r="I18" s="47"/>
      <c r="J18" s="56"/>
      <c r="K18" s="49"/>
      <c r="M18" s="20" t="str">
        <f t="shared" si="3"/>
        <v>URUG</v>
      </c>
    </row>
    <row r="19" spans="2:13" ht="18" customHeight="1" x14ac:dyDescent="0.25">
      <c r="B19" s="29" t="s">
        <v>29</v>
      </c>
      <c r="C19" s="50" t="s">
        <v>30</v>
      </c>
      <c r="D19" s="31"/>
      <c r="E19" s="31"/>
      <c r="F19" s="31"/>
      <c r="G19" s="31"/>
      <c r="H19" s="31"/>
      <c r="I19" s="32"/>
      <c r="J19" s="31"/>
      <c r="K19" s="33"/>
    </row>
    <row r="20" spans="2:13" ht="18" customHeight="1" x14ac:dyDescent="0.25">
      <c r="B20" s="34">
        <v>1</v>
      </c>
      <c r="C20" s="35" t="s">
        <v>17</v>
      </c>
      <c r="D20" s="36">
        <f>IFERROR(HLOOKUP($J$1,[1]DB!$C$1:$K$172,20,FALSE),"")</f>
        <v>17</v>
      </c>
      <c r="E20" s="36">
        <f>SUMIFS('[1]Rincian Keluar'!$G:$G,'[1]Rincian Keluar'!$E:$E,'PELANGI 04'!C20,'[1]Rincian Keluar'!$D:$D,'PELANGI 04'!$D$1,'[1]Rincian Keluar'!$H:$H,'PELANGI 04'!$J$1,'[1]Rincian Keluar'!$F:$F,'PELANGI 04'!M20)</f>
        <v>0</v>
      </c>
      <c r="F20" s="37">
        <v>22000</v>
      </c>
      <c r="G20" s="38">
        <f>E20*F20</f>
        <v>0</v>
      </c>
      <c r="H20" s="136"/>
      <c r="I20" s="39">
        <f>IFERROR(VLOOKUP($C19,[1]HK!$B$5:$C$14,2,FALSE),"")*$J1</f>
        <v>550000</v>
      </c>
      <c r="J20" s="40"/>
      <c r="K20" s="41"/>
      <c r="M20" s="20" t="str">
        <f>$C$19</f>
        <v>COR LANTAI</v>
      </c>
    </row>
    <row r="21" spans="2:13" ht="18" customHeight="1" x14ac:dyDescent="0.25">
      <c r="B21" s="34">
        <v>2</v>
      </c>
      <c r="C21" s="35" t="s">
        <v>31</v>
      </c>
      <c r="D21" s="36">
        <f>IFERROR(HLOOKUP($J$1,[1]DB!$C$1:$K$172,21,FALSE),"")</f>
        <v>5</v>
      </c>
      <c r="E21" s="36">
        <f>SUMIFS('[1]Rincian Keluar'!$G:$G,'[1]Rincian Keluar'!$E:$E,'PELANGI 04'!C21,'[1]Rincian Keluar'!$D:$D,'PELANGI 04'!$D$1,'[1]Rincian Keluar'!$H:$H,'PELANGI 04'!$J$1,'[1]Rincian Keluar'!$F:$F,'PELANGI 04'!M21)</f>
        <v>0</v>
      </c>
      <c r="F21" s="37">
        <v>150000</v>
      </c>
      <c r="G21" s="38">
        <f t="shared" ref="G21:G23" si="4">E21*F21</f>
        <v>0</v>
      </c>
      <c r="H21" s="138"/>
      <c r="I21" s="42"/>
      <c r="J21" s="43"/>
      <c r="K21" s="44"/>
      <c r="M21" s="20" t="str">
        <f t="shared" ref="M21:M23" si="5">$C$19</f>
        <v>COR LANTAI</v>
      </c>
    </row>
    <row r="22" spans="2:13" ht="18" customHeight="1" x14ac:dyDescent="0.25">
      <c r="B22" s="34">
        <v>3</v>
      </c>
      <c r="C22" s="45" t="s">
        <v>24</v>
      </c>
      <c r="D22" s="36">
        <f>IFERROR(HLOOKUP($J$1,[1]DB!$C$1:$K$172,22,FALSE),"")</f>
        <v>15</v>
      </c>
      <c r="E22" s="36">
        <f>SUMIFS('[1]Rincian Keluar'!$G:$G,'[1]Rincian Keluar'!$E:$E,'PELANGI 04'!C22,'[1]Rincian Keluar'!$D:$D,'PELANGI 04'!$D$1,'[1]Rincian Keluar'!$H:$H,'PELANGI 04'!$J$1,'[1]Rincian Keluar'!$F:$F,'PELANGI 04'!M22)</f>
        <v>0</v>
      </c>
      <c r="F22" s="37">
        <v>60700</v>
      </c>
      <c r="G22" s="38">
        <f t="shared" si="4"/>
        <v>0</v>
      </c>
      <c r="H22" s="138"/>
      <c r="I22" s="42"/>
      <c r="J22" s="43"/>
      <c r="K22" s="44"/>
      <c r="M22" s="20" t="str">
        <f t="shared" si="5"/>
        <v>COR LANTAI</v>
      </c>
    </row>
    <row r="23" spans="2:13" ht="18" customHeight="1" x14ac:dyDescent="0.25">
      <c r="B23" s="34">
        <v>4</v>
      </c>
      <c r="C23" s="35" t="s">
        <v>32</v>
      </c>
      <c r="D23" s="36">
        <f>IFERROR(HLOOKUP($J$1,[1]DB!$C$1:$K$172,23,FALSE),"")</f>
        <v>7</v>
      </c>
      <c r="E23" s="36">
        <f>SUMIFS('[1]Rincian Keluar'!$G:$G,'[1]Rincian Keluar'!$E:$E,'PELANGI 04'!C23,'[1]Rincian Keluar'!$D:$D,'PELANGI 04'!$D$1,'[1]Rincian Keluar'!$H:$H,'PELANGI 04'!$J$1,'[1]Rincian Keluar'!$F:$F,'PELANGI 04'!M23)</f>
        <v>0</v>
      </c>
      <c r="F23" s="57">
        <v>15000</v>
      </c>
      <c r="G23" s="38">
        <f t="shared" si="4"/>
        <v>0</v>
      </c>
      <c r="H23" s="140"/>
      <c r="I23" s="47"/>
      <c r="J23" s="48"/>
      <c r="K23" s="49"/>
      <c r="M23" s="20" t="str">
        <f t="shared" si="5"/>
        <v>COR LANTAI</v>
      </c>
    </row>
    <row r="24" spans="2:13" ht="18" customHeight="1" x14ac:dyDescent="0.25">
      <c r="B24" s="29" t="s">
        <v>33</v>
      </c>
      <c r="C24" s="58" t="s">
        <v>34</v>
      </c>
      <c r="D24" s="31"/>
      <c r="E24" s="31"/>
      <c r="F24" s="31"/>
      <c r="G24" s="31"/>
      <c r="H24" s="31"/>
      <c r="I24" s="32"/>
      <c r="J24" s="31"/>
      <c r="K24" s="33"/>
    </row>
    <row r="25" spans="2:13" ht="18" customHeight="1" x14ac:dyDescent="0.25">
      <c r="B25" s="34">
        <v>1</v>
      </c>
      <c r="C25" s="45" t="s">
        <v>35</v>
      </c>
      <c r="D25" s="36">
        <f>IFERROR(HLOOKUP($J$1,[1]DB!$C$1:$K$172,25,FALSE),"")</f>
        <v>1</v>
      </c>
      <c r="E25" s="36">
        <f>SUMIFS('[1]Rincian Keluar'!$G:$G,'[1]Rincian Keluar'!$E:$E,'PELANGI 04'!C25,'[1]Rincian Keluar'!$D:$D,'PELANGI 04'!$D$1,'[1]Rincian Keluar'!$H:$H,'PELANGI 04'!$J$1,'[1]Rincian Keluar'!$F:$F,'PELANGI 04'!M25)</f>
        <v>0</v>
      </c>
      <c r="F25" s="46">
        <v>1550000</v>
      </c>
      <c r="G25" s="59">
        <f>E25*F25</f>
        <v>0</v>
      </c>
      <c r="H25" s="60"/>
      <c r="I25" s="61" t="e">
        <f>IFERROR(VLOOKUP($C24,[1]HK!$B$5:$C$14,2,FALSE),"")*$J1</f>
        <v>#VALUE!</v>
      </c>
      <c r="J25" s="62"/>
      <c r="K25" s="63"/>
      <c r="M25" s="20" t="str">
        <f>$C$24</f>
        <v>PINTU</v>
      </c>
    </row>
    <row r="26" spans="2:13" ht="18" customHeight="1" x14ac:dyDescent="0.25">
      <c r="B26" s="34">
        <v>2</v>
      </c>
      <c r="C26" s="45" t="s">
        <v>36</v>
      </c>
      <c r="D26" s="36">
        <f>IFERROR(HLOOKUP($J$1,[1]DB!$C$1:$K$172,26,FALSE),"")</f>
        <v>3</v>
      </c>
      <c r="E26" s="36">
        <f>SUMIFS('[1]Rincian Keluar'!$G:$G,'[1]Rincian Keluar'!$E:$E,'PELANGI 04'!C26,'[1]Rincian Keluar'!$D:$D,'PELANGI 04'!$D$1,'[1]Rincian Keluar'!$H:$H,'PELANGI 04'!$J$1,'[1]Rincian Keluar'!$F:$F,'PELANGI 04'!M26)</f>
        <v>0</v>
      </c>
      <c r="F26" s="46">
        <v>775000</v>
      </c>
      <c r="G26" s="59">
        <f t="shared" ref="G26:G36" si="6">E26*F26</f>
        <v>0</v>
      </c>
      <c r="H26" s="60"/>
      <c r="I26" s="61"/>
      <c r="J26" s="62"/>
      <c r="K26" s="63"/>
      <c r="M26" s="20" t="str">
        <f t="shared" ref="M26:M36" si="7">$C$24</f>
        <v>PINTU</v>
      </c>
    </row>
    <row r="27" spans="2:13" ht="18" customHeight="1" x14ac:dyDescent="0.25">
      <c r="B27" s="34">
        <v>3</v>
      </c>
      <c r="C27" s="45" t="s">
        <v>37</v>
      </c>
      <c r="D27" s="36">
        <f>IFERROR(HLOOKUP($J$1,[1]DB!$C$1:$K$172,27,FALSE),"")</f>
        <v>2</v>
      </c>
      <c r="E27" s="36">
        <f>SUMIFS('[1]Rincian Keluar'!$G:$G,'[1]Rincian Keluar'!$E:$E,'PELANGI 04'!C27,'[1]Rincian Keluar'!$D:$D,'PELANGI 04'!$D$1,'[1]Rincian Keluar'!$H:$H,'PELANGI 04'!$J$1,'[1]Rincian Keluar'!$F:$F,'PELANGI 04'!M27)</f>
        <v>0</v>
      </c>
      <c r="F27" s="46">
        <v>260000</v>
      </c>
      <c r="G27" s="59">
        <f t="shared" si="6"/>
        <v>0</v>
      </c>
      <c r="H27" s="60"/>
      <c r="I27" s="61"/>
      <c r="J27" s="62"/>
      <c r="K27" s="63"/>
      <c r="M27" s="20" t="str">
        <f t="shared" si="7"/>
        <v>PINTU</v>
      </c>
    </row>
    <row r="28" spans="2:13" ht="18" customHeight="1" x14ac:dyDescent="0.25">
      <c r="B28" s="34">
        <v>4</v>
      </c>
      <c r="C28" s="45" t="s">
        <v>38</v>
      </c>
      <c r="D28" s="36">
        <f>IFERROR(HLOOKUP($J$1,[1]DB!$C$1:$K$172,28,FALSE),"")</f>
        <v>1</v>
      </c>
      <c r="E28" s="36">
        <f>SUMIFS('[1]Rincian Keluar'!$G:$G,'[1]Rincian Keluar'!$E:$E,'PELANGI 04'!C28,'[1]Rincian Keluar'!$D:$D,'PELANGI 04'!$D$1,'[1]Rincian Keluar'!$H:$H,'PELANGI 04'!$J$1,'[1]Rincian Keluar'!$F:$F,'PELANGI 04'!M28)</f>
        <v>0</v>
      </c>
      <c r="F28" s="46">
        <v>799000</v>
      </c>
      <c r="G28" s="59">
        <f t="shared" si="6"/>
        <v>0</v>
      </c>
      <c r="H28" s="60"/>
      <c r="I28" s="61"/>
      <c r="J28" s="62"/>
      <c r="K28" s="63"/>
      <c r="M28" s="20" t="str">
        <f t="shared" si="7"/>
        <v>PINTU</v>
      </c>
    </row>
    <row r="29" spans="2:13" ht="18" customHeight="1" x14ac:dyDescent="0.25">
      <c r="B29" s="34">
        <v>5</v>
      </c>
      <c r="C29" s="45" t="s">
        <v>39</v>
      </c>
      <c r="D29" s="36">
        <f>IFERROR(HLOOKUP($J$1,[1]DB!$C$1:$K$172,29,FALSE),"")</f>
        <v>15</v>
      </c>
      <c r="E29" s="36">
        <f>SUMIFS('[1]Rincian Keluar'!$G:$G,'[1]Rincian Keluar'!$E:$E,'PELANGI 04'!C29,'[1]Rincian Keluar'!$D:$D,'PELANGI 04'!$D$1,'[1]Rincian Keluar'!$H:$H,'PELANGI 04'!$J$1,'[1]Rincian Keluar'!$F:$F,'PELANGI 04'!M29)</f>
        <v>0</v>
      </c>
      <c r="F29" s="46">
        <v>15000</v>
      </c>
      <c r="G29" s="59">
        <f t="shared" si="6"/>
        <v>0</v>
      </c>
      <c r="H29" s="60"/>
      <c r="I29" s="61"/>
      <c r="J29" s="62"/>
      <c r="K29" s="63"/>
      <c r="M29" s="20" t="str">
        <f t="shared" si="7"/>
        <v>PINTU</v>
      </c>
    </row>
    <row r="30" spans="2:13" ht="18" customHeight="1" x14ac:dyDescent="0.25">
      <c r="B30" s="34">
        <v>6</v>
      </c>
      <c r="C30" s="45" t="s">
        <v>40</v>
      </c>
      <c r="D30" s="36">
        <f>IFERROR(HLOOKUP($J$1,[1]DB!$C$1:$K$172,30,FALSE),"")</f>
        <v>2</v>
      </c>
      <c r="E30" s="36">
        <f>SUMIFS('[1]Rincian Keluar'!$G:$G,'[1]Rincian Keluar'!$E:$E,'PELANGI 04'!C30,'[1]Rincian Keluar'!$D:$D,'PELANGI 04'!$D$1,'[1]Rincian Keluar'!$H:$H,'PELANGI 04'!$J$1,'[1]Rincian Keluar'!$F:$F,'PELANGI 04'!M30)</f>
        <v>0</v>
      </c>
      <c r="F30" s="46">
        <v>100000</v>
      </c>
      <c r="G30" s="59">
        <f t="shared" si="6"/>
        <v>0</v>
      </c>
      <c r="H30" s="60"/>
      <c r="I30" s="61"/>
      <c r="J30" s="62"/>
      <c r="K30" s="63"/>
      <c r="M30" s="20" t="str">
        <f t="shared" si="7"/>
        <v>PINTU</v>
      </c>
    </row>
    <row r="31" spans="2:13" ht="18" customHeight="1" x14ac:dyDescent="0.25">
      <c r="B31" s="34">
        <v>7</v>
      </c>
      <c r="C31" s="45" t="s">
        <v>41</v>
      </c>
      <c r="D31" s="36">
        <f>IFERROR(HLOOKUP($J$1,[1]DB!$C$1:$K$172,31,FALSE),"")</f>
        <v>1</v>
      </c>
      <c r="E31" s="36">
        <f>SUMIFS('[1]Rincian Keluar'!$G:$G,'[1]Rincian Keluar'!$E:$E,'PELANGI 04'!C31,'[1]Rincian Keluar'!$D:$D,'PELANGI 04'!$D$1,'[1]Rincian Keluar'!$H:$H,'PELANGI 04'!$J$1,'[1]Rincian Keluar'!$F:$F,'PELANGI 04'!M31)</f>
        <v>0</v>
      </c>
      <c r="F31" s="46">
        <v>60000</v>
      </c>
      <c r="G31" s="59">
        <f t="shared" si="6"/>
        <v>0</v>
      </c>
      <c r="H31" s="60"/>
      <c r="I31" s="61"/>
      <c r="J31" s="62"/>
      <c r="K31" s="63"/>
      <c r="M31" s="20" t="str">
        <f t="shared" si="7"/>
        <v>PINTU</v>
      </c>
    </row>
    <row r="32" spans="2:13" ht="18" customHeight="1" x14ac:dyDescent="0.25">
      <c r="B32" s="34">
        <v>8</v>
      </c>
      <c r="C32" s="45" t="s">
        <v>42</v>
      </c>
      <c r="D32" s="36">
        <f>IFERROR(HLOOKUP($J$1,[1]DB!$C$1:$K$172,32,FALSE),"")</f>
        <v>3</v>
      </c>
      <c r="E32" s="36">
        <f>SUMIFS('[1]Rincian Keluar'!$G:$G,'[1]Rincian Keluar'!$E:$E,'PELANGI 04'!C32,'[1]Rincian Keluar'!$D:$D,'PELANGI 04'!$D$1,'[1]Rincian Keluar'!$H:$H,'PELANGI 04'!$J$1,'[1]Rincian Keluar'!$F:$F,'PELANGI 04'!M32)</f>
        <v>0</v>
      </c>
      <c r="F32" s="46">
        <v>65000</v>
      </c>
      <c r="G32" s="59">
        <f t="shared" si="6"/>
        <v>0</v>
      </c>
      <c r="H32" s="60"/>
      <c r="I32" s="61"/>
      <c r="J32" s="62"/>
      <c r="K32" s="63"/>
      <c r="M32" s="20" t="str">
        <f t="shared" si="7"/>
        <v>PINTU</v>
      </c>
    </row>
    <row r="33" spans="1:13" ht="18" customHeight="1" x14ac:dyDescent="0.25">
      <c r="B33" s="34">
        <v>9</v>
      </c>
      <c r="C33" s="35" t="s">
        <v>43</v>
      </c>
      <c r="D33" s="36">
        <f>IFERROR(HLOOKUP($J$1,[1]DB!$C$1:$K$172,33,FALSE),"")</f>
        <v>4</v>
      </c>
      <c r="E33" s="36">
        <f>SUMIFS('[1]Rincian Keluar'!$G:$G,'[1]Rincian Keluar'!$E:$E,'PELANGI 04'!C33,'[1]Rincian Keluar'!$D:$D,'PELANGI 04'!$D$1,'[1]Rincian Keluar'!$H:$H,'PELANGI 04'!$J$1,'[1]Rincian Keluar'!$F:$F,'PELANGI 04'!M33)</f>
        <v>0</v>
      </c>
      <c r="F33" s="64">
        <v>83000</v>
      </c>
      <c r="G33" s="59">
        <f t="shared" si="6"/>
        <v>0</v>
      </c>
      <c r="H33" s="60"/>
      <c r="I33" s="61"/>
      <c r="J33" s="62"/>
      <c r="K33" s="63"/>
      <c r="M33" s="20" t="str">
        <f t="shared" si="7"/>
        <v>PINTU</v>
      </c>
    </row>
    <row r="34" spans="1:13" ht="18" customHeight="1" x14ac:dyDescent="0.25">
      <c r="B34" s="34">
        <v>10</v>
      </c>
      <c r="C34" s="35" t="s">
        <v>44</v>
      </c>
      <c r="D34" s="36">
        <f>IFERROR(HLOOKUP($J$1,[1]DB!$C$1:$K$172,34,FALSE),"")</f>
        <v>2</v>
      </c>
      <c r="E34" s="36">
        <f>SUMIFS('[1]Rincian Keluar'!$G:$G,'[1]Rincian Keluar'!$E:$E,'PELANGI 04'!C34,'[1]Rincian Keluar'!$D:$D,'PELANGI 04'!$D$1,'[1]Rincian Keluar'!$H:$H,'PELANGI 04'!$J$1,'[1]Rincian Keluar'!$F:$F,'PELANGI 04'!M34)</f>
        <v>0</v>
      </c>
      <c r="F34" s="64">
        <v>23000</v>
      </c>
      <c r="G34" s="59">
        <f t="shared" si="6"/>
        <v>0</v>
      </c>
      <c r="H34" s="60"/>
      <c r="I34" s="61"/>
      <c r="J34" s="62"/>
      <c r="K34" s="63"/>
      <c r="M34" s="20" t="str">
        <f t="shared" si="7"/>
        <v>PINTU</v>
      </c>
    </row>
    <row r="35" spans="1:13" ht="18" customHeight="1" x14ac:dyDescent="0.25">
      <c r="B35" s="34">
        <v>11</v>
      </c>
      <c r="C35" s="35" t="s">
        <v>45</v>
      </c>
      <c r="D35" s="36">
        <f>IFERROR(HLOOKUP($J$1,[1]DB!$C$1:$K$172,35,FALSE),"")</f>
        <v>1</v>
      </c>
      <c r="E35" s="36">
        <f>SUMIFS('[1]Rincian Keluar'!$G:$G,'[1]Rincian Keluar'!$E:$E,'PELANGI 04'!C35,'[1]Rincian Keluar'!$D:$D,'PELANGI 04'!$D$1,'[1]Rincian Keluar'!$H:$H,'PELANGI 04'!$J$1,'[1]Rincian Keluar'!$F:$F,'PELANGI 04'!M35)</f>
        <v>0</v>
      </c>
      <c r="F35" s="64">
        <v>17000</v>
      </c>
      <c r="G35" s="59">
        <f t="shared" si="6"/>
        <v>0</v>
      </c>
      <c r="H35" s="60"/>
      <c r="I35" s="61"/>
      <c r="J35" s="62"/>
      <c r="K35" s="63"/>
      <c r="M35" s="20" t="str">
        <f t="shared" si="7"/>
        <v>PINTU</v>
      </c>
    </row>
    <row r="36" spans="1:13" ht="18" customHeight="1" x14ac:dyDescent="0.25">
      <c r="B36" s="34">
        <v>12</v>
      </c>
      <c r="C36" s="35" t="s">
        <v>46</v>
      </c>
      <c r="D36" s="36">
        <f>IFERROR(HLOOKUP($J$1,[1]DB!$C$1:$K$172,36,FALSE),"")</f>
        <v>1</v>
      </c>
      <c r="E36" s="36">
        <f>SUMIFS('[1]Rincian Keluar'!$G:$G,'[1]Rincian Keluar'!$E:$E,'PELANGI 04'!C36,'[1]Rincian Keluar'!$D:$D,'PELANGI 04'!$D$1,'[1]Rincian Keluar'!$H:$H,'PELANGI 04'!$J$1,'[1]Rincian Keluar'!$F:$F,'PELANGI 04'!M36)</f>
        <v>0</v>
      </c>
      <c r="F36" s="64">
        <v>11000</v>
      </c>
      <c r="G36" s="59">
        <f t="shared" si="6"/>
        <v>0</v>
      </c>
      <c r="H36" s="60"/>
      <c r="I36" s="61"/>
      <c r="J36" s="62"/>
      <c r="K36" s="63"/>
      <c r="M36" s="20" t="str">
        <f t="shared" si="7"/>
        <v>PINTU</v>
      </c>
    </row>
    <row r="37" spans="1:13" ht="18" customHeight="1" x14ac:dyDescent="0.25">
      <c r="B37" s="29" t="s">
        <v>47</v>
      </c>
      <c r="C37" s="65" t="s">
        <v>48</v>
      </c>
      <c r="D37" s="31"/>
      <c r="E37" s="31"/>
      <c r="F37" s="31"/>
      <c r="G37" s="31"/>
      <c r="H37" s="31"/>
      <c r="I37" s="32"/>
      <c r="J37" s="31"/>
      <c r="K37" s="33"/>
      <c r="M37" s="20"/>
    </row>
    <row r="38" spans="1:13" s="66" customFormat="1" ht="18" customHeight="1" x14ac:dyDescent="0.25">
      <c r="B38" s="34">
        <v>1</v>
      </c>
      <c r="C38" s="45" t="s">
        <v>49</v>
      </c>
      <c r="D38" s="36">
        <f>IFERROR(HLOOKUP($J$1,[1]DB!$C$1:$K$172,38,FALSE),"")</f>
        <v>26</v>
      </c>
      <c r="E38" s="36">
        <f>SUMIFS('[1]Rincian Keluar'!$G:$G,'[1]Rincian Keluar'!$E:$E,'PELANGI 04'!C38,'[1]Rincian Keluar'!$D:$D,'PELANGI 04'!$D$1,'[1]Rincian Keluar'!$H:$H,'PELANGI 04'!$J$1,'[1]Rincian Keluar'!$F:$F,'PELANGI 04'!M38)</f>
        <v>0</v>
      </c>
      <c r="F38" s="37">
        <v>11000</v>
      </c>
      <c r="G38" s="67">
        <f>E38*F38</f>
        <v>0</v>
      </c>
      <c r="H38" s="168"/>
      <c r="I38" s="61">
        <f>IFERROR(VLOOKUP($C37,[1]HK!$B$5:$C$14,2,FALSE),"")*$J1</f>
        <v>3822500</v>
      </c>
      <c r="J38" s="71"/>
      <c r="K38" s="70"/>
      <c r="M38" s="20" t="str">
        <f>$C$37</f>
        <v>BATA</v>
      </c>
    </row>
    <row r="39" spans="1:13" s="66" customFormat="1" ht="18" customHeight="1" x14ac:dyDescent="0.25">
      <c r="B39" s="34">
        <v>2</v>
      </c>
      <c r="C39" s="45" t="s">
        <v>19</v>
      </c>
      <c r="D39" s="36">
        <f>IFERROR(HLOOKUP($J$1,[1]DB!$C$1:$K$172,39,FALSE),"")</f>
        <v>28</v>
      </c>
      <c r="E39" s="36">
        <f>SUMIFS('[1]Rincian Keluar'!$G:$G,'[1]Rincian Keluar'!$E:$E,'PELANGI 04'!C39,'[1]Rincian Keluar'!$D:$D,'PELANGI 04'!$D$1,'[1]Rincian Keluar'!$H:$H,'PELANGI 04'!$J$1,'[1]Rincian Keluar'!$F:$F,'PELANGI 04'!M39)</f>
        <v>0</v>
      </c>
      <c r="F39" s="46">
        <v>11000</v>
      </c>
      <c r="G39" s="67">
        <f t="shared" ref="G39:G59" si="8">E39*F39</f>
        <v>0</v>
      </c>
      <c r="H39" s="168"/>
      <c r="I39" s="61"/>
      <c r="J39" s="71"/>
      <c r="K39" s="70"/>
      <c r="M39" s="20" t="str">
        <f t="shared" ref="M39:M59" si="9">$C$37</f>
        <v>BATA</v>
      </c>
    </row>
    <row r="40" spans="1:13" ht="18" customHeight="1" x14ac:dyDescent="0.25">
      <c r="B40" s="34">
        <v>3</v>
      </c>
      <c r="C40" s="45" t="s">
        <v>17</v>
      </c>
      <c r="D40" s="36">
        <f>IFERROR(HLOOKUP($J$1,[1]DB!$C$1:$K$172,40,FALSE),"")</f>
        <v>5</v>
      </c>
      <c r="E40" s="36">
        <f>SUMIFS('[1]Rincian Keluar'!$G:$G,'[1]Rincian Keluar'!$E:$E,'PELANGI 04'!C40,'[1]Rincian Keluar'!$D:$D,'PELANGI 04'!$D$1,'[1]Rincian Keluar'!$H:$H,'PELANGI 04'!$J$1,'[1]Rincian Keluar'!$F:$F,'PELANGI 04'!M40)</f>
        <v>0</v>
      </c>
      <c r="F40" s="37">
        <v>22000</v>
      </c>
      <c r="G40" s="67">
        <f t="shared" si="8"/>
        <v>0</v>
      </c>
      <c r="H40" s="168"/>
      <c r="I40" s="61"/>
      <c r="J40" s="71"/>
      <c r="K40" s="70"/>
      <c r="M40" s="20" t="str">
        <f t="shared" si="9"/>
        <v>BATA</v>
      </c>
    </row>
    <row r="41" spans="1:13" ht="18" customHeight="1" x14ac:dyDescent="0.25">
      <c r="B41" s="34">
        <v>4</v>
      </c>
      <c r="C41" s="45" t="s">
        <v>50</v>
      </c>
      <c r="D41" s="36">
        <f>IFERROR(HLOOKUP($J$1,[1]DB!$C$1:$K$172,41,FALSE),"")</f>
        <v>9</v>
      </c>
      <c r="E41" s="36">
        <f>SUMIFS('[1]Rincian Keluar'!$G:$G,'[1]Rincian Keluar'!$E:$E,'PELANGI 04'!C41,'[1]Rincian Keluar'!$D:$D,'PELANGI 04'!$D$1,'[1]Rincian Keluar'!$H:$H,'PELANGI 04'!$J$1,'[1]Rincian Keluar'!$F:$F,'PELANGI 04'!M41)</f>
        <v>0</v>
      </c>
      <c r="F41" s="37">
        <v>35000</v>
      </c>
      <c r="G41" s="67">
        <f t="shared" si="8"/>
        <v>0</v>
      </c>
      <c r="H41" s="168"/>
      <c r="I41" s="61"/>
      <c r="J41" s="71"/>
      <c r="K41" s="70"/>
      <c r="M41" s="20" t="str">
        <f t="shared" si="9"/>
        <v>BATA</v>
      </c>
    </row>
    <row r="42" spans="1:13" ht="18" customHeight="1" x14ac:dyDescent="0.25">
      <c r="B42" s="34">
        <v>5</v>
      </c>
      <c r="C42" s="45" t="s">
        <v>51</v>
      </c>
      <c r="D42" s="36">
        <f>IFERROR(HLOOKUP($J$1,[1]DB!$C$1:$K$172,42,FALSE),"")</f>
        <v>2</v>
      </c>
      <c r="E42" s="36">
        <f>SUMIFS('[1]Rincian Keluar'!$G:$G,'[1]Rincian Keluar'!$E:$E,'PELANGI 04'!C42,'[1]Rincian Keluar'!$D:$D,'PELANGI 04'!$D$1,'[1]Rincian Keluar'!$H:$H,'PELANGI 04'!$J$1,'[1]Rincian Keluar'!$F:$F,'PELANGI 04'!M42)</f>
        <v>0</v>
      </c>
      <c r="F42" s="37">
        <f>F40</f>
        <v>22000</v>
      </c>
      <c r="G42" s="67">
        <f t="shared" si="8"/>
        <v>0</v>
      </c>
      <c r="H42" s="168"/>
      <c r="I42" s="61"/>
      <c r="J42" s="71"/>
      <c r="K42" s="70"/>
      <c r="M42" s="20" t="str">
        <f t="shared" si="9"/>
        <v>BATA</v>
      </c>
    </row>
    <row r="43" spans="1:13" ht="18" customHeight="1" x14ac:dyDescent="0.25">
      <c r="B43" s="34">
        <v>6</v>
      </c>
      <c r="C43" s="45" t="s">
        <v>52</v>
      </c>
      <c r="D43" s="36">
        <f>IFERROR(HLOOKUP($J$1,[1]DB!$C$1:$K$172,43,FALSE),"")</f>
        <v>1</v>
      </c>
      <c r="E43" s="36">
        <f>SUMIFS('[1]Rincian Keluar'!$G:$G,'[1]Rincian Keluar'!$E:$E,'PELANGI 04'!C43,'[1]Rincian Keluar'!$D:$D,'PELANGI 04'!$D$1,'[1]Rincian Keluar'!$H:$H,'PELANGI 04'!$J$1,'[1]Rincian Keluar'!$F:$F,'PELANGI 04'!M43)</f>
        <v>0</v>
      </c>
      <c r="F43" s="46">
        <v>363250</v>
      </c>
      <c r="G43" s="67">
        <f t="shared" si="8"/>
        <v>0</v>
      </c>
      <c r="H43" s="168"/>
      <c r="I43" s="61"/>
      <c r="J43" s="71"/>
      <c r="K43" s="70"/>
      <c r="M43" s="20" t="str">
        <f t="shared" si="9"/>
        <v>BATA</v>
      </c>
    </row>
    <row r="44" spans="1:13" ht="18" customHeight="1" x14ac:dyDescent="0.25">
      <c r="B44" s="34">
        <v>7</v>
      </c>
      <c r="C44" s="45" t="s">
        <v>53</v>
      </c>
      <c r="D44" s="36">
        <f>IFERROR(HLOOKUP($J$1,[1]DB!$C$1:$K$172,44,FALSE),"")</f>
        <v>3</v>
      </c>
      <c r="E44" s="36">
        <f>SUMIFS('[1]Rincian Keluar'!$G:$G,'[1]Rincian Keluar'!$E:$E,'PELANGI 04'!C44,'[1]Rincian Keluar'!$D:$D,'PELANGI 04'!$D$1,'[1]Rincian Keluar'!$H:$H,'PELANGI 04'!$J$1,'[1]Rincian Keluar'!$F:$F,'PELANGI 04'!M44)</f>
        <v>0</v>
      </c>
      <c r="F44" s="46">
        <v>337050</v>
      </c>
      <c r="G44" s="67">
        <f t="shared" si="8"/>
        <v>0</v>
      </c>
      <c r="H44" s="168"/>
      <c r="I44" s="61"/>
      <c r="J44" s="71"/>
      <c r="K44" s="70"/>
      <c r="M44" s="20" t="str">
        <f t="shared" si="9"/>
        <v>BATA</v>
      </c>
    </row>
    <row r="45" spans="1:13" ht="18" customHeight="1" x14ac:dyDescent="0.25">
      <c r="B45" s="34">
        <v>8</v>
      </c>
      <c r="C45" s="72" t="s">
        <v>54</v>
      </c>
      <c r="D45" s="36">
        <f>IFERROR(HLOOKUP($J$1,[1]DB!$C$1:$K$172,45,FALSE),"")</f>
        <v>2562</v>
      </c>
      <c r="E45" s="36">
        <f>SUMIFS('[1]Rincian Keluar'!$G:$G,'[1]Rincian Keluar'!$E:$E,'PELANGI 04'!C45,'[1]Rincian Keluar'!$D:$D,'PELANGI 04'!$D$1,'[1]Rincian Keluar'!$H:$H,'PELANGI 04'!$J$1,'[1]Rincian Keluar'!$F:$F,'PELANGI 04'!M45)</f>
        <v>0</v>
      </c>
      <c r="F45" s="37">
        <v>1850</v>
      </c>
      <c r="G45" s="67">
        <f t="shared" si="8"/>
        <v>0</v>
      </c>
      <c r="H45" s="168"/>
      <c r="I45" s="61"/>
      <c r="J45" s="71"/>
      <c r="K45" s="70"/>
      <c r="M45" s="20" t="str">
        <f t="shared" si="9"/>
        <v>BATA</v>
      </c>
    </row>
    <row r="46" spans="1:13" ht="18" customHeight="1" x14ac:dyDescent="0.25">
      <c r="B46" s="34">
        <v>9</v>
      </c>
      <c r="C46" s="45" t="s">
        <v>24</v>
      </c>
      <c r="D46" s="36">
        <f>IFERROR(HLOOKUP($J$1,[1]DB!$C$1:$K$172,46,FALSE),"")</f>
        <v>21</v>
      </c>
      <c r="E46" s="36">
        <f>SUMIFS('[1]Rincian Keluar'!$G:$G,'[1]Rincian Keluar'!$E:$E,'PELANGI 04'!C46,'[1]Rincian Keluar'!$D:$D,'PELANGI 04'!$D$1,'[1]Rincian Keluar'!$H:$H,'PELANGI 04'!$J$1,'[1]Rincian Keluar'!$F:$F,'PELANGI 04'!M46)</f>
        <v>0</v>
      </c>
      <c r="F46" s="37">
        <v>60700</v>
      </c>
      <c r="G46" s="67">
        <f t="shared" si="8"/>
        <v>0</v>
      </c>
      <c r="H46" s="168"/>
      <c r="I46" s="61"/>
      <c r="J46" s="71"/>
      <c r="K46" s="70"/>
      <c r="M46" s="20" t="str">
        <f t="shared" si="9"/>
        <v>BATA</v>
      </c>
    </row>
    <row r="47" spans="1:13" ht="18" customHeight="1" x14ac:dyDescent="0.25">
      <c r="B47" s="34">
        <v>10</v>
      </c>
      <c r="C47" s="72" t="s">
        <v>31</v>
      </c>
      <c r="D47" s="36">
        <f>IFERROR(HLOOKUP($J$1,[1]DB!$C$1:$K$172,47,FALSE),"")</f>
        <v>5</v>
      </c>
      <c r="E47" s="36">
        <f>SUMIFS('[1]Rincian Keluar'!$G:$G,'[1]Rincian Keluar'!$E:$E,'PELANGI 04'!C47,'[1]Rincian Keluar'!$D:$D,'PELANGI 04'!$D$1,'[1]Rincian Keluar'!$H:$H,'PELANGI 04'!$J$1,'[1]Rincian Keluar'!$F:$F,'PELANGI 04'!M47)</f>
        <v>0</v>
      </c>
      <c r="F47" s="37">
        <v>150000</v>
      </c>
      <c r="G47" s="67">
        <f t="shared" si="8"/>
        <v>0</v>
      </c>
      <c r="H47" s="168"/>
      <c r="I47" s="61"/>
      <c r="J47" s="71"/>
      <c r="K47" s="70"/>
      <c r="M47" s="20" t="str">
        <f t="shared" si="9"/>
        <v>BATA</v>
      </c>
    </row>
    <row r="48" spans="1:13" s="20" customFormat="1" ht="18" customHeight="1" x14ac:dyDescent="0.25">
      <c r="A48" s="1"/>
      <c r="B48" s="34">
        <v>11</v>
      </c>
      <c r="C48" s="72" t="s">
        <v>17</v>
      </c>
      <c r="D48" s="36">
        <f>IFERROR(HLOOKUP($J$1,[1]DB!$C$1:$K$172,48,FALSE),"")</f>
        <v>5</v>
      </c>
      <c r="E48" s="36">
        <f>SUMIFS('[1]Rincian Keluar'!$G:$G,'[1]Rincian Keluar'!$E:$E,'PELANGI 04'!C48,'[1]Rincian Keluar'!$D:$D,'PELANGI 04'!$D$1,'[1]Rincian Keluar'!$H:$H,'PELANGI 04'!$J$1,'[1]Rincian Keluar'!$F:$F,'PELANGI 04'!M48)</f>
        <v>0</v>
      </c>
      <c r="F48" s="64">
        <f>F7</f>
        <v>21500</v>
      </c>
      <c r="G48" s="67">
        <f t="shared" si="8"/>
        <v>0</v>
      </c>
      <c r="H48" s="168"/>
      <c r="I48" s="61"/>
      <c r="J48" s="71"/>
      <c r="K48" s="70"/>
      <c r="M48" s="20" t="str">
        <f t="shared" si="9"/>
        <v>BATA</v>
      </c>
    </row>
    <row r="49" spans="1:15" s="20" customFormat="1" ht="18" customHeight="1" x14ac:dyDescent="0.25">
      <c r="A49" s="1"/>
      <c r="B49" s="29" t="s">
        <v>55</v>
      </c>
      <c r="C49" s="65" t="s">
        <v>56</v>
      </c>
      <c r="D49" s="73"/>
      <c r="E49" s="73"/>
      <c r="F49" s="73"/>
      <c r="G49" s="74"/>
      <c r="H49" s="168"/>
      <c r="I49" s="61"/>
      <c r="J49" s="71"/>
      <c r="K49" s="70"/>
      <c r="M49" s="20" t="str">
        <f t="shared" si="9"/>
        <v>BATA</v>
      </c>
    </row>
    <row r="50" spans="1:15" s="20" customFormat="1" ht="18" customHeight="1" x14ac:dyDescent="0.25">
      <c r="A50" s="1"/>
      <c r="B50" s="34">
        <v>1</v>
      </c>
      <c r="C50" s="45" t="s">
        <v>24</v>
      </c>
      <c r="D50" s="36">
        <f>IFERROR(HLOOKUP($J$1,[1]DB!$C$1:$K$172,50,FALSE),"")</f>
        <v>5</v>
      </c>
      <c r="E50" s="36">
        <f>SUMIFS('[1]Rincian Keluar'!$G:$G,'[1]Rincian Keluar'!$E:$E,'PELANGI 04'!C50,'[1]Rincian Keluar'!$D:$D,'PELANGI 04'!$D$1,'[1]Rincian Keluar'!$H:$H,'PELANGI 04'!$J$1,'[1]Rincian Keluar'!$F:$F,'PELANGI 04'!M50)</f>
        <v>0</v>
      </c>
      <c r="F50" s="37">
        <v>60700</v>
      </c>
      <c r="G50" s="67">
        <f t="shared" si="8"/>
        <v>0</v>
      </c>
      <c r="H50" s="168"/>
      <c r="I50" s="61"/>
      <c r="J50" s="71"/>
      <c r="K50" s="70"/>
      <c r="M50" s="20" t="str">
        <f t="shared" si="9"/>
        <v>BATA</v>
      </c>
    </row>
    <row r="51" spans="1:15" s="20" customFormat="1" ht="18" customHeight="1" x14ac:dyDescent="0.25">
      <c r="A51" s="1"/>
      <c r="B51" s="34">
        <v>2</v>
      </c>
      <c r="C51" s="72" t="s">
        <v>31</v>
      </c>
      <c r="D51" s="36">
        <f>IFERROR(HLOOKUP($J$1,[1]DB!$C$1:$K$172,51,FALSE),"")</f>
        <v>1</v>
      </c>
      <c r="E51" s="36">
        <f>SUMIFS('[1]Rincian Keluar'!$G:$G,'[1]Rincian Keluar'!$E:$E,'PELANGI 04'!C51,'[1]Rincian Keluar'!$D:$D,'PELANGI 04'!$D$1,'[1]Rincian Keluar'!$H:$H,'PELANGI 04'!$J$1,'[1]Rincian Keluar'!$F:$F,'PELANGI 04'!M51)</f>
        <v>0</v>
      </c>
      <c r="F51" s="37">
        <v>150000</v>
      </c>
      <c r="G51" s="67">
        <f t="shared" si="8"/>
        <v>0</v>
      </c>
      <c r="H51" s="168"/>
      <c r="I51" s="61"/>
      <c r="J51" s="71"/>
      <c r="K51" s="70"/>
      <c r="M51" s="20" t="str">
        <f t="shared" si="9"/>
        <v>BATA</v>
      </c>
    </row>
    <row r="52" spans="1:15" s="20" customFormat="1" ht="18" customHeight="1" x14ac:dyDescent="0.25">
      <c r="A52" s="1"/>
      <c r="B52" s="34">
        <v>3</v>
      </c>
      <c r="C52" s="72" t="s">
        <v>23</v>
      </c>
      <c r="D52" s="36">
        <f>IFERROR(HLOOKUP($J$1,[1]DB!$C$1:$K$172,52,FALSE),"")</f>
        <v>2</v>
      </c>
      <c r="E52" s="36">
        <f>SUMIFS('[1]Rincian Keluar'!$G:$G,'[1]Rincian Keluar'!$E:$E,'PELANGI 04'!C52,'[1]Rincian Keluar'!$D:$D,'PELANGI 04'!$D$1,'[1]Rincian Keluar'!$H:$H,'PELANGI 04'!$J$1,'[1]Rincian Keluar'!$F:$F,'PELANGI 04'!M52)</f>
        <v>0</v>
      </c>
      <c r="F52" s="37"/>
      <c r="G52" s="67">
        <f t="shared" si="8"/>
        <v>0</v>
      </c>
      <c r="H52" s="168"/>
      <c r="I52" s="61"/>
      <c r="J52" s="71"/>
      <c r="K52" s="70"/>
      <c r="M52" s="20" t="str">
        <f t="shared" si="9"/>
        <v>BATA</v>
      </c>
    </row>
    <row r="53" spans="1:15" s="20" customFormat="1" ht="18" customHeight="1" x14ac:dyDescent="0.25">
      <c r="A53" s="1"/>
      <c r="B53" s="34">
        <v>4</v>
      </c>
      <c r="C53" s="45" t="s">
        <v>51</v>
      </c>
      <c r="D53" s="36">
        <f>IFERROR(HLOOKUP($J$1,[1]DB!$C$1:$K$172,53,FALSE),"")</f>
        <v>3</v>
      </c>
      <c r="E53" s="36">
        <f>SUMIFS('[1]Rincian Keluar'!$G:$G,'[1]Rincian Keluar'!$E:$E,'PELANGI 04'!C53,'[1]Rincian Keluar'!$D:$D,'PELANGI 04'!$D$1,'[1]Rincian Keluar'!$H:$H,'PELANGI 04'!$J$1,'[1]Rincian Keluar'!$F:$F,'PELANGI 04'!M53)</f>
        <v>0</v>
      </c>
      <c r="F53" s="37">
        <v>22000</v>
      </c>
      <c r="G53" s="67">
        <f t="shared" si="8"/>
        <v>0</v>
      </c>
      <c r="H53" s="168"/>
      <c r="I53" s="61"/>
      <c r="J53" s="71"/>
      <c r="K53" s="70"/>
      <c r="M53" s="20" t="str">
        <f t="shared" si="9"/>
        <v>BATA</v>
      </c>
    </row>
    <row r="54" spans="1:15" s="20" customFormat="1" ht="18" customHeight="1" x14ac:dyDescent="0.25">
      <c r="A54" s="1"/>
      <c r="B54" s="34">
        <v>5</v>
      </c>
      <c r="C54" s="45" t="s">
        <v>57</v>
      </c>
      <c r="D54" s="36">
        <f>IFERROR(HLOOKUP($J$1,[1]DB!$C$1:$K$172,54,FALSE),"")</f>
        <v>4</v>
      </c>
      <c r="E54" s="36">
        <f>SUMIFS('[1]Rincian Keluar'!$G:$G,'[1]Rincian Keluar'!$E:$E,'PELANGI 04'!C54,'[1]Rincian Keluar'!$D:$D,'PELANGI 04'!$D$1,'[1]Rincian Keluar'!$H:$H,'PELANGI 04'!$J$1,'[1]Rincian Keluar'!$F:$F,'PELANGI 04'!M54)</f>
        <v>0</v>
      </c>
      <c r="F54" s="37">
        <v>35000</v>
      </c>
      <c r="G54" s="67">
        <f t="shared" si="8"/>
        <v>0</v>
      </c>
      <c r="H54" s="168"/>
      <c r="I54" s="61"/>
      <c r="J54" s="71"/>
      <c r="K54" s="70"/>
      <c r="M54" s="20" t="str">
        <f t="shared" si="9"/>
        <v>BATA</v>
      </c>
    </row>
    <row r="55" spans="1:15" s="20" customFormat="1" ht="18" customHeight="1" x14ac:dyDescent="0.25">
      <c r="A55" s="1"/>
      <c r="B55" s="34">
        <v>6</v>
      </c>
      <c r="C55" s="45" t="s">
        <v>58</v>
      </c>
      <c r="D55" s="36">
        <f>IFERROR(HLOOKUP($J$1,[1]DB!$C$1:$K$172,55,FALSE),"")</f>
        <v>1</v>
      </c>
      <c r="E55" s="36">
        <f>SUMIFS('[1]Rincian Keluar'!$G:$G,'[1]Rincian Keluar'!$E:$E,'PELANGI 04'!C55,'[1]Rincian Keluar'!$D:$D,'PELANGI 04'!$D$1,'[1]Rincian Keluar'!$H:$H,'PELANGI 04'!$J$1,'[1]Rincian Keluar'!$F:$F,'PELANGI 04'!M55)</f>
        <v>0</v>
      </c>
      <c r="F55" s="37">
        <v>130000</v>
      </c>
      <c r="G55" s="67">
        <f t="shared" si="8"/>
        <v>0</v>
      </c>
      <c r="H55" s="168"/>
      <c r="I55" s="61"/>
      <c r="J55" s="71"/>
      <c r="K55" s="70"/>
      <c r="M55" s="20" t="str">
        <f t="shared" si="9"/>
        <v>BATA</v>
      </c>
    </row>
    <row r="56" spans="1:15" s="20" customFormat="1" ht="18" customHeight="1" x14ac:dyDescent="0.25">
      <c r="A56" s="1"/>
      <c r="B56" s="34">
        <v>7</v>
      </c>
      <c r="C56" s="45" t="s">
        <v>19</v>
      </c>
      <c r="D56" s="36">
        <f>IFERROR(HLOOKUP($J$1,[1]DB!$C$1:$K$172,56,FALSE),"")</f>
        <v>22</v>
      </c>
      <c r="E56" s="36">
        <f>SUMIFS('[1]Rincian Keluar'!$G:$G,'[1]Rincian Keluar'!$E:$E,'PELANGI 04'!C56,'[1]Rincian Keluar'!$D:$D,'PELANGI 04'!$D$1,'[1]Rincian Keluar'!$H:$H,'PELANGI 04'!$J$1,'[1]Rincian Keluar'!$F:$F,'PELANGI 04'!M56)</f>
        <v>0</v>
      </c>
      <c r="F56" s="46">
        <v>11000</v>
      </c>
      <c r="G56" s="67">
        <f t="shared" si="8"/>
        <v>0</v>
      </c>
      <c r="H56" s="168"/>
      <c r="I56" s="61"/>
      <c r="J56" s="71"/>
      <c r="K56" s="70"/>
      <c r="M56" s="20" t="str">
        <f t="shared" si="9"/>
        <v>BATA</v>
      </c>
    </row>
    <row r="57" spans="1:15" s="20" customFormat="1" ht="18" customHeight="1" x14ac:dyDescent="0.25">
      <c r="A57" s="1"/>
      <c r="B57" s="34">
        <v>8</v>
      </c>
      <c r="C57" s="45" t="s">
        <v>54</v>
      </c>
      <c r="D57" s="36">
        <f>IFERROR(HLOOKUP($J$1,[1]DB!$C$1:$K$172,57,FALSE),"")</f>
        <v>81</v>
      </c>
      <c r="E57" s="36">
        <f>SUMIFS('[1]Rincian Keluar'!$G:$G,'[1]Rincian Keluar'!$E:$E,'PELANGI 04'!C57,'[1]Rincian Keluar'!$D:$D,'PELANGI 04'!$D$1,'[1]Rincian Keluar'!$H:$H,'PELANGI 04'!$J$1,'[1]Rincian Keluar'!$F:$F,'PELANGI 04'!M57)</f>
        <v>0</v>
      </c>
      <c r="F57" s="37">
        <v>1850</v>
      </c>
      <c r="G57" s="67">
        <f t="shared" si="8"/>
        <v>0</v>
      </c>
      <c r="H57" s="168"/>
      <c r="I57" s="61"/>
      <c r="J57" s="71"/>
      <c r="K57" s="70"/>
      <c r="M57" s="20" t="str">
        <f t="shared" si="9"/>
        <v>BATA</v>
      </c>
    </row>
    <row r="58" spans="1:15" s="20" customFormat="1" ht="18" customHeight="1" x14ac:dyDescent="0.25">
      <c r="A58" s="1"/>
      <c r="B58" s="34">
        <v>9</v>
      </c>
      <c r="C58" s="45" t="s">
        <v>20</v>
      </c>
      <c r="D58" s="36">
        <f>IFERROR(HLOOKUP($J$1,[1]DB!$C$1:$K$172,58,FALSE),"")</f>
        <v>8</v>
      </c>
      <c r="E58" s="36">
        <f>SUMIFS('[1]Rincian Keluar'!$G:$G,'[1]Rincian Keluar'!$E:$E,'PELANGI 04'!C58,'[1]Rincian Keluar'!$D:$D,'PELANGI 04'!$D$1,'[1]Rincian Keluar'!$H:$H,'PELANGI 04'!$J$1,'[1]Rincian Keluar'!$F:$F,'PELANGI 04'!M58)</f>
        <v>0</v>
      </c>
      <c r="F58" s="37">
        <v>8000</v>
      </c>
      <c r="G58" s="67">
        <f t="shared" si="8"/>
        <v>0</v>
      </c>
      <c r="H58" s="168"/>
      <c r="I58" s="61"/>
      <c r="J58" s="71"/>
      <c r="K58" s="70"/>
      <c r="M58" s="20" t="str">
        <f t="shared" si="9"/>
        <v>BATA</v>
      </c>
    </row>
    <row r="59" spans="1:15" s="20" customFormat="1" ht="18" customHeight="1" x14ac:dyDescent="0.25">
      <c r="A59" s="1"/>
      <c r="B59" s="34">
        <v>10</v>
      </c>
      <c r="C59" s="45" t="s">
        <v>21</v>
      </c>
      <c r="D59" s="36">
        <f>IFERROR(HLOOKUP($J$1,[1]DB!$C$1:$K$172,59,FALSE),"")</f>
        <v>7</v>
      </c>
      <c r="E59" s="36">
        <f>SUMIFS('[1]Rincian Keluar'!$G:$G,'[1]Rincian Keluar'!$E:$E,'PELANGI 04'!C59,'[1]Rincian Keluar'!$D:$D,'PELANGI 04'!$D$1,'[1]Rincian Keluar'!$H:$H,'PELANGI 04'!$J$1,'[1]Rincian Keluar'!$F:$F,'PELANGI 04'!M59)</f>
        <v>0</v>
      </c>
      <c r="F59" s="37">
        <v>11000</v>
      </c>
      <c r="G59" s="67">
        <f t="shared" si="8"/>
        <v>0</v>
      </c>
      <c r="H59" s="168"/>
      <c r="I59" s="61"/>
      <c r="J59" s="71"/>
      <c r="K59" s="70"/>
      <c r="M59" s="20" t="str">
        <f t="shared" si="9"/>
        <v>BATA</v>
      </c>
    </row>
    <row r="60" spans="1:15" s="20" customFormat="1" ht="18" customHeight="1" x14ac:dyDescent="0.25">
      <c r="A60" s="1"/>
      <c r="B60" s="29" t="s">
        <v>59</v>
      </c>
      <c r="C60" s="65" t="s">
        <v>60</v>
      </c>
      <c r="D60" s="31"/>
      <c r="E60" s="31"/>
      <c r="F60" s="31"/>
      <c r="G60" s="31"/>
      <c r="H60" s="31"/>
      <c r="I60" s="32"/>
      <c r="J60" s="31"/>
      <c r="K60" s="33"/>
    </row>
    <row r="61" spans="1:15" s="20" customFormat="1" ht="18" customHeight="1" x14ac:dyDescent="0.25">
      <c r="A61" s="1"/>
      <c r="B61" s="34">
        <v>1</v>
      </c>
      <c r="C61" s="45" t="s">
        <v>24</v>
      </c>
      <c r="D61" s="36">
        <f>IFERROR(HLOOKUP($J$1,[1]DB!$C$1:$K$172,61,FALSE),"")</f>
        <v>38</v>
      </c>
      <c r="E61" s="36">
        <f>SUMIFS('[1]Rincian Keluar'!$G:$G,'[1]Rincian Keluar'!$E:$E,'PELANGI 04'!C61,'[1]Rincian Keluar'!$D:$D,'PELANGI 04'!$D$1,'[1]Rincian Keluar'!$H:$H,'PELANGI 04'!$J$1,'[1]Rincian Keluar'!$F:$F,'PELANGI 04'!M61)</f>
        <v>0</v>
      </c>
      <c r="F61" s="37">
        <v>60700</v>
      </c>
      <c r="G61" s="75">
        <f>E61*F61</f>
        <v>0</v>
      </c>
      <c r="H61" s="136"/>
      <c r="I61" s="76">
        <f>IFERROR(VLOOKUP($C60,[1]HK!$B$5:$C$14,2,FALSE),"")*$J1</f>
        <v>3437500</v>
      </c>
      <c r="J61" s="169">
        <f>E61*F61</f>
        <v>0</v>
      </c>
      <c r="K61" s="41"/>
      <c r="M61" s="20" t="str">
        <f>$C$60</f>
        <v>PLASTER</v>
      </c>
      <c r="O61" s="20" t="s">
        <v>61</v>
      </c>
    </row>
    <row r="62" spans="1:15" s="20" customFormat="1" ht="18" customHeight="1" x14ac:dyDescent="0.25">
      <c r="A62" s="1"/>
      <c r="B62" s="34">
        <v>2</v>
      </c>
      <c r="C62" s="72" t="s">
        <v>31</v>
      </c>
      <c r="D62" s="36">
        <f>IFERROR(HLOOKUP($J$1,[1]DB!$C$1:$K$172,62,FALSE),"")</f>
        <v>8</v>
      </c>
      <c r="E62" s="36">
        <f>SUMIFS('[1]Rincian Keluar'!$G:$G,'[1]Rincian Keluar'!$E:$E,'PELANGI 04'!C62,'[1]Rincian Keluar'!$D:$D,'PELANGI 04'!$D$1,'[1]Rincian Keluar'!$H:$H,'PELANGI 04'!$J$1,'[1]Rincian Keluar'!$F:$F,'PELANGI 04'!M62)</f>
        <v>0</v>
      </c>
      <c r="F62" s="37">
        <v>150000</v>
      </c>
      <c r="G62" s="75">
        <f t="shared" ref="G62:G63" si="10">E62*F62</f>
        <v>0</v>
      </c>
      <c r="H62" s="138"/>
      <c r="I62" s="78"/>
      <c r="J62" s="170"/>
      <c r="K62" s="44"/>
      <c r="M62" s="20" t="str">
        <f t="shared" ref="M62:M63" si="11">$C$60</f>
        <v>PLASTER</v>
      </c>
    </row>
    <row r="63" spans="1:15" ht="18" customHeight="1" x14ac:dyDescent="0.25">
      <c r="B63" s="34">
        <v>3</v>
      </c>
      <c r="C63" s="72" t="s">
        <v>62</v>
      </c>
      <c r="D63" s="36">
        <f>IFERROR(HLOOKUP($J$1,[1]DB!$C$1:$K$172,63,FALSE),"")</f>
        <v>7</v>
      </c>
      <c r="E63" s="36">
        <f>SUMIFS('[1]Rincian Keluar'!$G:$G,'[1]Rincian Keluar'!$E:$E,'PELANGI 04'!C63,'[1]Rincian Keluar'!$D:$D,'PELANGI 04'!$D$1,'[1]Rincian Keluar'!$H:$H,'PELANGI 04'!$J$1,'[1]Rincian Keluar'!$F:$F,'PELANGI 04'!M63)</f>
        <v>0</v>
      </c>
      <c r="F63" s="57">
        <v>8600</v>
      </c>
      <c r="G63" s="75">
        <f t="shared" si="10"/>
        <v>0</v>
      </c>
      <c r="H63" s="140"/>
      <c r="I63" s="80"/>
      <c r="J63" s="171"/>
      <c r="K63" s="49"/>
      <c r="M63" s="20" t="str">
        <f t="shared" si="11"/>
        <v>PLASTER</v>
      </c>
    </row>
    <row r="64" spans="1:15" ht="18" customHeight="1" x14ac:dyDescent="0.25">
      <c r="B64" s="29" t="s">
        <v>63</v>
      </c>
      <c r="C64" s="50" t="s">
        <v>64</v>
      </c>
      <c r="D64" s="31"/>
      <c r="E64" s="31"/>
      <c r="F64" s="31"/>
      <c r="G64" s="31"/>
      <c r="H64" s="31"/>
      <c r="I64" s="32"/>
      <c r="J64" s="31"/>
      <c r="K64" s="33"/>
      <c r="M64" s="20"/>
    </row>
    <row r="65" spans="1:13" ht="18" customHeight="1" x14ac:dyDescent="0.25">
      <c r="B65" s="34">
        <v>1</v>
      </c>
      <c r="C65" s="45" t="s">
        <v>19</v>
      </c>
      <c r="D65" s="36">
        <f>IFERROR(HLOOKUP($J$1,[1]DB!$C$1:$K$172,65,FALSE),"")</f>
        <v>66</v>
      </c>
      <c r="E65" s="36">
        <f>SUMIFS('[1]Rincian Keluar'!$G:$G,'[1]Rincian Keluar'!$E:$E,'PELANGI 04'!C65,'[1]Rincian Keluar'!$D:$D,'PELANGI 04'!$D$1,'[1]Rincian Keluar'!$H:$H,'PELANGI 04'!$J$1,'[1]Rincian Keluar'!$F:$F,'PELANGI 04'!M65)</f>
        <v>0</v>
      </c>
      <c r="F65" s="46">
        <v>11000</v>
      </c>
      <c r="G65" s="82">
        <f>E65*F65</f>
        <v>0</v>
      </c>
      <c r="H65" s="136"/>
      <c r="I65" s="39">
        <f>IFERROR(VLOOKUP($C64,[1]HK!$B$5:$C$14,2,FALSE),"")*$J1</f>
        <v>1837000</v>
      </c>
      <c r="J65" s="137"/>
      <c r="K65" s="84"/>
      <c r="M65" s="20" t="str">
        <f>$C$64</f>
        <v>ATAP</v>
      </c>
    </row>
    <row r="66" spans="1:13" ht="18" customHeight="1" x14ac:dyDescent="0.25">
      <c r="B66" s="34">
        <v>2</v>
      </c>
      <c r="C66" s="45" t="s">
        <v>65</v>
      </c>
      <c r="D66" s="36">
        <f>IFERROR(HLOOKUP($J$1,[1]DB!$C$1:$K$172,66,FALSE),"")</f>
        <v>44</v>
      </c>
      <c r="E66" s="36">
        <f>SUMIFS('[1]Rincian Keluar'!$G:$G,'[1]Rincian Keluar'!$E:$E,'PELANGI 04'!C66,'[1]Rincian Keluar'!$D:$D,'PELANGI 04'!$D$1,'[1]Rincian Keluar'!$H:$H,'PELANGI 04'!$J$1,'[1]Rincian Keluar'!$F:$F,'PELANGI 04'!M66)</f>
        <v>0</v>
      </c>
      <c r="F66" s="85">
        <v>15000</v>
      </c>
      <c r="G66" s="82">
        <f t="shared" ref="G66:G74" si="12">E66*F66</f>
        <v>0</v>
      </c>
      <c r="H66" s="138"/>
      <c r="I66" s="42"/>
      <c r="J66" s="104"/>
      <c r="K66" s="87"/>
      <c r="M66" s="20" t="str">
        <f t="shared" ref="M66:M74" si="13">$C$64</f>
        <v>ATAP</v>
      </c>
    </row>
    <row r="67" spans="1:13" ht="18" customHeight="1" x14ac:dyDescent="0.25">
      <c r="B67" s="34">
        <v>3</v>
      </c>
      <c r="C67" s="45" t="s">
        <v>66</v>
      </c>
      <c r="D67" s="36">
        <f>IFERROR(HLOOKUP($J$1,[1]DB!$C$1:$K$172,67,FALSE),"")</f>
        <v>32</v>
      </c>
      <c r="E67" s="36">
        <f>SUMIFS('[1]Rincian Keluar'!$G:$G,'[1]Rincian Keluar'!$E:$E,'PELANGI 04'!C67,'[1]Rincian Keluar'!$D:$D,'PELANGI 04'!$D$1,'[1]Rincian Keluar'!$H:$H,'PELANGI 04'!$J$1,'[1]Rincian Keluar'!$F:$F,'PELANGI 04'!M67)</f>
        <v>0</v>
      </c>
      <c r="F67" s="85">
        <v>30000</v>
      </c>
      <c r="G67" s="82">
        <f t="shared" si="12"/>
        <v>0</v>
      </c>
      <c r="H67" s="138"/>
      <c r="I67" s="42"/>
      <c r="J67" s="104"/>
      <c r="K67" s="87"/>
      <c r="M67" s="20" t="str">
        <f t="shared" si="13"/>
        <v>ATAP</v>
      </c>
    </row>
    <row r="68" spans="1:13" ht="18" customHeight="1" x14ac:dyDescent="0.25">
      <c r="B68" s="34">
        <v>4</v>
      </c>
      <c r="C68" s="35" t="s">
        <v>67</v>
      </c>
      <c r="D68" s="36">
        <f>IFERROR(HLOOKUP($J$1,[1]DB!$C$1:$K$172,68,FALSE),"")</f>
        <v>10</v>
      </c>
      <c r="E68" s="36">
        <f>SUMIFS('[1]Rincian Keluar'!$G:$G,'[1]Rincian Keluar'!$E:$E,'PELANGI 04'!C68,'[1]Rincian Keluar'!$D:$D,'PELANGI 04'!$D$1,'[1]Rincian Keluar'!$H:$H,'PELANGI 04'!$J$1,'[1]Rincian Keluar'!$F:$F,'PELANGI 04'!M68)</f>
        <v>0</v>
      </c>
      <c r="F68" s="88">
        <v>60000</v>
      </c>
      <c r="G68" s="82">
        <f t="shared" si="12"/>
        <v>0</v>
      </c>
      <c r="H68" s="138"/>
      <c r="I68" s="42"/>
      <c r="J68" s="104"/>
      <c r="K68" s="87"/>
      <c r="M68" s="20" t="str">
        <f t="shared" si="13"/>
        <v>ATAP</v>
      </c>
    </row>
    <row r="69" spans="1:13" ht="18" customHeight="1" x14ac:dyDescent="0.25">
      <c r="B69" s="34">
        <v>5</v>
      </c>
      <c r="C69" s="35" t="s">
        <v>68</v>
      </c>
      <c r="D69" s="36">
        <f>IFERROR(HLOOKUP($J$1,[1]DB!$C$1:$K$172,69,FALSE),"")</f>
        <v>75</v>
      </c>
      <c r="E69" s="36">
        <f>SUMIFS('[1]Rincian Keluar'!$G:$G,'[1]Rincian Keluar'!$E:$E,'PELANGI 04'!C69,'[1]Rincian Keluar'!$D:$D,'PELANGI 04'!$D$1,'[1]Rincian Keluar'!$H:$H,'PELANGI 04'!$J$1,'[1]Rincian Keluar'!$F:$F,'PELANGI 04'!M69)</f>
        <v>0</v>
      </c>
      <c r="F69" s="88">
        <v>52000</v>
      </c>
      <c r="G69" s="82">
        <f t="shared" si="12"/>
        <v>0</v>
      </c>
      <c r="H69" s="138"/>
      <c r="I69" s="42"/>
      <c r="J69" s="104"/>
      <c r="K69" s="87"/>
      <c r="M69" s="20" t="str">
        <f t="shared" si="13"/>
        <v>ATAP</v>
      </c>
    </row>
    <row r="70" spans="1:13" ht="18" customHeight="1" x14ac:dyDescent="0.25">
      <c r="B70" s="34">
        <v>6</v>
      </c>
      <c r="C70" s="35" t="s">
        <v>69</v>
      </c>
      <c r="D70" s="36">
        <f>IFERROR(HLOOKUP($J$1,[1]DB!$C$1:$K$172,70,FALSE),"")</f>
        <v>0</v>
      </c>
      <c r="E70" s="36">
        <f>SUMIFS('[1]Rincian Keluar'!$G:$G,'[1]Rincian Keluar'!$E:$E,'PELANGI 04'!C70,'[1]Rincian Keluar'!$D:$D,'PELANGI 04'!$D$1,'[1]Rincian Keluar'!$H:$H,'PELANGI 04'!$J$1,'[1]Rincian Keluar'!$F:$F,'PELANGI 04'!M70)</f>
        <v>0</v>
      </c>
      <c r="F70" s="88">
        <v>36000</v>
      </c>
      <c r="G70" s="82">
        <f t="shared" si="12"/>
        <v>0</v>
      </c>
      <c r="H70" s="138"/>
      <c r="I70" s="42"/>
      <c r="J70" s="104"/>
      <c r="K70" s="87"/>
      <c r="M70" s="20" t="str">
        <f t="shared" si="13"/>
        <v>ATAP</v>
      </c>
    </row>
    <row r="71" spans="1:13" ht="18" customHeight="1" x14ac:dyDescent="0.25">
      <c r="B71" s="34">
        <v>7</v>
      </c>
      <c r="C71" s="35" t="s">
        <v>70</v>
      </c>
      <c r="D71" s="36">
        <f>IFERROR(HLOOKUP($J$1,[1]DB!$C$1:$K$172,71,FALSE),"")</f>
        <v>0</v>
      </c>
      <c r="E71" s="36">
        <f>SUMIFS('[1]Rincian Keluar'!$G:$G,'[1]Rincian Keluar'!$E:$E,'PELANGI 04'!C71,'[1]Rincian Keluar'!$D:$D,'PELANGI 04'!$D$1,'[1]Rincian Keluar'!$H:$H,'PELANGI 04'!$J$1,'[1]Rincian Keluar'!$F:$F,'PELANGI 04'!M71)</f>
        <v>0</v>
      </c>
      <c r="F71" s="88">
        <v>50000</v>
      </c>
      <c r="G71" s="82">
        <f t="shared" si="12"/>
        <v>0</v>
      </c>
      <c r="H71" s="138"/>
      <c r="I71" s="42"/>
      <c r="J71" s="104"/>
      <c r="K71" s="87"/>
      <c r="M71" s="20" t="str">
        <f t="shared" si="13"/>
        <v>ATAP</v>
      </c>
    </row>
    <row r="72" spans="1:13" ht="18" customHeight="1" x14ac:dyDescent="0.25">
      <c r="B72" s="34">
        <v>8</v>
      </c>
      <c r="C72" s="35" t="s">
        <v>71</v>
      </c>
      <c r="D72" s="36">
        <f>IFERROR(HLOOKUP($J$1,[1]DB!$C$1:$K$172,72,FALSE),"")</f>
        <v>1.5</v>
      </c>
      <c r="E72" s="36">
        <f>SUMIFS('[1]Rincian Keluar'!$G:$G,'[1]Rincian Keluar'!$E:$E,'PELANGI 04'!C72,'[1]Rincian Keluar'!$D:$D,'PELANGI 04'!$D$1,'[1]Rincian Keluar'!$H:$H,'PELANGI 04'!$J$1,'[1]Rincian Keluar'!$F:$F,'PELANGI 04'!M72)</f>
        <v>0</v>
      </c>
      <c r="F72" s="88">
        <v>650000</v>
      </c>
      <c r="G72" s="82">
        <f t="shared" si="12"/>
        <v>0</v>
      </c>
      <c r="H72" s="138"/>
      <c r="I72" s="42"/>
      <c r="J72" s="104"/>
      <c r="K72" s="87"/>
      <c r="M72" s="20" t="str">
        <f t="shared" si="13"/>
        <v>ATAP</v>
      </c>
    </row>
    <row r="73" spans="1:13" ht="18" customHeight="1" x14ac:dyDescent="0.25">
      <c r="B73" s="34">
        <v>9</v>
      </c>
      <c r="C73" s="35" t="s">
        <v>72</v>
      </c>
      <c r="D73" s="36">
        <f>IFERROR(HLOOKUP($J$1,[1]DB!$C$1:$K$172,73,FALSE),"")</f>
        <v>1</v>
      </c>
      <c r="E73" s="36">
        <f>SUMIFS('[1]Rincian Keluar'!$G:$G,'[1]Rincian Keluar'!$E:$E,'PELANGI 04'!C73,'[1]Rincian Keluar'!$D:$D,'PELANGI 04'!$D$1,'[1]Rincian Keluar'!$H:$H,'PELANGI 04'!$J$1,'[1]Rincian Keluar'!$F:$F,'PELANGI 04'!M73)</f>
        <v>0</v>
      </c>
      <c r="F73" s="88">
        <v>130000</v>
      </c>
      <c r="G73" s="82">
        <f t="shared" si="12"/>
        <v>0</v>
      </c>
      <c r="H73" s="138"/>
      <c r="I73" s="42"/>
      <c r="J73" s="104"/>
      <c r="K73" s="87"/>
      <c r="M73" s="20" t="str">
        <f t="shared" si="13"/>
        <v>ATAP</v>
      </c>
    </row>
    <row r="74" spans="1:13" ht="18" customHeight="1" x14ac:dyDescent="0.25">
      <c r="B74" s="34">
        <v>10</v>
      </c>
      <c r="C74" s="35" t="s">
        <v>73</v>
      </c>
      <c r="D74" s="36">
        <f>IFERROR(HLOOKUP($J$1,[1]DB!$C$1:$K$172,74,FALSE),"")</f>
        <v>1</v>
      </c>
      <c r="E74" s="36">
        <f>SUMIFS('[1]Rincian Keluar'!$G:$G,'[1]Rincian Keluar'!$E:$E,'PELANGI 04'!C74,'[1]Rincian Keluar'!$D:$D,'PELANGI 04'!$D$1,'[1]Rincian Keluar'!$H:$H,'PELANGI 04'!$J$1,'[1]Rincian Keluar'!$F:$F,'PELANGI 04'!M74)</f>
        <v>0</v>
      </c>
      <c r="F74" s="88">
        <v>130000</v>
      </c>
      <c r="G74" s="82">
        <f t="shared" si="12"/>
        <v>0</v>
      </c>
      <c r="H74" s="140"/>
      <c r="I74" s="47"/>
      <c r="J74" s="106"/>
      <c r="K74" s="90"/>
      <c r="M74" s="20" t="str">
        <f t="shared" si="13"/>
        <v>ATAP</v>
      </c>
    </row>
    <row r="75" spans="1:13" ht="18" customHeight="1" x14ac:dyDescent="0.25">
      <c r="B75" s="29" t="s">
        <v>74</v>
      </c>
      <c r="C75" s="50" t="s">
        <v>75</v>
      </c>
      <c r="D75" s="31"/>
      <c r="E75" s="31"/>
      <c r="F75" s="31"/>
      <c r="G75" s="31"/>
      <c r="H75" s="31"/>
      <c r="I75" s="32"/>
      <c r="J75" s="31"/>
      <c r="K75" s="33"/>
      <c r="M75" s="20"/>
    </row>
    <row r="76" spans="1:13" ht="18" customHeight="1" x14ac:dyDescent="0.25">
      <c r="B76" s="96">
        <v>1</v>
      </c>
      <c r="C76" s="97" t="s">
        <v>19</v>
      </c>
      <c r="D76" s="36">
        <f>IFERROR(HLOOKUP($J$1,[1]DB!$C$1:$K$172,76,FALSE),"")</f>
        <v>95</v>
      </c>
      <c r="E76" s="36">
        <f>SUMIFS('[1]Rincian Keluar'!$G:$G,'[1]Rincian Keluar'!$E:$E,'PELANGI 04'!C76,'[1]Rincian Keluar'!$D:$D,'PELANGI 04'!$D$1,'[1]Rincian Keluar'!$H:$H,'PELANGI 04'!$J$1,'[1]Rincian Keluar'!$F:$F,'PELANGI 04'!M76)</f>
        <v>0</v>
      </c>
      <c r="F76" s="46">
        <v>11000</v>
      </c>
      <c r="G76" s="98">
        <f>E76*F76</f>
        <v>0</v>
      </c>
      <c r="H76" s="172"/>
      <c r="I76" s="39">
        <f>IFERROR(VLOOKUP($C75,[1]HK!$B$5:$C$14,2,FALSE),"")*$J1</f>
        <v>1072500</v>
      </c>
      <c r="J76" s="173"/>
      <c r="K76" s="103"/>
      <c r="M76" s="20" t="str">
        <f>$C$75</f>
        <v>DEK</v>
      </c>
    </row>
    <row r="77" spans="1:13" ht="18" customHeight="1" x14ac:dyDescent="0.25">
      <c r="B77" s="96">
        <v>2</v>
      </c>
      <c r="C77" s="97" t="s">
        <v>76</v>
      </c>
      <c r="D77" s="36">
        <f>IFERROR(HLOOKUP($J$1,[1]DB!$C$1:$K$172,77,FALSE),"")</f>
        <v>25</v>
      </c>
      <c r="E77" s="36">
        <f>SUMIFS('[1]Rincian Keluar'!$G:$G,'[1]Rincian Keluar'!$E:$E,'PELANGI 04'!C77,'[1]Rincian Keluar'!$D:$D,'PELANGI 04'!$D$1,'[1]Rincian Keluar'!$H:$H,'PELANGI 04'!$J$1,'[1]Rincian Keluar'!$F:$F,'PELANGI 04'!M77)</f>
        <v>0</v>
      </c>
      <c r="F77" s="57">
        <v>60000</v>
      </c>
      <c r="G77" s="98">
        <f t="shared" ref="G77:G81" si="14">E77*F77</f>
        <v>0</v>
      </c>
      <c r="H77" s="119"/>
      <c r="I77" s="42"/>
      <c r="J77" s="111"/>
      <c r="K77" s="105"/>
      <c r="M77" s="20" t="str">
        <f t="shared" ref="M77:M81" si="15">$C$75</f>
        <v>DEK</v>
      </c>
    </row>
    <row r="78" spans="1:13" ht="18" customHeight="1" x14ac:dyDescent="0.25">
      <c r="B78" s="96">
        <v>3</v>
      </c>
      <c r="C78" s="97" t="s">
        <v>77</v>
      </c>
      <c r="D78" s="36">
        <f>IFERROR(HLOOKUP($J$1,[1]DB!$C$1:$K$172,78,FALSE),"")</f>
        <v>4</v>
      </c>
      <c r="E78" s="36">
        <f>SUMIFS('[1]Rincian Keluar'!$G:$G,'[1]Rincian Keluar'!$E:$E,'PELANGI 04'!C78,'[1]Rincian Keluar'!$D:$D,'PELANGI 04'!$D$1,'[1]Rincian Keluar'!$H:$H,'PELANGI 04'!$J$1,'[1]Rincian Keluar'!$F:$F,'PELANGI 04'!M78)</f>
        <v>0</v>
      </c>
      <c r="F78" s="57">
        <v>37000</v>
      </c>
      <c r="G78" s="98">
        <f t="shared" si="14"/>
        <v>0</v>
      </c>
      <c r="H78" s="119"/>
      <c r="I78" s="42"/>
      <c r="J78" s="111"/>
      <c r="K78" s="105"/>
      <c r="M78" s="20" t="str">
        <f t="shared" si="15"/>
        <v>DEK</v>
      </c>
    </row>
    <row r="79" spans="1:13" s="20" customFormat="1" ht="18" customHeight="1" x14ac:dyDescent="0.25">
      <c r="A79" s="1"/>
      <c r="B79" s="96">
        <v>4</v>
      </c>
      <c r="C79" s="97" t="s">
        <v>78</v>
      </c>
      <c r="D79" s="36">
        <f>IFERROR(HLOOKUP($J$1,[1]DB!$C$1:$K$172,79,FALSE),"")</f>
        <v>1</v>
      </c>
      <c r="E79" s="36">
        <f>SUMIFS('[1]Rincian Keluar'!$G:$G,'[1]Rincian Keluar'!$E:$E,'PELANGI 04'!C79,'[1]Rincian Keluar'!$D:$D,'PELANGI 04'!$D$1,'[1]Rincian Keluar'!$H:$H,'PELANGI 04'!$J$1,'[1]Rincian Keluar'!$F:$F,'PELANGI 04'!M79)</f>
        <v>0</v>
      </c>
      <c r="F79" s="57">
        <v>5000</v>
      </c>
      <c r="G79" s="98">
        <f t="shared" si="14"/>
        <v>0</v>
      </c>
      <c r="H79" s="119"/>
      <c r="I79" s="42"/>
      <c r="J79" s="111"/>
      <c r="K79" s="105"/>
      <c r="M79" s="20" t="str">
        <f t="shared" si="15"/>
        <v>DEK</v>
      </c>
    </row>
    <row r="80" spans="1:13" s="20" customFormat="1" ht="18" customHeight="1" x14ac:dyDescent="0.25">
      <c r="A80" s="1"/>
      <c r="B80" s="96">
        <v>5</v>
      </c>
      <c r="C80" s="97" t="s">
        <v>79</v>
      </c>
      <c r="D80" s="36">
        <f>IFERROR(HLOOKUP($J$1,[1]DB!$C$1:$K$172,80,FALSE),"")</f>
        <v>1</v>
      </c>
      <c r="E80" s="36">
        <f>SUMIFS('[1]Rincian Keluar'!$G:$G,'[1]Rincian Keluar'!$E:$E,'PELANGI 04'!C80,'[1]Rincian Keluar'!$D:$D,'PELANGI 04'!$D$1,'[1]Rincian Keluar'!$H:$H,'PELANGI 04'!$J$1,'[1]Rincian Keluar'!$F:$F,'PELANGI 04'!M80)</f>
        <v>0</v>
      </c>
      <c r="F80" s="57">
        <v>130000</v>
      </c>
      <c r="G80" s="98">
        <f t="shared" si="14"/>
        <v>0</v>
      </c>
      <c r="H80" s="119"/>
      <c r="I80" s="42"/>
      <c r="J80" s="111"/>
      <c r="K80" s="105"/>
      <c r="M80" s="20" t="str">
        <f t="shared" si="15"/>
        <v>DEK</v>
      </c>
    </row>
    <row r="81" spans="1:13" s="20" customFormat="1" ht="18" customHeight="1" x14ac:dyDescent="0.25">
      <c r="A81" s="1"/>
      <c r="B81" s="96">
        <v>6</v>
      </c>
      <c r="C81" s="97" t="s">
        <v>80</v>
      </c>
      <c r="D81" s="36">
        <f>IFERROR(HLOOKUP($J$1,[1]DB!$C$1:$K$172,81,FALSE),"")</f>
        <v>1</v>
      </c>
      <c r="E81" s="36">
        <f>SUMIFS('[1]Rincian Keluar'!$G:$G,'[1]Rincian Keluar'!$E:$E,'PELANGI 04'!C81,'[1]Rincian Keluar'!$D:$D,'PELANGI 04'!$D$1,'[1]Rincian Keluar'!$H:$H,'PELANGI 04'!$J$1,'[1]Rincian Keluar'!$F:$F,'PELANGI 04'!M81)</f>
        <v>0</v>
      </c>
      <c r="F81" s="57">
        <v>130000</v>
      </c>
      <c r="G81" s="98">
        <f t="shared" si="14"/>
        <v>0</v>
      </c>
      <c r="H81" s="122"/>
      <c r="I81" s="47"/>
      <c r="J81" s="113"/>
      <c r="K81" s="107"/>
      <c r="M81" s="20" t="str">
        <f t="shared" si="15"/>
        <v>DEK</v>
      </c>
    </row>
    <row r="82" spans="1:13" s="20" customFormat="1" ht="18" customHeight="1" x14ac:dyDescent="0.25">
      <c r="A82" s="1"/>
      <c r="B82" s="29" t="s">
        <v>81</v>
      </c>
      <c r="C82" s="50" t="s">
        <v>82</v>
      </c>
      <c r="D82" s="31"/>
      <c r="E82" s="31"/>
      <c r="F82" s="31"/>
      <c r="G82" s="31"/>
      <c r="H82" s="31"/>
      <c r="I82" s="32"/>
      <c r="J82" s="31"/>
      <c r="K82" s="33"/>
    </row>
    <row r="83" spans="1:13" s="20" customFormat="1" ht="18" customHeight="1" x14ac:dyDescent="0.25">
      <c r="A83" s="1"/>
      <c r="B83" s="96">
        <v>1</v>
      </c>
      <c r="C83" s="97" t="s">
        <v>54</v>
      </c>
      <c r="D83" s="36">
        <f>IFERROR(HLOOKUP($J$1,[1]DB!$C$1:$K$172,83,FALSE),"")</f>
        <v>120</v>
      </c>
      <c r="E83" s="36">
        <f>SUMIFS('[1]Rincian Keluar'!$G:$G,'[1]Rincian Keluar'!$E:$E,'PELANGI 04'!C83,'[1]Rincian Keluar'!$D:$D,'PELANGI 04'!$D$1,'[1]Rincian Keluar'!$H:$H,'PELANGI 04'!$J$1,'[1]Rincian Keluar'!$F:$F,'PELANGI 04'!M83)</f>
        <v>0</v>
      </c>
      <c r="F83" s="37">
        <v>1850</v>
      </c>
      <c r="G83" s="98">
        <f>E83*F83</f>
        <v>0</v>
      </c>
      <c r="H83" s="172"/>
      <c r="I83" s="39">
        <f>IFERROR(VLOOKUP($C82,[1]HK!$B$5:$C$20,2,FALSE),"")*$J1</f>
        <v>693000</v>
      </c>
      <c r="J83" s="173"/>
      <c r="K83" s="103"/>
      <c r="M83" s="20" t="str">
        <f>$C$82</f>
        <v>MINIMALIS</v>
      </c>
    </row>
    <row r="84" spans="1:13" s="20" customFormat="1" ht="18" customHeight="1" x14ac:dyDescent="0.25">
      <c r="A84" s="1"/>
      <c r="B84" s="96">
        <v>2</v>
      </c>
      <c r="C84" s="97" t="s">
        <v>31</v>
      </c>
      <c r="D84" s="36">
        <f>IFERROR(HLOOKUP($J$1,[1]DB!$C$1:$K$172,84,FALSE),"")</f>
        <v>3</v>
      </c>
      <c r="E84" s="36">
        <f>SUMIFS('[1]Rincian Keluar'!$G:$G,'[1]Rincian Keluar'!$E:$E,'PELANGI 04'!C84,'[1]Rincian Keluar'!$D:$D,'PELANGI 04'!$D$1,'[1]Rincian Keluar'!$H:$H,'PELANGI 04'!$J$1,'[1]Rincian Keluar'!$F:$F,'PELANGI 04'!M84)</f>
        <v>0</v>
      </c>
      <c r="F84" s="37">
        <v>150000</v>
      </c>
      <c r="G84" s="98">
        <f t="shared" ref="G84:G86" si="16">E84*F84</f>
        <v>0</v>
      </c>
      <c r="H84" s="119"/>
      <c r="I84" s="42"/>
      <c r="J84" s="111"/>
      <c r="K84" s="105"/>
      <c r="M84" s="20" t="str">
        <f t="shared" ref="M84:M86" si="17">$C$82</f>
        <v>MINIMALIS</v>
      </c>
    </row>
    <row r="85" spans="1:13" s="20" customFormat="1" ht="18" customHeight="1" x14ac:dyDescent="0.25">
      <c r="A85" s="1"/>
      <c r="B85" s="96">
        <v>3</v>
      </c>
      <c r="C85" s="45" t="s">
        <v>24</v>
      </c>
      <c r="D85" s="36">
        <f>IFERROR(HLOOKUP($J$1,[1]DB!$C$1:$K$172,85,FALSE),"")</f>
        <v>10</v>
      </c>
      <c r="E85" s="36">
        <f>SUMIFS('[1]Rincian Keluar'!$G:$G,'[1]Rincian Keluar'!$E:$E,'PELANGI 04'!C85,'[1]Rincian Keluar'!$D:$D,'PELANGI 04'!$D$1,'[1]Rincian Keluar'!$H:$H,'PELANGI 04'!$J$1,'[1]Rincian Keluar'!$F:$F,'PELANGI 04'!M85)</f>
        <v>0</v>
      </c>
      <c r="F85" s="37">
        <v>60700</v>
      </c>
      <c r="G85" s="98">
        <f t="shared" si="16"/>
        <v>0</v>
      </c>
      <c r="H85" s="119"/>
      <c r="I85" s="42"/>
      <c r="J85" s="111"/>
      <c r="K85" s="105"/>
      <c r="M85" s="20" t="str">
        <f t="shared" si="17"/>
        <v>MINIMALIS</v>
      </c>
    </row>
    <row r="86" spans="1:13" s="20" customFormat="1" ht="18" customHeight="1" x14ac:dyDescent="0.25">
      <c r="A86" s="1"/>
      <c r="B86" s="96">
        <v>4</v>
      </c>
      <c r="C86" s="45" t="s">
        <v>83</v>
      </c>
      <c r="D86" s="36">
        <f>IFERROR(HLOOKUP($J$1,[1]DB!$C$1:$K$172,86,FALSE),"")</f>
        <v>7</v>
      </c>
      <c r="E86" s="36">
        <f>SUMIFS('[1]Rincian Keluar'!$G:$G,'[1]Rincian Keluar'!$E:$E,'PELANGI 04'!C86,'[1]Rincian Keluar'!$D:$D,'PELANGI 04'!$D$1,'[1]Rincian Keluar'!$H:$H,'PELANGI 04'!$J$1,'[1]Rincian Keluar'!$F:$F,'PELANGI 04'!M86)</f>
        <v>0</v>
      </c>
      <c r="F86" s="37">
        <v>165000</v>
      </c>
      <c r="G86" s="98">
        <f t="shared" si="16"/>
        <v>0</v>
      </c>
      <c r="H86" s="122"/>
      <c r="I86" s="47"/>
      <c r="J86" s="113"/>
      <c r="K86" s="107"/>
      <c r="M86" s="20" t="str">
        <f t="shared" si="17"/>
        <v>MINIMALIS</v>
      </c>
    </row>
    <row r="87" spans="1:13" s="20" customFormat="1" ht="18" customHeight="1" x14ac:dyDescent="0.25">
      <c r="A87" s="1"/>
      <c r="B87" s="91" t="s">
        <v>84</v>
      </c>
      <c r="C87" s="92" t="s">
        <v>85</v>
      </c>
      <c r="D87" s="93"/>
      <c r="E87" s="93"/>
      <c r="F87" s="93"/>
      <c r="G87" s="93"/>
      <c r="H87" s="93"/>
      <c r="I87" s="94"/>
      <c r="J87" s="93"/>
      <c r="K87" s="95"/>
    </row>
    <row r="88" spans="1:13" s="20" customFormat="1" ht="18" customHeight="1" x14ac:dyDescent="0.25">
      <c r="A88" s="1"/>
      <c r="B88" s="34">
        <v>1</v>
      </c>
      <c r="C88" s="45" t="s">
        <v>24</v>
      </c>
      <c r="D88" s="36">
        <f>IFERROR(HLOOKUP($J$1,[1]DB!$C$1:$K$172,88,FALSE),"")</f>
        <v>22</v>
      </c>
      <c r="E88" s="36">
        <f>SUMIFS('[1]Rincian Keluar'!$G:$G,'[1]Rincian Keluar'!$E:$E,'PELANGI 04'!C88,'[1]Rincian Keluar'!$D:$D,'PELANGI 04'!$D$1,'[1]Rincian Keluar'!$H:$H,'PELANGI 04'!$J$1,'[1]Rincian Keluar'!$F:$F,'PELANGI 04'!M88)</f>
        <v>14</v>
      </c>
      <c r="F88" s="37">
        <v>60700</v>
      </c>
      <c r="G88" s="98">
        <f>E88*F88</f>
        <v>849800</v>
      </c>
      <c r="H88" s="108">
        <v>504000</v>
      </c>
      <c r="I88" s="39">
        <f>IFERROR(VLOOKUP($C87,[1]HK!$B$5:$C$20,2,FALSE),"")*$J1</f>
        <v>918500</v>
      </c>
      <c r="J88" s="109">
        <f>I88-H88</f>
        <v>414500</v>
      </c>
      <c r="K88" s="103">
        <v>1</v>
      </c>
      <c r="M88" s="20" t="str">
        <f>$C$87</f>
        <v>CARPORT</v>
      </c>
    </row>
    <row r="89" spans="1:13" s="20" customFormat="1" ht="18" customHeight="1" x14ac:dyDescent="0.25">
      <c r="A89" s="1"/>
      <c r="B89" s="34">
        <v>2</v>
      </c>
      <c r="C89" s="35" t="s">
        <v>19</v>
      </c>
      <c r="D89" s="36">
        <f>IFERROR(HLOOKUP($J$1,[1]DB!$C$1:$K$172,89,FALSE),"")</f>
        <v>8</v>
      </c>
      <c r="E89" s="36">
        <f>SUMIFS('[1]Rincian Keluar'!$G:$G,'[1]Rincian Keluar'!$E:$E,'PELANGI 04'!C89,'[1]Rincian Keluar'!$D:$D,'PELANGI 04'!$D$1,'[1]Rincian Keluar'!$H:$H,'PELANGI 04'!$J$1,'[1]Rincian Keluar'!$F:$F,'PELANGI 04'!M89)</f>
        <v>5</v>
      </c>
      <c r="F89" s="46">
        <v>11000</v>
      </c>
      <c r="G89" s="98">
        <f t="shared" ref="G89:G95" si="18">E89*F89</f>
        <v>55000</v>
      </c>
      <c r="H89" s="110"/>
      <c r="I89" s="42"/>
      <c r="J89" s="111"/>
      <c r="K89" s="105"/>
      <c r="M89" s="20" t="str">
        <f t="shared" ref="M89:M96" si="19">$C$87</f>
        <v>CARPORT</v>
      </c>
    </row>
    <row r="90" spans="1:13" s="20" customFormat="1" ht="18" customHeight="1" x14ac:dyDescent="0.25">
      <c r="A90" s="1"/>
      <c r="B90" s="34">
        <v>3</v>
      </c>
      <c r="C90" s="35" t="s">
        <v>20</v>
      </c>
      <c r="D90" s="36">
        <f>IFERROR(HLOOKUP($J$1,[1]DB!$C$1:$K$172,90,FALSE),"")</f>
        <v>5</v>
      </c>
      <c r="E90" s="36">
        <f>SUMIFS('[1]Rincian Keluar'!$G:$G,'[1]Rincian Keluar'!$E:$E,'PELANGI 04'!C90,'[1]Rincian Keluar'!$D:$D,'PELANGI 04'!$D$1,'[1]Rincian Keluar'!$H:$H,'PELANGI 04'!$J$1,'[1]Rincian Keluar'!$F:$F,'PELANGI 04'!M90)</f>
        <v>5</v>
      </c>
      <c r="F90" s="37">
        <v>8000</v>
      </c>
      <c r="G90" s="98">
        <f t="shared" si="18"/>
        <v>40000</v>
      </c>
      <c r="H90" s="110"/>
      <c r="I90" s="42"/>
      <c r="J90" s="111"/>
      <c r="K90" s="105"/>
      <c r="M90" s="20" t="str">
        <f t="shared" si="19"/>
        <v>CARPORT</v>
      </c>
    </row>
    <row r="91" spans="1:13" s="20" customFormat="1" ht="18" customHeight="1" x14ac:dyDescent="0.25">
      <c r="A91" s="1"/>
      <c r="B91" s="34">
        <v>4</v>
      </c>
      <c r="C91" s="35" t="s">
        <v>21</v>
      </c>
      <c r="D91" s="36">
        <f>IFERROR(HLOOKUP($J$1,[1]DB!$C$1:$K$172,91,FALSE),"")</f>
        <v>10</v>
      </c>
      <c r="E91" s="36">
        <f>SUMIFS('[1]Rincian Keluar'!$G:$G,'[1]Rincian Keluar'!$E:$E,'PELANGI 04'!C91,'[1]Rincian Keluar'!$D:$D,'PELANGI 04'!$D$1,'[1]Rincian Keluar'!$H:$H,'PELANGI 04'!$J$1,'[1]Rincian Keluar'!$F:$F,'PELANGI 04'!M91)</f>
        <v>10</v>
      </c>
      <c r="F91" s="37">
        <v>11000</v>
      </c>
      <c r="G91" s="98">
        <f t="shared" si="18"/>
        <v>110000</v>
      </c>
      <c r="H91" s="110"/>
      <c r="I91" s="42"/>
      <c r="J91" s="111"/>
      <c r="K91" s="105"/>
      <c r="M91" s="20" t="str">
        <f t="shared" si="19"/>
        <v>CARPORT</v>
      </c>
    </row>
    <row r="92" spans="1:13" s="20" customFormat="1" ht="18" customHeight="1" x14ac:dyDescent="0.25">
      <c r="A92" s="1"/>
      <c r="B92" s="34">
        <v>5</v>
      </c>
      <c r="C92" s="35" t="s">
        <v>32</v>
      </c>
      <c r="D92" s="36">
        <f>IFERROR(HLOOKUP($J$1,[1]DB!$C$1:$K$172,92,FALSE),"")</f>
        <v>7</v>
      </c>
      <c r="E92" s="36">
        <f>SUMIFS('[1]Rincian Keluar'!$G:$G,'[1]Rincian Keluar'!$E:$E,'PELANGI 04'!C92,'[1]Rincian Keluar'!$D:$D,'PELANGI 04'!$D$1,'[1]Rincian Keluar'!$H:$H,'PELANGI 04'!$J$1,'[1]Rincian Keluar'!$F:$F,'PELANGI 04'!M92)</f>
        <v>7</v>
      </c>
      <c r="F92" s="57">
        <v>15000</v>
      </c>
      <c r="G92" s="98">
        <f t="shared" si="18"/>
        <v>105000</v>
      </c>
      <c r="H92" s="110"/>
      <c r="I92" s="42"/>
      <c r="J92" s="111"/>
      <c r="K92" s="105"/>
      <c r="M92" s="20" t="str">
        <f t="shared" si="19"/>
        <v>CARPORT</v>
      </c>
    </row>
    <row r="93" spans="1:13" s="20" customFormat="1" ht="18" customHeight="1" x14ac:dyDescent="0.25">
      <c r="A93" s="1"/>
      <c r="B93" s="34">
        <v>6</v>
      </c>
      <c r="C93" s="45" t="s">
        <v>17</v>
      </c>
      <c r="D93" s="36">
        <f>IFERROR(HLOOKUP($J$1,[1]DB!$C$1:$K$172,93,FALSE),"")</f>
        <v>2</v>
      </c>
      <c r="E93" s="36">
        <f>SUMIFS('[1]Rincian Keluar'!$G:$G,'[1]Rincian Keluar'!$E:$E,'PELANGI 04'!C93,'[1]Rincian Keluar'!$D:$D,'PELANGI 04'!$D$1,'[1]Rincian Keluar'!$H:$H,'PELANGI 04'!$J$1,'[1]Rincian Keluar'!$F:$F,'PELANGI 04'!M93)</f>
        <v>2</v>
      </c>
      <c r="F93" s="37">
        <v>22000</v>
      </c>
      <c r="G93" s="98">
        <f t="shared" si="18"/>
        <v>44000</v>
      </c>
      <c r="H93" s="110"/>
      <c r="I93" s="42"/>
      <c r="J93" s="111"/>
      <c r="K93" s="105"/>
      <c r="M93" s="20" t="str">
        <f t="shared" si="19"/>
        <v>CARPORT</v>
      </c>
    </row>
    <row r="94" spans="1:13" s="20" customFormat="1" ht="18" customHeight="1" x14ac:dyDescent="0.25">
      <c r="A94" s="1"/>
      <c r="B94" s="34">
        <v>7</v>
      </c>
      <c r="C94" s="45" t="s">
        <v>57</v>
      </c>
      <c r="D94" s="36">
        <f>IFERROR(HLOOKUP($J$1,[1]DB!$C$1:$K$172,94,FALSE),"")</f>
        <v>15</v>
      </c>
      <c r="E94" s="36">
        <f>SUMIFS('[1]Rincian Keluar'!$G:$G,'[1]Rincian Keluar'!$E:$E,'PELANGI 04'!C94,'[1]Rincian Keluar'!$D:$D,'PELANGI 04'!$D$1,'[1]Rincian Keluar'!$H:$H,'PELANGI 04'!$J$1,'[1]Rincian Keluar'!$F:$F,'PELANGI 04'!M94)</f>
        <v>4</v>
      </c>
      <c r="F94" s="37">
        <v>35000</v>
      </c>
      <c r="G94" s="98">
        <f t="shared" si="18"/>
        <v>140000</v>
      </c>
      <c r="H94" s="110"/>
      <c r="I94" s="42"/>
      <c r="J94" s="111"/>
      <c r="K94" s="105"/>
      <c r="M94" s="20" t="str">
        <f t="shared" si="19"/>
        <v>CARPORT</v>
      </c>
    </row>
    <row r="95" spans="1:13" s="20" customFormat="1" ht="18" customHeight="1" x14ac:dyDescent="0.25">
      <c r="A95" s="1"/>
      <c r="B95" s="34">
        <v>8</v>
      </c>
      <c r="C95" s="45" t="s">
        <v>23</v>
      </c>
      <c r="D95" s="36">
        <f>IFERROR(HLOOKUP($J$1,[1]DB!$C$1:$K$172,95,FALSE),"")</f>
        <v>1</v>
      </c>
      <c r="E95" s="36">
        <f>SUMIFS('[1]Rincian Keluar'!$G:$G,'[1]Rincian Keluar'!$E:$E,'PELANGI 04'!C95,'[1]Rincian Keluar'!$D:$D,'PELANGI 04'!$D$1,'[1]Rincian Keluar'!$H:$H,'PELANGI 04'!$J$1,'[1]Rincian Keluar'!$F:$F,'PELANGI 04'!M95)</f>
        <v>0.5</v>
      </c>
      <c r="F95" s="37">
        <v>500000</v>
      </c>
      <c r="G95" s="98">
        <f t="shared" si="18"/>
        <v>250000</v>
      </c>
      <c r="H95" s="110"/>
      <c r="I95" s="42"/>
      <c r="J95" s="111"/>
      <c r="K95" s="105"/>
      <c r="M95" s="20" t="str">
        <f t="shared" si="19"/>
        <v>CARPORT</v>
      </c>
    </row>
    <row r="96" spans="1:13" s="20" customFormat="1" ht="18" customHeight="1" x14ac:dyDescent="0.25">
      <c r="A96" s="1"/>
      <c r="B96" s="34">
        <v>9</v>
      </c>
      <c r="C96" s="45" t="s">
        <v>31</v>
      </c>
      <c r="D96" s="36">
        <f>IFERROR(HLOOKUP($J$1,[1]DB!$C$1:$K$172,96,FALSE),"")</f>
        <v>6</v>
      </c>
      <c r="E96" s="36">
        <f>SUMIFS('[1]Rincian Keluar'!$G:$G,'[1]Rincian Keluar'!$E:$E,'PELANGI 04'!C96,'[1]Rincian Keluar'!$D:$D,'PELANGI 04'!$D$1,'[1]Rincian Keluar'!$H:$H,'PELANGI 04'!$J$1,'[1]Rincian Keluar'!$F:$F,'PELANGI 04'!M96)</f>
        <v>6</v>
      </c>
      <c r="F96" s="37">
        <v>150000</v>
      </c>
      <c r="G96" s="98">
        <f>E96*F96</f>
        <v>900000</v>
      </c>
      <c r="H96" s="112"/>
      <c r="I96" s="47"/>
      <c r="J96" s="113"/>
      <c r="K96" s="107"/>
      <c r="M96" s="20" t="str">
        <f t="shared" si="19"/>
        <v>CARPORT</v>
      </c>
    </row>
    <row r="97" spans="1:13" s="20" customFormat="1" ht="18" customHeight="1" x14ac:dyDescent="0.25">
      <c r="A97" s="1"/>
      <c r="B97" s="34">
        <v>10</v>
      </c>
      <c r="C97" s="45" t="s">
        <v>83</v>
      </c>
      <c r="D97" s="36">
        <f>IFERROR(HLOOKUP($J$1,[1]DB!$C$1:$K$172,97,FALSE),"")</f>
        <v>31</v>
      </c>
      <c r="E97" s="36">
        <f>SUMIFS('[1]Rincian Keluar'!$G:$G,'[1]Rincian Keluar'!$E:$E,'PELANGI 04'!C97,'[1]Rincian Keluar'!$D:$D,'PELANGI 04'!$D$1,'[1]Rincian Keluar'!$H:$H,'PELANGI 04'!$J$1,'[1]Rincian Keluar'!$F:$F,'PELANGI 04'!M97)</f>
        <v>0</v>
      </c>
      <c r="F97" s="37">
        <v>165000</v>
      </c>
      <c r="G97" s="98">
        <f>E97*F97</f>
        <v>0</v>
      </c>
      <c r="H97" s="114"/>
      <c r="I97" s="115"/>
      <c r="J97" s="116"/>
      <c r="K97" s="117"/>
    </row>
    <row r="98" spans="1:13" s="20" customFormat="1" ht="18" customHeight="1" x14ac:dyDescent="0.25">
      <c r="A98" s="1"/>
      <c r="B98" s="29" t="s">
        <v>86</v>
      </c>
      <c r="C98" s="50" t="s">
        <v>87</v>
      </c>
      <c r="D98" s="31"/>
      <c r="E98" s="31"/>
      <c r="F98" s="31"/>
      <c r="G98" s="31"/>
      <c r="H98" s="31"/>
      <c r="I98" s="32"/>
      <c r="J98" s="31"/>
      <c r="K98" s="33"/>
    </row>
    <row r="99" spans="1:13" s="20" customFormat="1" ht="18" customHeight="1" x14ac:dyDescent="0.25">
      <c r="A99" s="1"/>
      <c r="B99" s="34">
        <v>1</v>
      </c>
      <c r="C99" s="45" t="s">
        <v>88</v>
      </c>
      <c r="D99" s="36">
        <f>IFERROR(HLOOKUP($J$1,[1]DB!$C$1:$K$172,99,FALSE),"")</f>
        <v>35</v>
      </c>
      <c r="E99" s="36">
        <f>SUMIFS('[1]Rincian Keluar'!$G:$G,'[1]Rincian Keluar'!$E:$E,'PELANGI 04'!C99,'[1]Rincian Keluar'!$D:$D,'PELANGI 04'!$D$1,'[1]Rincian Keluar'!$H:$H,'PELANGI 04'!$J$1,'[1]Rincian Keluar'!$F:$F,'PELANGI 04'!M99)</f>
        <v>0</v>
      </c>
      <c r="F99" s="37">
        <v>118000</v>
      </c>
      <c r="G99" s="98">
        <f>E99*F99</f>
        <v>0</v>
      </c>
      <c r="H99" s="172"/>
      <c r="I99" s="39">
        <f>IFERROR(VLOOKUP($C98,[1]HK!$B$5:$C$20,2,FALSE),"")*$J1</f>
        <v>1529000</v>
      </c>
      <c r="J99" s="172"/>
      <c r="K99" s="174"/>
      <c r="M99" s="20" t="str">
        <f>$C$98</f>
        <v>KERAMIK</v>
      </c>
    </row>
    <row r="100" spans="1:13" s="20" customFormat="1" ht="18" customHeight="1" x14ac:dyDescent="0.25">
      <c r="A100" s="1"/>
      <c r="B100" s="34">
        <v>2</v>
      </c>
      <c r="C100" s="45" t="s">
        <v>83</v>
      </c>
      <c r="D100" s="36">
        <f>IFERROR(HLOOKUP($J$1,[1]DB!$C$1:$K$172,100,FALSE),"")</f>
        <v>14</v>
      </c>
      <c r="E100" s="36">
        <f>SUMIFS('[1]Rincian Keluar'!$G:$G,'[1]Rincian Keluar'!$E:$E,'PELANGI 04'!C100,'[1]Rincian Keluar'!$D:$D,'PELANGI 04'!$D$1,'[1]Rincian Keluar'!$H:$H,'PELANGI 04'!$J$1,'[1]Rincian Keluar'!$F:$F,'PELANGI 04'!M100)</f>
        <v>0</v>
      </c>
      <c r="F100" s="37">
        <v>165000</v>
      </c>
      <c r="G100" s="98">
        <f t="shared" ref="G100:G103" si="20">E100*F100</f>
        <v>0</v>
      </c>
      <c r="H100" s="119"/>
      <c r="I100" s="42"/>
      <c r="J100" s="119"/>
      <c r="K100" s="175"/>
      <c r="M100" s="20" t="str">
        <f t="shared" ref="M100:M103" si="21">$C$98</f>
        <v>KERAMIK</v>
      </c>
    </row>
    <row r="101" spans="1:13" s="20" customFormat="1" ht="18" customHeight="1" x14ac:dyDescent="0.25">
      <c r="A101" s="1"/>
      <c r="B101" s="34">
        <v>3</v>
      </c>
      <c r="C101" s="45" t="s">
        <v>31</v>
      </c>
      <c r="D101" s="36">
        <f>IFERROR(HLOOKUP($J$1,[1]DB!$C$1:$K$172,101,FALSE),"")</f>
        <v>5</v>
      </c>
      <c r="E101" s="36">
        <f>SUMIFS('[1]Rincian Keluar'!$G:$G,'[1]Rincian Keluar'!$E:$E,'PELANGI 04'!C101,'[1]Rincian Keluar'!$D:$D,'PELANGI 04'!$D$1,'[1]Rincian Keluar'!$H:$H,'PELANGI 04'!$J$1,'[1]Rincian Keluar'!$F:$F,'PELANGI 04'!M101)</f>
        <v>0</v>
      </c>
      <c r="F101" s="37">
        <v>150000</v>
      </c>
      <c r="G101" s="98">
        <f t="shared" si="20"/>
        <v>0</v>
      </c>
      <c r="H101" s="119"/>
      <c r="I101" s="42"/>
      <c r="J101" s="119"/>
      <c r="K101" s="175"/>
      <c r="M101" s="20" t="str">
        <f t="shared" si="21"/>
        <v>KERAMIK</v>
      </c>
    </row>
    <row r="102" spans="1:13" s="20" customFormat="1" ht="18" customHeight="1" x14ac:dyDescent="0.25">
      <c r="A102" s="1"/>
      <c r="B102" s="34">
        <v>4</v>
      </c>
      <c r="C102" s="45" t="s">
        <v>24</v>
      </c>
      <c r="D102" s="36">
        <f>IFERROR(HLOOKUP($J$1,[1]DB!$C$1:$K$172,102,FALSE),"")</f>
        <v>24</v>
      </c>
      <c r="E102" s="36">
        <f>SUMIFS('[1]Rincian Keluar'!$G:$G,'[1]Rincian Keluar'!$E:$E,'PELANGI 04'!C102,'[1]Rincian Keluar'!$D:$D,'PELANGI 04'!$D$1,'[1]Rincian Keluar'!$H:$H,'PELANGI 04'!$J$1,'[1]Rincian Keluar'!$F:$F,'PELANGI 04'!M102)</f>
        <v>0</v>
      </c>
      <c r="F102" s="37">
        <v>60700</v>
      </c>
      <c r="G102" s="98">
        <f t="shared" si="20"/>
        <v>0</v>
      </c>
      <c r="H102" s="119"/>
      <c r="I102" s="42"/>
      <c r="J102" s="119"/>
      <c r="K102" s="175"/>
      <c r="M102" s="20" t="str">
        <f t="shared" si="21"/>
        <v>KERAMIK</v>
      </c>
    </row>
    <row r="103" spans="1:13" s="20" customFormat="1" ht="18" customHeight="1" x14ac:dyDescent="0.25">
      <c r="A103" s="1"/>
      <c r="B103" s="34">
        <v>5</v>
      </c>
      <c r="C103" s="45" t="s">
        <v>89</v>
      </c>
      <c r="D103" s="36">
        <f>IFERROR(HLOOKUP($J$1,[1]DB!$C$1:$K$172,103,FALSE),"")</f>
        <v>5</v>
      </c>
      <c r="E103" s="36">
        <v>0</v>
      </c>
      <c r="F103" s="121">
        <v>15000</v>
      </c>
      <c r="G103" s="98">
        <f t="shared" si="20"/>
        <v>0</v>
      </c>
      <c r="H103" s="176"/>
      <c r="I103" s="47"/>
      <c r="J103" s="122"/>
      <c r="K103" s="177"/>
      <c r="M103" s="20" t="str">
        <f t="shared" si="21"/>
        <v>KERAMIK</v>
      </c>
    </row>
    <row r="104" spans="1:13" s="20" customFormat="1" ht="18" customHeight="1" x14ac:dyDescent="0.25">
      <c r="A104" s="1"/>
      <c r="B104" s="29" t="s">
        <v>90</v>
      </c>
      <c r="C104" s="50" t="s">
        <v>91</v>
      </c>
      <c r="D104" s="31"/>
      <c r="E104" s="31"/>
      <c r="F104" s="31"/>
      <c r="G104" s="31"/>
      <c r="H104" s="31"/>
      <c r="I104" s="32"/>
      <c r="J104" s="31"/>
      <c r="K104" s="33"/>
    </row>
    <row r="105" spans="1:13" s="20" customFormat="1" ht="18" customHeight="1" x14ac:dyDescent="0.25">
      <c r="A105" s="1"/>
      <c r="B105" s="34">
        <v>1</v>
      </c>
      <c r="C105" s="45" t="s">
        <v>92</v>
      </c>
      <c r="D105" s="36">
        <f>IFERROR(HLOOKUP($J$1,[1]DB!$C$1:$K$172,105,FALSE),"")</f>
        <v>6</v>
      </c>
      <c r="E105" s="36">
        <f>SUMIFS('[1]Rincian Keluar'!$G:$G,'[1]Rincian Keluar'!$E:$E,'PELANGI 04'!C105,'[1]Rincian Keluar'!$D:$D,'PELANGI 04'!$D$1,'[1]Rincian Keluar'!$H:$H,'PELANGI 04'!$J$1,'[1]Rincian Keluar'!$F:$F,'PELANGI 04'!M105)</f>
        <v>0</v>
      </c>
      <c r="F105" s="57">
        <v>60000</v>
      </c>
      <c r="G105" s="98">
        <f>E105*F105</f>
        <v>0</v>
      </c>
      <c r="H105" s="172"/>
      <c r="I105" s="39">
        <f>IFERROR(VLOOKUP($C104,[1]HK!$B$5:$C$27,2,FALSE),"")*$J1</f>
        <v>247500</v>
      </c>
      <c r="J105" s="173"/>
      <c r="K105" s="103"/>
      <c r="M105" s="20" t="str">
        <f t="shared" ref="M105:M116" si="22">$C$104</f>
        <v>WC</v>
      </c>
    </row>
    <row r="106" spans="1:13" s="20" customFormat="1" ht="18" customHeight="1" x14ac:dyDescent="0.25">
      <c r="A106" s="1"/>
      <c r="B106" s="34">
        <v>2</v>
      </c>
      <c r="C106" s="45" t="s">
        <v>93</v>
      </c>
      <c r="D106" s="36">
        <f>IFERROR(HLOOKUP($J$1,[1]DB!$C$1:$K$172,106,FALSE),"")</f>
        <v>22</v>
      </c>
      <c r="E106" s="36">
        <f>SUMIFS('[1]Rincian Keluar'!$G:$G,'[1]Rincian Keluar'!$E:$E,'PELANGI 04'!C106,'[1]Rincian Keluar'!$D:$D,'PELANGI 04'!$D$1,'[1]Rincian Keluar'!$H:$H,'PELANGI 04'!$J$1,'[1]Rincian Keluar'!$F:$F,'PELANGI 04'!M106)</f>
        <v>0</v>
      </c>
      <c r="F106" s="57">
        <v>60000</v>
      </c>
      <c r="G106" s="98">
        <f t="shared" ref="G106:G116" si="23">E106*F106</f>
        <v>0</v>
      </c>
      <c r="H106" s="119"/>
      <c r="I106" s="42"/>
      <c r="J106" s="111"/>
      <c r="K106" s="105"/>
      <c r="M106" s="20" t="str">
        <f t="shared" si="22"/>
        <v>WC</v>
      </c>
    </row>
    <row r="107" spans="1:13" s="20" customFormat="1" ht="18" customHeight="1" x14ac:dyDescent="0.25">
      <c r="A107" s="1"/>
      <c r="B107" s="34">
        <v>3</v>
      </c>
      <c r="C107" s="45" t="s">
        <v>94</v>
      </c>
      <c r="D107" s="36">
        <f>IFERROR(HLOOKUP($J$1,[1]DB!$C$1:$K$172,107,FALSE),"")</f>
        <v>2</v>
      </c>
      <c r="E107" s="36">
        <f>SUMIFS('[1]Rincian Keluar'!$G:$G,'[1]Rincian Keluar'!$E:$E,'PELANGI 04'!C107,'[1]Rincian Keluar'!$D:$D,'PELANGI 04'!$D$1,'[1]Rincian Keluar'!$H:$H,'PELANGI 04'!$J$1,'[1]Rincian Keluar'!$F:$F,'PELANGI 04'!M107)</f>
        <v>0</v>
      </c>
      <c r="F107" s="57">
        <v>270000</v>
      </c>
      <c r="G107" s="98">
        <f t="shared" si="23"/>
        <v>0</v>
      </c>
      <c r="H107" s="119"/>
      <c r="I107" s="42"/>
      <c r="J107" s="111"/>
      <c r="K107" s="105"/>
      <c r="M107" s="20" t="str">
        <f t="shared" si="22"/>
        <v>WC</v>
      </c>
    </row>
    <row r="108" spans="1:13" s="20" customFormat="1" ht="18" customHeight="1" x14ac:dyDescent="0.25">
      <c r="A108" s="1"/>
      <c r="B108" s="34">
        <v>4</v>
      </c>
      <c r="C108" s="45" t="s">
        <v>95</v>
      </c>
      <c r="D108" s="36">
        <f>IFERROR(HLOOKUP($J$1,[1]DB!$C$1:$K$172,108,FALSE),"")</f>
        <v>1</v>
      </c>
      <c r="E108" s="36">
        <f>SUMIFS('[1]Rincian Keluar'!$G:$G,'[1]Rincian Keluar'!$E:$E,'PELANGI 04'!C108,'[1]Rincian Keluar'!$D:$D,'PELANGI 04'!$D$1,'[1]Rincian Keluar'!$H:$H,'PELANGI 04'!$J$1,'[1]Rincian Keluar'!$F:$F,'PELANGI 04'!M108)</f>
        <v>0</v>
      </c>
      <c r="F108" s="57">
        <v>780000</v>
      </c>
      <c r="G108" s="98">
        <f t="shared" si="23"/>
        <v>0</v>
      </c>
      <c r="H108" s="119"/>
      <c r="I108" s="42"/>
      <c r="J108" s="111"/>
      <c r="K108" s="105"/>
      <c r="M108" s="20" t="str">
        <f t="shared" si="22"/>
        <v>WC</v>
      </c>
    </row>
    <row r="109" spans="1:13" s="20" customFormat="1" ht="18" customHeight="1" x14ac:dyDescent="0.25">
      <c r="A109" s="1"/>
      <c r="B109" s="34">
        <v>5</v>
      </c>
      <c r="C109" s="45" t="s">
        <v>96</v>
      </c>
      <c r="D109" s="36">
        <f>IFERROR(HLOOKUP($J$1,[1]DB!$C$1:$K$172,109,FALSE),"")</f>
        <v>2</v>
      </c>
      <c r="E109" s="36">
        <f>SUMIFS('[1]Rincian Keluar'!$G:$G,'[1]Rincian Keluar'!$E:$E,'PELANGI 04'!C109,'[1]Rincian Keluar'!$D:$D,'PELANGI 04'!$D$1,'[1]Rincian Keluar'!$H:$H,'PELANGI 04'!$J$1,'[1]Rincian Keluar'!$F:$F,'PELANGI 04'!M109)</f>
        <v>0</v>
      </c>
      <c r="F109" s="57">
        <v>5000</v>
      </c>
      <c r="G109" s="98">
        <f t="shared" si="23"/>
        <v>0</v>
      </c>
      <c r="H109" s="119"/>
      <c r="I109" s="42"/>
      <c r="J109" s="111"/>
      <c r="K109" s="105"/>
      <c r="M109" s="20" t="str">
        <f t="shared" si="22"/>
        <v>WC</v>
      </c>
    </row>
    <row r="110" spans="1:13" s="20" customFormat="1" ht="18" customHeight="1" x14ac:dyDescent="0.25">
      <c r="A110" s="1"/>
      <c r="B110" s="34">
        <v>6</v>
      </c>
      <c r="C110" s="45" t="s">
        <v>31</v>
      </c>
      <c r="D110" s="36">
        <f>IFERROR(HLOOKUP($J$1,[1]DB!$C$1:$K$172,110,FALSE),"")</f>
        <v>1</v>
      </c>
      <c r="E110" s="36">
        <f>SUMIFS('[1]Rincian Keluar'!$G:$G,'[1]Rincian Keluar'!$E:$E,'PELANGI 04'!C110,'[1]Rincian Keluar'!$D:$D,'PELANGI 04'!$D$1,'[1]Rincian Keluar'!$H:$H,'PELANGI 04'!$J$1,'[1]Rincian Keluar'!$F:$F,'PELANGI 04'!M110)</f>
        <v>0</v>
      </c>
      <c r="F110" s="57">
        <v>150000</v>
      </c>
      <c r="G110" s="98">
        <f t="shared" si="23"/>
        <v>0</v>
      </c>
      <c r="H110" s="119"/>
      <c r="I110" s="42"/>
      <c r="J110" s="111"/>
      <c r="K110" s="105"/>
      <c r="M110" s="20" t="str">
        <f t="shared" si="22"/>
        <v>WC</v>
      </c>
    </row>
    <row r="111" spans="1:13" s="20" customFormat="1" ht="18" customHeight="1" x14ac:dyDescent="0.25">
      <c r="A111" s="1"/>
      <c r="B111" s="34">
        <v>7</v>
      </c>
      <c r="C111" s="45" t="s">
        <v>24</v>
      </c>
      <c r="D111" s="36">
        <f>IFERROR(HLOOKUP($J$1,[1]DB!$C$1:$K$172,111,FALSE),"")</f>
        <v>4</v>
      </c>
      <c r="E111" s="36">
        <f>SUMIFS('[1]Rincian Keluar'!$G:$G,'[1]Rincian Keluar'!$E:$E,'PELANGI 04'!C111,'[1]Rincian Keluar'!$D:$D,'PELANGI 04'!$D$1,'[1]Rincian Keluar'!$H:$H,'PELANGI 04'!$J$1,'[1]Rincian Keluar'!$F:$F,'PELANGI 04'!M111)</f>
        <v>0</v>
      </c>
      <c r="F111" s="37">
        <v>60700</v>
      </c>
      <c r="G111" s="98">
        <f t="shared" si="23"/>
        <v>0</v>
      </c>
      <c r="H111" s="119"/>
      <c r="I111" s="42"/>
      <c r="J111" s="111"/>
      <c r="K111" s="105"/>
      <c r="M111" s="20" t="str">
        <f t="shared" si="22"/>
        <v>WC</v>
      </c>
    </row>
    <row r="112" spans="1:13" s="20" customFormat="1" ht="18" customHeight="1" x14ac:dyDescent="0.25">
      <c r="A112" s="1"/>
      <c r="B112" s="34">
        <v>8</v>
      </c>
      <c r="C112" s="45" t="s">
        <v>97</v>
      </c>
      <c r="D112" s="36">
        <f>IFERROR(HLOOKUP($J$1,[1]DB!$C$1:$K$172,112,FALSE),"")</f>
        <v>2</v>
      </c>
      <c r="E112" s="36">
        <f>SUMIFS('[1]Rincian Keluar'!$G:$G,'[1]Rincian Keluar'!$E:$E,'PELANGI 04'!C112,'[1]Rincian Keluar'!$D:$D,'PELANGI 04'!$D$1,'[1]Rincian Keluar'!$H:$H,'PELANGI 04'!$J$1,'[1]Rincian Keluar'!$F:$F,'PELANGI 04'!M112)</f>
        <v>0</v>
      </c>
      <c r="F112" s="57">
        <v>140000</v>
      </c>
      <c r="G112" s="98">
        <f t="shared" si="23"/>
        <v>0</v>
      </c>
      <c r="H112" s="119"/>
      <c r="I112" s="42"/>
      <c r="J112" s="111"/>
      <c r="K112" s="105"/>
      <c r="M112" s="20" t="str">
        <f t="shared" si="22"/>
        <v>WC</v>
      </c>
    </row>
    <row r="113" spans="1:13" s="20" customFormat="1" ht="18" customHeight="1" x14ac:dyDescent="0.25">
      <c r="A113" s="1"/>
      <c r="B113" s="34">
        <v>9</v>
      </c>
      <c r="C113" s="45" t="s">
        <v>98</v>
      </c>
      <c r="D113" s="36">
        <f>IFERROR(HLOOKUP($J$1,[1]DB!$C$1:$K$172,113,FALSE),"")</f>
        <v>2</v>
      </c>
      <c r="E113" s="36">
        <f>SUMIFS('[1]Rincian Keluar'!$G:$G,'[1]Rincian Keluar'!$E:$E,'PELANGI 04'!C113,'[1]Rincian Keluar'!$D:$D,'PELANGI 04'!$D$1,'[1]Rincian Keluar'!$H:$H,'PELANGI 04'!$J$1,'[1]Rincian Keluar'!$F:$F,'PELANGI 04'!M113)</f>
        <v>0</v>
      </c>
      <c r="F113" s="57">
        <v>18000</v>
      </c>
      <c r="G113" s="98">
        <f t="shared" si="23"/>
        <v>0</v>
      </c>
      <c r="H113" s="119"/>
      <c r="I113" s="42"/>
      <c r="J113" s="111"/>
      <c r="K113" s="105"/>
      <c r="M113" s="20" t="str">
        <f t="shared" si="22"/>
        <v>WC</v>
      </c>
    </row>
    <row r="114" spans="1:13" s="20" customFormat="1" ht="18" customHeight="1" x14ac:dyDescent="0.25">
      <c r="A114" s="1"/>
      <c r="B114" s="34">
        <v>10</v>
      </c>
      <c r="C114" s="45" t="s">
        <v>99</v>
      </c>
      <c r="D114" s="36">
        <f>IFERROR(HLOOKUP($J$1,[1]DB!$C$1:$K$172,114,FALSE),"")</f>
        <v>6</v>
      </c>
      <c r="E114" s="36">
        <f>SUMIFS('[1]Rincian Keluar'!$G:$G,'[1]Rincian Keluar'!$E:$E,'PELANGI 04'!C114,'[1]Rincian Keluar'!$D:$D,'PELANGI 04'!$D$1,'[1]Rincian Keluar'!$H:$H,'PELANGI 04'!$J$1,'[1]Rincian Keluar'!$F:$F,'PELANGI 04'!M114)</f>
        <v>0</v>
      </c>
      <c r="F114" s="57">
        <v>2500</v>
      </c>
      <c r="G114" s="98">
        <f t="shared" si="23"/>
        <v>0</v>
      </c>
      <c r="H114" s="119"/>
      <c r="I114" s="42"/>
      <c r="J114" s="111"/>
      <c r="K114" s="105"/>
      <c r="M114" s="20" t="str">
        <f t="shared" si="22"/>
        <v>WC</v>
      </c>
    </row>
    <row r="115" spans="1:13" s="20" customFormat="1" ht="18" customHeight="1" x14ac:dyDescent="0.25">
      <c r="A115" s="1"/>
      <c r="B115" s="34">
        <v>11</v>
      </c>
      <c r="C115" s="45" t="s">
        <v>100</v>
      </c>
      <c r="D115" s="36">
        <f>IFERROR(HLOOKUP($J$1,[1]DB!$C$1:$K$172,115,FALSE),"")</f>
        <v>3</v>
      </c>
      <c r="E115" s="36">
        <f>SUMIFS('[1]Rincian Keluar'!$G:$G,'[1]Rincian Keluar'!$E:$E,'PELANGI 04'!C115,'[1]Rincian Keluar'!$D:$D,'PELANGI 04'!$D$1,'[1]Rincian Keluar'!$H:$H,'PELANGI 04'!$J$1,'[1]Rincian Keluar'!$F:$F,'PELANGI 04'!M115)</f>
        <v>0</v>
      </c>
      <c r="F115" s="57">
        <v>10000</v>
      </c>
      <c r="G115" s="98">
        <f t="shared" si="23"/>
        <v>0</v>
      </c>
      <c r="H115" s="119"/>
      <c r="I115" s="42"/>
      <c r="J115" s="111"/>
      <c r="K115" s="105"/>
      <c r="M115" s="20" t="str">
        <f t="shared" si="22"/>
        <v>WC</v>
      </c>
    </row>
    <row r="116" spans="1:13" ht="18" customHeight="1" x14ac:dyDescent="0.25">
      <c r="B116" s="34">
        <v>12</v>
      </c>
      <c r="C116" s="45" t="s">
        <v>101</v>
      </c>
      <c r="D116" s="36">
        <f>IFERROR(HLOOKUP($J$1,[1]DB!$C$1:$K$172,116,FALSE),"")</f>
        <v>1</v>
      </c>
      <c r="E116" s="36">
        <f>SUMIFS('[1]Rincian Keluar'!$G:$G,'[1]Rincian Keluar'!$E:$E,'PELANGI 04'!C116,'[1]Rincian Keluar'!$D:$D,'PELANGI 04'!$D$1,'[1]Rincian Keluar'!$H:$H,'PELANGI 04'!$J$1,'[1]Rincian Keluar'!$F:$F,'PELANGI 04'!M116)</f>
        <v>0</v>
      </c>
      <c r="F116" s="57">
        <v>5000</v>
      </c>
      <c r="G116" s="98">
        <f t="shared" si="23"/>
        <v>0</v>
      </c>
      <c r="H116" s="122"/>
      <c r="I116" s="47"/>
      <c r="J116" s="113"/>
      <c r="K116" s="107"/>
      <c r="M116" s="20" t="str">
        <f t="shared" si="22"/>
        <v>WC</v>
      </c>
    </row>
    <row r="117" spans="1:13" ht="18" customHeight="1" x14ac:dyDescent="0.25">
      <c r="B117" s="29" t="s">
        <v>102</v>
      </c>
      <c r="C117" s="124" t="s">
        <v>103</v>
      </c>
      <c r="D117" s="31"/>
      <c r="E117" s="31"/>
      <c r="F117" s="31"/>
      <c r="G117" s="31"/>
      <c r="H117" s="31"/>
      <c r="I117" s="32"/>
      <c r="J117" s="31"/>
      <c r="K117" s="33"/>
      <c r="M117" s="20"/>
    </row>
    <row r="118" spans="1:13" ht="18" customHeight="1" x14ac:dyDescent="0.25">
      <c r="B118" s="34">
        <v>1</v>
      </c>
      <c r="C118" s="72" t="s">
        <v>104</v>
      </c>
      <c r="D118" s="36">
        <f>IFERROR(HLOOKUP($J$1,[1]DB!$C$1:$K$172,118,FALSE),"")</f>
        <v>3</v>
      </c>
      <c r="E118" s="36">
        <f>SUMIFS('[1]Rincian Keluar'!$G:$G,'[1]Rincian Keluar'!$E:$E,'PELANGI 04'!C118,'[1]Rincian Keluar'!$D:$D,'PELANGI 04'!$D$1,'[1]Rincian Keluar'!$H:$H,'PELANGI 04'!$J$1,'[1]Rincian Keluar'!$F:$F,'PELANGI 04'!M118)</f>
        <v>0</v>
      </c>
      <c r="F118" s="57">
        <v>124500</v>
      </c>
      <c r="G118" s="98">
        <f>E118*F118</f>
        <v>0</v>
      </c>
      <c r="H118" s="36"/>
      <c r="I118" s="126">
        <f>IFERROR(VLOOKUP($C117,[1]HK!$B$5:$C$20,2,FALSE),"")*$J1</f>
        <v>596750</v>
      </c>
      <c r="J118" s="127"/>
      <c r="K118" s="178"/>
      <c r="M118" s="20" t="str">
        <f>$C$117</f>
        <v>ACI MINIMALIS</v>
      </c>
    </row>
    <row r="119" spans="1:13" ht="18" customHeight="1" x14ac:dyDescent="0.25">
      <c r="B119" s="29" t="s">
        <v>105</v>
      </c>
      <c r="C119" s="124" t="s">
        <v>106</v>
      </c>
      <c r="D119" s="31"/>
      <c r="E119" s="31"/>
      <c r="F119" s="31"/>
      <c r="G119" s="31"/>
      <c r="H119" s="31"/>
      <c r="I119" s="32"/>
      <c r="J119" s="31"/>
      <c r="K119" s="33"/>
      <c r="M119" s="20"/>
    </row>
    <row r="120" spans="1:13" ht="18" customHeight="1" x14ac:dyDescent="0.25">
      <c r="B120" s="34">
        <v>1</v>
      </c>
      <c r="C120" s="35" t="s">
        <v>107</v>
      </c>
      <c r="D120" s="36">
        <f>IFERROR(HLOOKUP($J$1,[1]DB!$C$1:$K$172,120,FALSE),"")</f>
        <v>1</v>
      </c>
      <c r="E120" s="36">
        <f>SUMIFS('[1]Rincian Keluar'!$G:$G,'[1]Rincian Keluar'!$E:$E,'PELANGI 04'!C120,'[1]Rincian Keluar'!$D:$D,'PELANGI 04'!$D$1,'[1]Rincian Keluar'!$H:$H,'PELANGI 04'!$J$1,'[1]Rincian Keluar'!$F:$F,'PELANGI 04'!M120)</f>
        <v>0</v>
      </c>
      <c r="F120" s="64">
        <v>2434900</v>
      </c>
      <c r="G120" s="98">
        <f>E120*F120</f>
        <v>0</v>
      </c>
      <c r="H120" s="172"/>
      <c r="I120" s="39">
        <f>IFERROR(VLOOKUP($C119,[1]HK!$B$5:$C$20,2,FALSE),"")*$J1</f>
        <v>1911250</v>
      </c>
      <c r="J120" s="173"/>
      <c r="K120" s="103"/>
      <c r="M120" s="20" t="str">
        <f>$C$119</f>
        <v>CAT</v>
      </c>
    </row>
    <row r="121" spans="1:13" ht="18" customHeight="1" x14ac:dyDescent="0.25">
      <c r="B121" s="34">
        <v>2</v>
      </c>
      <c r="C121" s="35" t="s">
        <v>108</v>
      </c>
      <c r="D121" s="36">
        <f>IFERROR(HLOOKUP($J$1,[1]DB!$C$1:$K$172,121,FALSE),"")</f>
        <v>3</v>
      </c>
      <c r="E121" s="36">
        <f>SUMIFS('[1]Rincian Keluar'!$G:$G,'[1]Rincian Keluar'!$E:$E,'PELANGI 04'!C121,'[1]Rincian Keluar'!$D:$D,'PELANGI 04'!$D$1,'[1]Rincian Keluar'!$H:$H,'PELANGI 04'!$J$1,'[1]Rincian Keluar'!$F:$F,'PELANGI 04'!M121)</f>
        <v>0</v>
      </c>
      <c r="F121" s="64">
        <v>275000</v>
      </c>
      <c r="G121" s="98">
        <f t="shared" ref="G121:G123" si="24">E121*F121</f>
        <v>0</v>
      </c>
      <c r="H121" s="119"/>
      <c r="I121" s="42"/>
      <c r="J121" s="111"/>
      <c r="K121" s="105"/>
      <c r="M121" s="20" t="str">
        <f>$C$119</f>
        <v>CAT</v>
      </c>
    </row>
    <row r="122" spans="1:13" ht="18" customHeight="1" x14ac:dyDescent="0.25">
      <c r="B122" s="34">
        <v>3</v>
      </c>
      <c r="C122" s="72" t="s">
        <v>104</v>
      </c>
      <c r="D122" s="36">
        <f>IFERROR(HLOOKUP($J$1,[1]DB!$C$1:$K$172,122,FALSE),"")</f>
        <v>13</v>
      </c>
      <c r="E122" s="36">
        <f>SUMIFS('[1]Rincian Keluar'!$G:$G,'[1]Rincian Keluar'!$E:$E,'PELANGI 04'!C122,'[1]Rincian Keluar'!$D:$D,'PELANGI 04'!$D$1,'[1]Rincian Keluar'!$H:$H,'PELANGI 04'!$J$1,'[1]Rincian Keluar'!$F:$F,'PELANGI 04'!M122)</f>
        <v>0</v>
      </c>
      <c r="F122" s="57">
        <v>124500</v>
      </c>
      <c r="G122" s="98">
        <f t="shared" si="24"/>
        <v>0</v>
      </c>
      <c r="H122" s="119"/>
      <c r="I122" s="42"/>
      <c r="J122" s="111"/>
      <c r="K122" s="105"/>
      <c r="M122" s="20" t="str">
        <f>$C$119</f>
        <v>CAT</v>
      </c>
    </row>
    <row r="123" spans="1:13" ht="18" customHeight="1" x14ac:dyDescent="0.25">
      <c r="B123" s="34">
        <v>4</v>
      </c>
      <c r="C123" s="72" t="s">
        <v>109</v>
      </c>
      <c r="D123" s="36">
        <f>IFERROR(HLOOKUP($J$1,[1]DB!$C$1:$K$172,123,FALSE),"")</f>
        <v>1</v>
      </c>
      <c r="E123" s="36">
        <f>SUMIFS('[1]Rincian Keluar'!$G:$G,'[1]Rincian Keluar'!$E:$E,'PELANGI 04'!C123,'[1]Rincian Keluar'!$D:$D,'PELANGI 04'!$D$1,'[1]Rincian Keluar'!$H:$H,'PELANGI 04'!$J$1,'[1]Rincian Keluar'!$F:$F,'PELANGI 04'!M123)</f>
        <v>0</v>
      </c>
      <c r="F123" s="57">
        <v>115000</v>
      </c>
      <c r="G123" s="98">
        <f t="shared" si="24"/>
        <v>0</v>
      </c>
      <c r="H123" s="122"/>
      <c r="I123" s="47"/>
      <c r="J123" s="113"/>
      <c r="K123" s="107"/>
      <c r="M123" s="20" t="str">
        <f>$C$119</f>
        <v>CAT</v>
      </c>
    </row>
    <row r="124" spans="1:13" ht="18" customHeight="1" x14ac:dyDescent="0.25">
      <c r="B124" s="29" t="s">
        <v>110</v>
      </c>
      <c r="C124" s="124" t="s">
        <v>111</v>
      </c>
      <c r="D124" s="132"/>
      <c r="E124" s="132"/>
      <c r="F124" s="132"/>
      <c r="G124" s="132"/>
      <c r="H124" s="132"/>
      <c r="I124" s="133"/>
      <c r="J124" s="132"/>
      <c r="K124" s="134"/>
      <c r="M124" s="20"/>
    </row>
    <row r="125" spans="1:13" ht="18" customHeight="1" x14ac:dyDescent="0.25">
      <c r="B125" s="34">
        <v>1</v>
      </c>
      <c r="C125" s="35" t="s">
        <v>54</v>
      </c>
      <c r="D125" s="36">
        <f>IFERROR(HLOOKUP($J$1,[1]DB!$C$1:$K$172,125,FALSE),"")</f>
        <v>100</v>
      </c>
      <c r="E125" s="36">
        <f>SUMIFS('[1]Rincian Keluar'!$G:$G,'[1]Rincian Keluar'!$E:$E,'PELANGI 04'!C125,'[1]Rincian Keluar'!$D:$D,'PELANGI 04'!$D$1,'[1]Rincian Keluar'!$H:$H,'PELANGI 04'!$J$1,'[1]Rincian Keluar'!$F:$F,'PELANGI 04'!M125)</f>
        <v>0</v>
      </c>
      <c r="F125" s="37">
        <v>1850</v>
      </c>
      <c r="G125" s="135">
        <f>E125*F125</f>
        <v>0</v>
      </c>
      <c r="H125" s="172"/>
      <c r="I125" s="39">
        <f>IFERROR(VLOOKUP($C124,[1]HK!$B$5:$C$20,2,FALSE),"")*$J1</f>
        <v>244750</v>
      </c>
      <c r="J125" s="173"/>
      <c r="K125" s="103"/>
      <c r="M125" s="20" t="str">
        <f>$C$124</f>
        <v>PAGAR</v>
      </c>
    </row>
    <row r="126" spans="1:13" ht="18" customHeight="1" x14ac:dyDescent="0.25">
      <c r="B126" s="34">
        <v>2</v>
      </c>
      <c r="C126" s="35" t="s">
        <v>31</v>
      </c>
      <c r="D126" s="36">
        <f>IFERROR(HLOOKUP($J$1,[1]DB!$C$1:$K$172,126,FALSE),"")</f>
        <v>1</v>
      </c>
      <c r="E126" s="36">
        <f>SUMIFS('[1]Rincian Keluar'!$G:$G,'[1]Rincian Keluar'!$E:$E,'PELANGI 04'!C126,'[1]Rincian Keluar'!$D:$D,'PELANGI 04'!$D$1,'[1]Rincian Keluar'!$H:$H,'PELANGI 04'!$J$1,'[1]Rincian Keluar'!$F:$F,'PELANGI 04'!M126)</f>
        <v>0</v>
      </c>
      <c r="F126" s="37">
        <v>150000</v>
      </c>
      <c r="G126" s="135">
        <f t="shared" ref="G126:G129" si="25">E126*F126</f>
        <v>0</v>
      </c>
      <c r="H126" s="119"/>
      <c r="I126" s="42"/>
      <c r="J126" s="111"/>
      <c r="K126" s="105"/>
      <c r="M126" s="20" t="str">
        <f>$C$124</f>
        <v>PAGAR</v>
      </c>
    </row>
    <row r="127" spans="1:13" ht="18" customHeight="1" x14ac:dyDescent="0.25">
      <c r="B127" s="34">
        <v>3</v>
      </c>
      <c r="C127" s="45" t="s">
        <v>24</v>
      </c>
      <c r="D127" s="36">
        <f>IFERROR(HLOOKUP($J$1,[1]DB!$C$1:$K$172,127,FALSE),"")</f>
        <v>3</v>
      </c>
      <c r="E127" s="36">
        <f>SUMIFS('[1]Rincian Keluar'!$G:$G,'[1]Rincian Keluar'!$E:$E,'PELANGI 04'!C127,'[1]Rincian Keluar'!$D:$D,'PELANGI 04'!$D$1,'[1]Rincian Keluar'!$H:$H,'PELANGI 04'!$J$1,'[1]Rincian Keluar'!$F:$F,'PELANGI 04'!M127)</f>
        <v>0</v>
      </c>
      <c r="F127" s="37">
        <v>60700</v>
      </c>
      <c r="G127" s="135">
        <f t="shared" si="25"/>
        <v>0</v>
      </c>
      <c r="H127" s="119"/>
      <c r="I127" s="42"/>
      <c r="J127" s="111"/>
      <c r="K127" s="105"/>
      <c r="M127" s="20" t="str">
        <f>$C$124</f>
        <v>PAGAR</v>
      </c>
    </row>
    <row r="128" spans="1:13" ht="18" customHeight="1" x14ac:dyDescent="0.25">
      <c r="B128" s="34">
        <v>4</v>
      </c>
      <c r="C128" s="45" t="s">
        <v>51</v>
      </c>
      <c r="D128" s="36">
        <f>IFERROR(HLOOKUP($J$1,[1]DB!$C$1:$K$172,128,FALSE),"")</f>
        <v>2</v>
      </c>
      <c r="E128" s="36">
        <f>SUMIFS('[1]Rincian Keluar'!$G:$G,'[1]Rincian Keluar'!$E:$E,'PELANGI 04'!C128,'[1]Rincian Keluar'!$D:$D,'PELANGI 04'!$D$1,'[1]Rincian Keluar'!$H:$H,'PELANGI 04'!$J$1,'[1]Rincian Keluar'!$F:$F,'PELANGI 04'!M128)</f>
        <v>0</v>
      </c>
      <c r="F128" s="37">
        <v>22000</v>
      </c>
      <c r="G128" s="135">
        <f t="shared" si="25"/>
        <v>0</v>
      </c>
      <c r="H128" s="119"/>
      <c r="I128" s="42"/>
      <c r="J128" s="111"/>
      <c r="K128" s="105"/>
      <c r="M128" s="20" t="str">
        <f>$C$124</f>
        <v>PAGAR</v>
      </c>
    </row>
    <row r="129" spans="2:13" ht="18" customHeight="1" x14ac:dyDescent="0.25">
      <c r="B129" s="29">
        <v>5</v>
      </c>
      <c r="C129" s="45" t="s">
        <v>57</v>
      </c>
      <c r="D129" s="36">
        <f>IFERROR(HLOOKUP($J$1,[1]DB!$C$1:$K$172,129,FALSE),"")</f>
        <v>4</v>
      </c>
      <c r="E129" s="36">
        <f>SUMIFS('[1]Rincian Keluar'!$G:$G,'[1]Rincian Keluar'!$E:$E,'PELANGI 04'!C129,'[1]Rincian Keluar'!$D:$D,'PELANGI 04'!$D$1,'[1]Rincian Keluar'!$H:$H,'PELANGI 04'!$J$1,'[1]Rincian Keluar'!$F:$F,'PELANGI 04'!M129)</f>
        <v>0</v>
      </c>
      <c r="F129" s="37">
        <v>35000</v>
      </c>
      <c r="G129" s="135">
        <f t="shared" si="25"/>
        <v>0</v>
      </c>
      <c r="H129" s="122"/>
      <c r="I129" s="47"/>
      <c r="J129" s="113"/>
      <c r="K129" s="107"/>
      <c r="M129" s="20" t="str">
        <f>$C$124</f>
        <v>PAGAR</v>
      </c>
    </row>
    <row r="130" spans="2:13" ht="18" customHeight="1" x14ac:dyDescent="0.25">
      <c r="B130" s="29" t="s">
        <v>112</v>
      </c>
      <c r="C130" s="124" t="s">
        <v>113</v>
      </c>
      <c r="D130" s="132"/>
      <c r="E130" s="132"/>
      <c r="F130" s="132"/>
      <c r="G130" s="132"/>
      <c r="H130" s="132"/>
      <c r="I130" s="133"/>
      <c r="J130" s="132"/>
      <c r="K130" s="134"/>
      <c r="M130" s="20"/>
    </row>
    <row r="131" spans="2:13" ht="18" customHeight="1" x14ac:dyDescent="0.25">
      <c r="B131" s="34">
        <v>1</v>
      </c>
      <c r="C131" s="45" t="s">
        <v>24</v>
      </c>
      <c r="D131" s="36">
        <f>IFERROR(HLOOKUP($J$1,[1]DB!$C$1:$K$172,131,FALSE),"")</f>
        <v>9</v>
      </c>
      <c r="E131" s="36">
        <f>SUMIFS('[1]Rincian Keluar'!$G:$G,'[1]Rincian Keluar'!$E:$E,'PELANGI 04'!C131,'[1]Rincian Keluar'!$D:$D,'PELANGI 04'!$D$1,'[1]Rincian Keluar'!$H:$H,'PELANGI 04'!$J$1,'[1]Rincian Keluar'!$F:$F,'PELANGI 04'!M131)</f>
        <v>0</v>
      </c>
      <c r="F131" s="37">
        <v>60700</v>
      </c>
      <c r="G131" s="135">
        <f>E131*F131</f>
        <v>0</v>
      </c>
      <c r="H131" s="172"/>
      <c r="I131" s="39">
        <f>IFERROR(VLOOKUP($C130,[1]HK!$B$5:$C$20,2,FALSE),"")*$J1</f>
        <v>303875</v>
      </c>
      <c r="J131" s="173"/>
      <c r="K131" s="103"/>
      <c r="M131" s="20" t="str">
        <f>$C$130</f>
        <v>MINIMALIS CARPORT</v>
      </c>
    </row>
    <row r="132" spans="2:13" ht="18" customHeight="1" x14ac:dyDescent="0.25">
      <c r="B132" s="34">
        <v>2</v>
      </c>
      <c r="C132" s="35" t="s">
        <v>31</v>
      </c>
      <c r="D132" s="36">
        <f>IFERROR(HLOOKUP($J$1,[1]DB!$C$1:$K$172,132,FALSE),"")</f>
        <v>2</v>
      </c>
      <c r="E132" s="36">
        <f>SUMIFS('[1]Rincian Keluar'!$G:$G,'[1]Rincian Keluar'!$E:$E,'PELANGI 04'!C132,'[1]Rincian Keluar'!$D:$D,'PELANGI 04'!$D$1,'[1]Rincian Keluar'!$H:$H,'PELANGI 04'!$J$1,'[1]Rincian Keluar'!$F:$F,'PELANGI 04'!M132)</f>
        <v>0</v>
      </c>
      <c r="F132" s="37">
        <v>150000</v>
      </c>
      <c r="G132" s="135">
        <f>E132*F132</f>
        <v>0</v>
      </c>
      <c r="H132" s="122"/>
      <c r="I132" s="47"/>
      <c r="J132" s="113"/>
      <c r="K132" s="107"/>
      <c r="M132" s="20" t="str">
        <f>$C$130</f>
        <v>MINIMALIS CARPORT</v>
      </c>
    </row>
    <row r="133" spans="2:13" ht="18" customHeight="1" x14ac:dyDescent="0.25">
      <c r="B133" s="29" t="s">
        <v>114</v>
      </c>
      <c r="C133" s="124" t="s">
        <v>115</v>
      </c>
      <c r="D133" s="132"/>
      <c r="E133" s="132"/>
      <c r="F133" s="132"/>
      <c r="G133" s="132"/>
      <c r="H133" s="132"/>
      <c r="I133" s="133"/>
      <c r="J133" s="132"/>
      <c r="K133" s="134"/>
      <c r="M133" s="20"/>
    </row>
    <row r="134" spans="2:13" s="66" customFormat="1" ht="18" customHeight="1" x14ac:dyDescent="0.25">
      <c r="B134" s="34">
        <v>1</v>
      </c>
      <c r="C134" s="35" t="s">
        <v>116</v>
      </c>
      <c r="D134" s="36" t="str">
        <f>IFERROR(HLOOKUP($J$1,[1]DB!$C$1:$K$172,1334,FALSE),"")</f>
        <v/>
      </c>
      <c r="E134" s="36">
        <f>SUMIFS('[1]Rincian Keluar'!$G:$G,'[1]Rincian Keluar'!$E:$E,'PELANGI 04'!C134,'[1]Rincian Keluar'!$D:$D,'PELANGI 04'!$D$1,'[1]Rincian Keluar'!$H:$H,'PELANGI 04'!$J$1,'[1]Rincian Keluar'!$F:$F,'PELANGI 04'!M134)</f>
        <v>0</v>
      </c>
      <c r="F134" s="37">
        <v>82000</v>
      </c>
      <c r="G134" s="135">
        <f>E134*F134</f>
        <v>0</v>
      </c>
      <c r="H134" s="136"/>
      <c r="I134" s="39"/>
      <c r="J134" s="137"/>
      <c r="K134" s="84"/>
      <c r="M134" s="20" t="str">
        <f t="shared" ref="M134:M141" si="26">$C$133</f>
        <v>TALANG AIR</v>
      </c>
    </row>
    <row r="135" spans="2:13" s="66" customFormat="1" ht="18" customHeight="1" x14ac:dyDescent="0.25">
      <c r="B135" s="34">
        <v>2</v>
      </c>
      <c r="C135" s="35" t="s">
        <v>117</v>
      </c>
      <c r="D135" s="36">
        <f>IFERROR(HLOOKUP($J$1,[1]DB!$C$1:$K$172,135,FALSE),"")</f>
        <v>2</v>
      </c>
      <c r="E135" s="36">
        <f>SUMIFS('[1]Rincian Keluar'!$G:$G,'[1]Rincian Keluar'!$E:$E,'PELANGI 04'!C135,'[1]Rincian Keluar'!$D:$D,'PELANGI 04'!$D$1,'[1]Rincian Keluar'!$H:$H,'PELANGI 04'!$J$1,'[1]Rincian Keluar'!$F:$F,'PELANGI 04'!M135)</f>
        <v>0</v>
      </c>
      <c r="F135" s="37">
        <v>50000</v>
      </c>
      <c r="G135" s="135">
        <f t="shared" ref="G135:G141" si="27">E135*F135</f>
        <v>0</v>
      </c>
      <c r="H135" s="138"/>
      <c r="I135" s="42"/>
      <c r="J135" s="104"/>
      <c r="K135" s="87"/>
      <c r="M135" s="20" t="str">
        <f t="shared" si="26"/>
        <v>TALANG AIR</v>
      </c>
    </row>
    <row r="136" spans="2:13" s="66" customFormat="1" ht="18" customHeight="1" x14ac:dyDescent="0.25">
      <c r="B136" s="34">
        <v>3</v>
      </c>
      <c r="C136" s="35" t="s">
        <v>118</v>
      </c>
      <c r="D136" s="36">
        <f>IFERROR(HLOOKUP($J$1,[1]DB!$C$1:$K$172,136,FALSE),"")</f>
        <v>2</v>
      </c>
      <c r="E136" s="36">
        <f>SUMIFS('[1]Rincian Keluar'!$G:$G,'[1]Rincian Keluar'!$E:$E,'PELANGI 04'!C136,'[1]Rincian Keluar'!$D:$D,'PELANGI 04'!$D$1,'[1]Rincian Keluar'!$H:$H,'PELANGI 04'!$J$1,'[1]Rincian Keluar'!$F:$F,'PELANGI 04'!M136)</f>
        <v>0</v>
      </c>
      <c r="F136" s="37">
        <v>4000</v>
      </c>
      <c r="G136" s="135">
        <f t="shared" si="27"/>
        <v>0</v>
      </c>
      <c r="H136" s="138"/>
      <c r="I136" s="42"/>
      <c r="J136" s="104"/>
      <c r="K136" s="87"/>
      <c r="M136" s="20" t="str">
        <f t="shared" si="26"/>
        <v>TALANG AIR</v>
      </c>
    </row>
    <row r="137" spans="2:13" s="66" customFormat="1" ht="18" customHeight="1" x14ac:dyDescent="0.25">
      <c r="B137" s="34">
        <v>4</v>
      </c>
      <c r="C137" s="35" t="s">
        <v>119</v>
      </c>
      <c r="D137" s="36">
        <f>IFERROR(HLOOKUP($J$1,[1]DB!$C$1:$K$172,137,FALSE),"")</f>
        <v>1</v>
      </c>
      <c r="E137" s="36">
        <f>SUMIFS('[1]Rincian Keluar'!$G:$G,'[1]Rincian Keluar'!$E:$E,'PELANGI 04'!C137,'[1]Rincian Keluar'!$D:$D,'PELANGI 04'!$D$1,'[1]Rincian Keluar'!$H:$H,'PELANGI 04'!$J$1,'[1]Rincian Keluar'!$F:$F,'PELANGI 04'!M137)</f>
        <v>0</v>
      </c>
      <c r="F137" s="37">
        <v>15000</v>
      </c>
      <c r="G137" s="135">
        <f t="shared" si="27"/>
        <v>0</v>
      </c>
      <c r="H137" s="138"/>
      <c r="I137" s="42"/>
      <c r="J137" s="104"/>
      <c r="K137" s="87"/>
      <c r="M137" s="20" t="str">
        <f t="shared" si="26"/>
        <v>TALANG AIR</v>
      </c>
    </row>
    <row r="138" spans="2:13" s="66" customFormat="1" ht="18" customHeight="1" x14ac:dyDescent="0.25">
      <c r="B138" s="34">
        <v>5</v>
      </c>
      <c r="C138" s="35" t="s">
        <v>120</v>
      </c>
      <c r="D138" s="36">
        <f>IFERROR(HLOOKUP($J$1,[1]DB!$C$1:$K$172,138,FALSE),"")</f>
        <v>1</v>
      </c>
      <c r="E138" s="36">
        <f>SUMIFS('[1]Rincian Keluar'!$G:$G,'[1]Rincian Keluar'!$E:$E,'PELANGI 04'!C138,'[1]Rincian Keluar'!$D:$D,'PELANGI 04'!$D$1,'[1]Rincian Keluar'!$H:$H,'PELANGI 04'!$J$1,'[1]Rincian Keluar'!$F:$F,'PELANGI 04'!M138)</f>
        <v>0</v>
      </c>
      <c r="F138" s="37">
        <v>12000</v>
      </c>
      <c r="G138" s="135">
        <f t="shared" si="27"/>
        <v>0</v>
      </c>
      <c r="H138" s="138"/>
      <c r="I138" s="42"/>
      <c r="J138" s="104"/>
      <c r="K138" s="87"/>
      <c r="M138" s="20" t="str">
        <f t="shared" si="26"/>
        <v>TALANG AIR</v>
      </c>
    </row>
    <row r="139" spans="2:13" s="66" customFormat="1" ht="18" customHeight="1" x14ac:dyDescent="0.25">
      <c r="B139" s="34">
        <v>6</v>
      </c>
      <c r="C139" s="35" t="s">
        <v>121</v>
      </c>
      <c r="D139" s="36">
        <f>IFERROR(HLOOKUP($J$1,[1]DB!$C$1:$K$172,139,FALSE),"")</f>
        <v>3</v>
      </c>
      <c r="E139" s="36">
        <f>SUMIFS('[1]Rincian Keluar'!$G:$G,'[1]Rincian Keluar'!$E:$E,'PELANGI 04'!C139,'[1]Rincian Keluar'!$D:$D,'PELANGI 04'!$D$1,'[1]Rincian Keluar'!$H:$H,'PELANGI 04'!$J$1,'[1]Rincian Keluar'!$F:$F,'PELANGI 04'!M139)</f>
        <v>0</v>
      </c>
      <c r="F139" s="37">
        <v>4000</v>
      </c>
      <c r="G139" s="135">
        <f t="shared" si="27"/>
        <v>0</v>
      </c>
      <c r="H139" s="138"/>
      <c r="I139" s="42"/>
      <c r="J139" s="104"/>
      <c r="K139" s="87"/>
      <c r="M139" s="20" t="str">
        <f t="shared" si="26"/>
        <v>TALANG AIR</v>
      </c>
    </row>
    <row r="140" spans="2:13" s="66" customFormat="1" ht="18" customHeight="1" x14ac:dyDescent="0.25">
      <c r="B140" s="34">
        <v>7</v>
      </c>
      <c r="C140" s="35" t="s">
        <v>122</v>
      </c>
      <c r="D140" s="36">
        <f>IFERROR(HLOOKUP($J$1,[1]DB!$C$1:$K$172,140,FALSE),"")</f>
        <v>1</v>
      </c>
      <c r="E140" s="36">
        <f>SUMIFS('[1]Rincian Keluar'!$G:$G,'[1]Rincian Keluar'!$E:$E,'PELANGI 04'!C140,'[1]Rincian Keluar'!$D:$D,'PELANGI 04'!$D$1,'[1]Rincian Keluar'!$H:$H,'PELANGI 04'!$J$1,'[1]Rincian Keluar'!$F:$F,'PELANGI 04'!M140)</f>
        <v>0</v>
      </c>
      <c r="F140" s="37">
        <v>8000</v>
      </c>
      <c r="G140" s="135">
        <f t="shared" si="27"/>
        <v>0</v>
      </c>
      <c r="H140" s="138"/>
      <c r="I140" s="42"/>
      <c r="J140" s="104"/>
      <c r="K140" s="87"/>
      <c r="M140" s="20" t="str">
        <f t="shared" si="26"/>
        <v>TALANG AIR</v>
      </c>
    </row>
    <row r="141" spans="2:13" s="66" customFormat="1" ht="18" customHeight="1" x14ac:dyDescent="0.25">
      <c r="B141" s="34">
        <v>8</v>
      </c>
      <c r="C141" s="139" t="s">
        <v>123</v>
      </c>
      <c r="D141" s="36">
        <f>IFERROR(HLOOKUP($J$1,[1]DB!$C$1:$K$172,141,FALSE),"")</f>
        <v>1</v>
      </c>
      <c r="E141" s="36">
        <f>SUMIFS('[1]Rincian Keluar'!$G:$G,'[1]Rincian Keluar'!$E:$E,'PELANGI 04'!C141,'[1]Rincian Keluar'!$D:$D,'PELANGI 04'!$D$1,'[1]Rincian Keluar'!$H:$H,'PELANGI 04'!$J$1,'[1]Rincian Keluar'!$F:$F,'PELANGI 04'!M141)</f>
        <v>0</v>
      </c>
      <c r="F141" s="37">
        <v>22000</v>
      </c>
      <c r="G141" s="135">
        <f t="shared" si="27"/>
        <v>0</v>
      </c>
      <c r="H141" s="140"/>
      <c r="I141" s="47"/>
      <c r="J141" s="106"/>
      <c r="K141" s="90"/>
      <c r="M141" s="20" t="str">
        <f t="shared" si="26"/>
        <v>TALANG AIR</v>
      </c>
    </row>
    <row r="142" spans="2:13" ht="18" customHeight="1" x14ac:dyDescent="0.25">
      <c r="B142" s="29" t="s">
        <v>124</v>
      </c>
      <c r="C142" s="124" t="s">
        <v>125</v>
      </c>
      <c r="D142" s="132"/>
      <c r="E142" s="132"/>
      <c r="F142" s="132"/>
      <c r="G142" s="132"/>
      <c r="H142" s="132"/>
      <c r="I142" s="133"/>
      <c r="J142" s="132"/>
      <c r="K142" s="134"/>
      <c r="M142" s="20"/>
    </row>
    <row r="143" spans="2:13" s="142" customFormat="1" ht="18" customHeight="1" x14ac:dyDescent="0.25">
      <c r="B143" s="34">
        <v>1</v>
      </c>
      <c r="C143" s="139" t="s">
        <v>126</v>
      </c>
      <c r="D143" s="36">
        <f>IFERROR(HLOOKUP($J$1,[1]DB!$C$1:$K$172,143,FALSE),"")</f>
        <v>4</v>
      </c>
      <c r="E143" s="36">
        <f>SUMIFS('[1]Rincian Keluar'!$G:$G,'[1]Rincian Keluar'!$E:$E,'PELANGI 04'!C143,'[1]Rincian Keluar'!$D:$D,'PELANGI 04'!$D$1,'[1]Rincian Keluar'!$H:$H,'PELANGI 04'!$J$1,'[1]Rincian Keluar'!$F:$F,'PELANGI 04'!M143)</f>
        <v>0</v>
      </c>
      <c r="F143" s="141">
        <v>165000</v>
      </c>
      <c r="G143" s="98">
        <f>E143*F143</f>
        <v>0</v>
      </c>
      <c r="H143" s="136"/>
      <c r="I143" s="39"/>
      <c r="J143" s="137"/>
      <c r="K143" s="84"/>
      <c r="M143" s="20" t="str">
        <f t="shared" ref="M143:M161" si="28">$C$142</f>
        <v xml:space="preserve">JENDELA </v>
      </c>
    </row>
    <row r="144" spans="2:13" s="142" customFormat="1" ht="18" customHeight="1" x14ac:dyDescent="0.25">
      <c r="B144" s="34">
        <v>2</v>
      </c>
      <c r="C144" s="139" t="s">
        <v>127</v>
      </c>
      <c r="D144" s="36">
        <f>IFERROR(HLOOKUP($J$1,[1]DB!$C$1:$K$172,144,FALSE),"")</f>
        <v>2</v>
      </c>
      <c r="E144" s="36">
        <f>SUMIFS('[1]Rincian Keluar'!$G:$G,'[1]Rincian Keluar'!$E:$E,'PELANGI 04'!C144,'[1]Rincian Keluar'!$D:$D,'PELANGI 04'!$D$1,'[1]Rincian Keluar'!$H:$H,'PELANGI 04'!$J$1,'[1]Rincian Keluar'!$F:$F,'PELANGI 04'!M144)</f>
        <v>0</v>
      </c>
      <c r="F144" s="141">
        <v>198000</v>
      </c>
      <c r="G144" s="98">
        <f t="shared" ref="G144:G161" si="29">E144*F144</f>
        <v>0</v>
      </c>
      <c r="H144" s="138"/>
      <c r="I144" s="42"/>
      <c r="J144" s="104"/>
      <c r="K144" s="87"/>
      <c r="M144" s="20" t="str">
        <f t="shared" si="28"/>
        <v xml:space="preserve">JENDELA </v>
      </c>
    </row>
    <row r="145" spans="2:13" s="142" customFormat="1" ht="18" customHeight="1" x14ac:dyDescent="0.25">
      <c r="B145" s="34">
        <v>3</v>
      </c>
      <c r="C145" s="139" t="s">
        <v>128</v>
      </c>
      <c r="D145" s="36">
        <f>IFERROR(HLOOKUP($J$1,[1]DB!$C$1:$K$172,145,FALSE),"")</f>
        <v>6</v>
      </c>
      <c r="E145" s="36">
        <f>SUMIFS('[1]Rincian Keluar'!$G:$G,'[1]Rincian Keluar'!$E:$E,'PELANGI 04'!C145,'[1]Rincian Keluar'!$D:$D,'PELANGI 04'!$D$1,'[1]Rincian Keluar'!$H:$H,'PELANGI 04'!$J$1,'[1]Rincian Keluar'!$F:$F,'PELANGI 04'!M145)</f>
        <v>0</v>
      </c>
      <c r="F145" s="141">
        <v>86000</v>
      </c>
      <c r="G145" s="98">
        <f t="shared" si="29"/>
        <v>0</v>
      </c>
      <c r="H145" s="138"/>
      <c r="I145" s="42"/>
      <c r="J145" s="104"/>
      <c r="K145" s="87"/>
      <c r="M145" s="20" t="str">
        <f t="shared" si="28"/>
        <v xml:space="preserve">JENDELA </v>
      </c>
    </row>
    <row r="146" spans="2:13" s="142" customFormat="1" ht="18" customHeight="1" x14ac:dyDescent="0.25">
      <c r="B146" s="34">
        <v>4</v>
      </c>
      <c r="C146" s="139" t="s">
        <v>129</v>
      </c>
      <c r="D146" s="36">
        <f>IFERROR(HLOOKUP($J$1,[1]DB!$C$1:$K$172,146,FALSE),"")</f>
        <v>6</v>
      </c>
      <c r="E146" s="36">
        <f>SUMIFS('[1]Rincian Keluar'!$G:$G,'[1]Rincian Keluar'!$E:$E,'PELANGI 04'!C146,'[1]Rincian Keluar'!$D:$D,'PELANGI 04'!$D$1,'[1]Rincian Keluar'!$H:$H,'PELANGI 04'!$J$1,'[1]Rincian Keluar'!$F:$F,'PELANGI 04'!M146)</f>
        <v>0</v>
      </c>
      <c r="F146" s="141">
        <v>50000</v>
      </c>
      <c r="G146" s="98">
        <f t="shared" si="29"/>
        <v>0</v>
      </c>
      <c r="H146" s="138"/>
      <c r="I146" s="42"/>
      <c r="J146" s="104"/>
      <c r="K146" s="87"/>
      <c r="M146" s="20" t="str">
        <f t="shared" si="28"/>
        <v xml:space="preserve">JENDELA </v>
      </c>
    </row>
    <row r="147" spans="2:13" s="142" customFormat="1" ht="18" customHeight="1" x14ac:dyDescent="0.25">
      <c r="B147" s="34">
        <v>5</v>
      </c>
      <c r="C147" s="139" t="s">
        <v>130</v>
      </c>
      <c r="D147" s="36">
        <f>IFERROR(HLOOKUP($J$1,[1]DB!$C$1:$K$172,147,FALSE),"")</f>
        <v>1</v>
      </c>
      <c r="E147" s="36">
        <f>SUMIFS('[1]Rincian Keluar'!$G:$G,'[1]Rincian Keluar'!$E:$E,'PELANGI 04'!C147,'[1]Rincian Keluar'!$D:$D,'PELANGI 04'!$D$1,'[1]Rincian Keluar'!$H:$H,'PELANGI 04'!$J$1,'[1]Rincian Keluar'!$F:$F,'PELANGI 04'!M147)</f>
        <v>0</v>
      </c>
      <c r="F147" s="141">
        <v>60000</v>
      </c>
      <c r="G147" s="98">
        <f t="shared" si="29"/>
        <v>0</v>
      </c>
      <c r="H147" s="138"/>
      <c r="I147" s="42"/>
      <c r="J147" s="104"/>
      <c r="K147" s="87"/>
      <c r="M147" s="20" t="str">
        <f t="shared" si="28"/>
        <v xml:space="preserve">JENDELA </v>
      </c>
    </row>
    <row r="148" spans="2:13" s="142" customFormat="1" ht="18" customHeight="1" x14ac:dyDescent="0.25">
      <c r="B148" s="34">
        <v>6</v>
      </c>
      <c r="C148" s="139" t="s">
        <v>131</v>
      </c>
      <c r="D148" s="36">
        <f>IFERROR(HLOOKUP($J$1,[1]DB!$C$1:$K$172,148,FALSE),"")</f>
        <v>2</v>
      </c>
      <c r="E148" s="36">
        <f>SUMIFS('[1]Rincian Keluar'!$G:$G,'[1]Rincian Keluar'!$E:$E,'PELANGI 04'!C148,'[1]Rincian Keluar'!$D:$D,'PELANGI 04'!$D$1,'[1]Rincian Keluar'!$H:$H,'PELANGI 04'!$J$1,'[1]Rincian Keluar'!$F:$F,'PELANGI 04'!M148)</f>
        <v>0</v>
      </c>
      <c r="F148" s="141">
        <v>55000</v>
      </c>
      <c r="G148" s="98">
        <f t="shared" si="29"/>
        <v>0</v>
      </c>
      <c r="H148" s="138"/>
      <c r="I148" s="42"/>
      <c r="J148" s="104"/>
      <c r="K148" s="87"/>
      <c r="M148" s="20" t="str">
        <f t="shared" si="28"/>
        <v xml:space="preserve">JENDELA </v>
      </c>
    </row>
    <row r="149" spans="2:13" s="142" customFormat="1" ht="18" customHeight="1" x14ac:dyDescent="0.25">
      <c r="B149" s="34">
        <v>7</v>
      </c>
      <c r="C149" s="139" t="s">
        <v>132</v>
      </c>
      <c r="D149" s="36">
        <f>IFERROR(HLOOKUP($J$1,[1]DB!$C$1:$K$172,149,FALSE),"")</f>
        <v>2</v>
      </c>
      <c r="E149" s="36">
        <f>SUMIFS('[1]Rincian Keluar'!$G:$G,'[1]Rincian Keluar'!$E:$E,'PELANGI 04'!C149,'[1]Rincian Keluar'!$D:$D,'PELANGI 04'!$D$1,'[1]Rincian Keluar'!$H:$H,'PELANGI 04'!$J$1,'[1]Rincian Keluar'!$F:$F,'PELANGI 04'!M149)</f>
        <v>0</v>
      </c>
      <c r="F149" s="141">
        <v>50000</v>
      </c>
      <c r="G149" s="98">
        <f t="shared" si="29"/>
        <v>0</v>
      </c>
      <c r="H149" s="138"/>
      <c r="I149" s="42"/>
      <c r="J149" s="104"/>
      <c r="K149" s="87"/>
      <c r="M149" s="20" t="str">
        <f t="shared" si="28"/>
        <v xml:space="preserve">JENDELA </v>
      </c>
    </row>
    <row r="150" spans="2:13" s="142" customFormat="1" ht="18" customHeight="1" x14ac:dyDescent="0.25">
      <c r="B150" s="34">
        <v>8</v>
      </c>
      <c r="C150" s="139" t="s">
        <v>133</v>
      </c>
      <c r="D150" s="36">
        <f>IFERROR(HLOOKUP($J$1,[1]DB!$C$1:$K$172,150,FALSE),"")</f>
        <v>3</v>
      </c>
      <c r="E150" s="36">
        <f>SUMIFS('[1]Rincian Keluar'!$G:$G,'[1]Rincian Keluar'!$E:$E,'PELANGI 04'!C150,'[1]Rincian Keluar'!$D:$D,'PELANGI 04'!$D$1,'[1]Rincian Keluar'!$H:$H,'PELANGI 04'!$J$1,'[1]Rincian Keluar'!$F:$F,'PELANGI 04'!M150)</f>
        <v>0</v>
      </c>
      <c r="F150" s="141">
        <v>11000</v>
      </c>
      <c r="G150" s="98">
        <f t="shared" si="29"/>
        <v>0</v>
      </c>
      <c r="H150" s="138"/>
      <c r="I150" s="42"/>
      <c r="J150" s="104"/>
      <c r="K150" s="87"/>
      <c r="M150" s="20" t="str">
        <f t="shared" si="28"/>
        <v xml:space="preserve">JENDELA </v>
      </c>
    </row>
    <row r="151" spans="2:13" s="142" customFormat="1" ht="18" customHeight="1" x14ac:dyDescent="0.25">
      <c r="B151" s="34">
        <v>9</v>
      </c>
      <c r="C151" s="139" t="s">
        <v>134</v>
      </c>
      <c r="D151" s="36">
        <f>IFERROR(HLOOKUP($J$1,[1]DB!$C$1:$K$172,151,FALSE),"")</f>
        <v>2</v>
      </c>
      <c r="E151" s="36">
        <f>SUMIFS('[1]Rincian Keluar'!$G:$G,'[1]Rincian Keluar'!$E:$E,'PELANGI 04'!C151,'[1]Rincian Keluar'!$D:$D,'PELANGI 04'!$D$1,'[1]Rincian Keluar'!$H:$H,'PELANGI 04'!$J$1,'[1]Rincian Keluar'!$F:$F,'PELANGI 04'!M151)</f>
        <v>0</v>
      </c>
      <c r="F151" s="141">
        <v>11000</v>
      </c>
      <c r="G151" s="98">
        <f t="shared" si="29"/>
        <v>0</v>
      </c>
      <c r="H151" s="138"/>
      <c r="I151" s="42"/>
      <c r="J151" s="104"/>
      <c r="K151" s="87"/>
      <c r="M151" s="20" t="str">
        <f t="shared" si="28"/>
        <v xml:space="preserve">JENDELA </v>
      </c>
    </row>
    <row r="152" spans="2:13" s="142" customFormat="1" ht="18" customHeight="1" x14ac:dyDescent="0.25">
      <c r="B152" s="34">
        <v>10</v>
      </c>
      <c r="C152" s="139" t="s">
        <v>135</v>
      </c>
      <c r="D152" s="36">
        <f>IFERROR(HLOOKUP($J$1,[1]DB!$C$1:$K$172,152,FALSE),"")</f>
        <v>5</v>
      </c>
      <c r="E152" s="36">
        <f>SUMIFS('[1]Rincian Keluar'!$G:$G,'[1]Rincian Keluar'!$E:$E,'PELANGI 04'!C152,'[1]Rincian Keluar'!$D:$D,'PELANGI 04'!$D$1,'[1]Rincian Keluar'!$H:$H,'PELANGI 04'!$J$1,'[1]Rincian Keluar'!$F:$F,'PELANGI 04'!M152)</f>
        <v>0</v>
      </c>
      <c r="F152" s="141">
        <v>17000</v>
      </c>
      <c r="G152" s="98">
        <f t="shared" si="29"/>
        <v>0</v>
      </c>
      <c r="H152" s="138"/>
      <c r="I152" s="42"/>
      <c r="J152" s="104"/>
      <c r="K152" s="87"/>
      <c r="M152" s="20" t="str">
        <f t="shared" si="28"/>
        <v xml:space="preserve">JENDELA </v>
      </c>
    </row>
    <row r="153" spans="2:13" s="142" customFormat="1" ht="18" customHeight="1" x14ac:dyDescent="0.25">
      <c r="B153" s="34">
        <v>11</v>
      </c>
      <c r="C153" s="139" t="s">
        <v>136</v>
      </c>
      <c r="D153" s="36">
        <f>IFERROR(HLOOKUP($J$1,[1]DB!$C$1:$K$172,153,FALSE),"")</f>
        <v>4</v>
      </c>
      <c r="E153" s="36">
        <f>SUMIFS('[1]Rincian Keluar'!$G:$G,'[1]Rincian Keluar'!$E:$E,'PELANGI 04'!C153,'[1]Rincian Keluar'!$D:$D,'PELANGI 04'!$D$1,'[1]Rincian Keluar'!$H:$H,'PELANGI 04'!$J$1,'[1]Rincian Keluar'!$F:$F,'PELANGI 04'!M153)</f>
        <v>0</v>
      </c>
      <c r="F153" s="141">
        <v>40000</v>
      </c>
      <c r="G153" s="98">
        <f t="shared" si="29"/>
        <v>0</v>
      </c>
      <c r="H153" s="138"/>
      <c r="I153" s="42"/>
      <c r="J153" s="104"/>
      <c r="K153" s="87"/>
      <c r="M153" s="20" t="str">
        <f t="shared" si="28"/>
        <v xml:space="preserve">JENDELA </v>
      </c>
    </row>
    <row r="154" spans="2:13" s="142" customFormat="1" ht="18" customHeight="1" x14ac:dyDescent="0.25">
      <c r="B154" s="34">
        <v>12</v>
      </c>
      <c r="C154" s="139" t="s">
        <v>137</v>
      </c>
      <c r="D154" s="36">
        <f>IFERROR(HLOOKUP($J$1,[1]DB!$C$1:$K$172,154,FALSE),"")</f>
        <v>25</v>
      </c>
      <c r="E154" s="36">
        <f>SUMIFS('[1]Rincian Keluar'!$G:$G,'[1]Rincian Keluar'!$E:$E,'PELANGI 04'!C154,'[1]Rincian Keluar'!$D:$D,'PELANGI 04'!$D$1,'[1]Rincian Keluar'!$H:$H,'PELANGI 04'!$J$1,'[1]Rincian Keluar'!$F:$F,'PELANGI 04'!M154)</f>
        <v>0</v>
      </c>
      <c r="F154" s="141">
        <v>400</v>
      </c>
      <c r="G154" s="98">
        <f t="shared" si="29"/>
        <v>0</v>
      </c>
      <c r="H154" s="138"/>
      <c r="I154" s="42"/>
      <c r="J154" s="104"/>
      <c r="K154" s="87"/>
      <c r="M154" s="20" t="str">
        <f t="shared" si="28"/>
        <v xml:space="preserve">JENDELA </v>
      </c>
    </row>
    <row r="155" spans="2:13" s="142" customFormat="1" ht="18" customHeight="1" x14ac:dyDescent="0.25">
      <c r="B155" s="34">
        <v>13</v>
      </c>
      <c r="C155" s="139" t="s">
        <v>138</v>
      </c>
      <c r="D155" s="36">
        <f>IFERROR(HLOOKUP($J$1,[1]DB!$C$1:$K$172,155,FALSE),"")</f>
        <v>40</v>
      </c>
      <c r="E155" s="36">
        <f>SUMIFS('[1]Rincian Keluar'!$G:$G,'[1]Rincian Keluar'!$E:$E,'PELANGI 04'!C155,'[1]Rincian Keluar'!$D:$D,'PELANGI 04'!$D$1,'[1]Rincian Keluar'!$H:$H,'PELANGI 04'!$J$1,'[1]Rincian Keluar'!$F:$F,'PELANGI 04'!M155)</f>
        <v>0</v>
      </c>
      <c r="F155" s="141">
        <v>15000</v>
      </c>
      <c r="G155" s="98">
        <f t="shared" si="29"/>
        <v>0</v>
      </c>
      <c r="H155" s="138"/>
      <c r="I155" s="42"/>
      <c r="J155" s="104"/>
      <c r="K155" s="87"/>
      <c r="M155" s="20" t="str">
        <f t="shared" si="28"/>
        <v xml:space="preserve">JENDELA </v>
      </c>
    </row>
    <row r="156" spans="2:13" s="142" customFormat="1" ht="18" customHeight="1" x14ac:dyDescent="0.25">
      <c r="B156" s="34">
        <v>14</v>
      </c>
      <c r="C156" s="139" t="s">
        <v>139</v>
      </c>
      <c r="D156" s="36">
        <f>IFERROR(HLOOKUP($J$1,[1]DB!$C$1:$K$172,156,FALSE),"")</f>
        <v>40</v>
      </c>
      <c r="E156" s="36">
        <f>SUMIFS('[1]Rincian Keluar'!$G:$G,'[1]Rincian Keluar'!$E:$E,'PELANGI 04'!C156,'[1]Rincian Keluar'!$D:$D,'PELANGI 04'!$D$1,'[1]Rincian Keluar'!$H:$H,'PELANGI 04'!$J$1,'[1]Rincian Keluar'!$F:$F,'PELANGI 04'!M156)</f>
        <v>0</v>
      </c>
      <c r="F156" s="141">
        <v>200</v>
      </c>
      <c r="G156" s="98">
        <f t="shared" si="29"/>
        <v>0</v>
      </c>
      <c r="H156" s="138"/>
      <c r="I156" s="42"/>
      <c r="J156" s="104"/>
      <c r="K156" s="87"/>
      <c r="M156" s="20" t="str">
        <f t="shared" si="28"/>
        <v xml:space="preserve">JENDELA </v>
      </c>
    </row>
    <row r="157" spans="2:13" s="142" customFormat="1" ht="18" customHeight="1" x14ac:dyDescent="0.25">
      <c r="B157" s="34">
        <v>15</v>
      </c>
      <c r="C157" s="139" t="s">
        <v>140</v>
      </c>
      <c r="D157" s="36">
        <f>IFERROR(HLOOKUP($J$1,[1]DB!$C$1:$K$172,157,FALSE),"")</f>
        <v>80</v>
      </c>
      <c r="E157" s="36">
        <f>SUMIFS('[1]Rincian Keluar'!$G:$G,'[1]Rincian Keluar'!$E:$E,'PELANGI 04'!C157,'[1]Rincian Keluar'!$D:$D,'PELANGI 04'!$D$1,'[1]Rincian Keluar'!$H:$H,'PELANGI 04'!$J$1,'[1]Rincian Keluar'!$F:$F,'PELANGI 04'!M157)</f>
        <v>0</v>
      </c>
      <c r="F157" s="141">
        <v>100</v>
      </c>
      <c r="G157" s="98">
        <f t="shared" si="29"/>
        <v>0</v>
      </c>
      <c r="H157" s="138"/>
      <c r="I157" s="42"/>
      <c r="J157" s="104"/>
      <c r="K157" s="87"/>
      <c r="M157" s="20" t="str">
        <f t="shared" si="28"/>
        <v xml:space="preserve">JENDELA </v>
      </c>
    </row>
    <row r="158" spans="2:13" s="142" customFormat="1" ht="18" customHeight="1" x14ac:dyDescent="0.25">
      <c r="B158" s="34">
        <v>16</v>
      </c>
      <c r="C158" s="139" t="s">
        <v>141</v>
      </c>
      <c r="D158" s="36">
        <f>IFERROR(HLOOKUP($J$1,[1]DB!$C$1:$K$172,158,FALSE),"")</f>
        <v>1</v>
      </c>
      <c r="E158" s="36">
        <f>SUMIFS('[1]Rincian Keluar'!$G:$G,'[1]Rincian Keluar'!$E:$E,'PELANGI 04'!C158,'[1]Rincian Keluar'!$D:$D,'PELANGI 04'!$D$1,'[1]Rincian Keluar'!$H:$H,'PELANGI 04'!$J$1,'[1]Rincian Keluar'!$F:$F,'PELANGI 04'!M158)</f>
        <v>0</v>
      </c>
      <c r="F158" s="141">
        <v>55000</v>
      </c>
      <c r="G158" s="98">
        <f t="shared" si="29"/>
        <v>0</v>
      </c>
      <c r="H158" s="138"/>
      <c r="I158" s="42"/>
      <c r="J158" s="104"/>
      <c r="K158" s="87"/>
      <c r="M158" s="20" t="str">
        <f t="shared" si="28"/>
        <v xml:space="preserve">JENDELA </v>
      </c>
    </row>
    <row r="159" spans="2:13" s="142" customFormat="1" ht="18" customHeight="1" x14ac:dyDescent="0.25">
      <c r="B159" s="34">
        <v>17</v>
      </c>
      <c r="C159" s="139" t="s">
        <v>142</v>
      </c>
      <c r="D159" s="36">
        <f>IFERROR(HLOOKUP($J$1,[1]DB!$C$1:$K$172,159,FALSE),"")</f>
        <v>1</v>
      </c>
      <c r="E159" s="36">
        <f>SUMIFS('[1]Rincian Keluar'!$G:$G,'[1]Rincian Keluar'!$E:$E,'PELANGI 04'!C159,'[1]Rincian Keluar'!$D:$D,'PELANGI 04'!$D$1,'[1]Rincian Keluar'!$H:$H,'PELANGI 04'!$J$1,'[1]Rincian Keluar'!$F:$F,'PELANGI 04'!M159)</f>
        <v>0</v>
      </c>
      <c r="F159" s="141">
        <v>10000</v>
      </c>
      <c r="G159" s="98">
        <f t="shared" si="29"/>
        <v>0</v>
      </c>
      <c r="H159" s="138"/>
      <c r="I159" s="42"/>
      <c r="J159" s="104"/>
      <c r="K159" s="87"/>
      <c r="M159" s="20" t="str">
        <f t="shared" si="28"/>
        <v xml:space="preserve">JENDELA </v>
      </c>
    </row>
    <row r="160" spans="2:13" s="142" customFormat="1" ht="18" customHeight="1" x14ac:dyDescent="0.25">
      <c r="B160" s="34">
        <v>18</v>
      </c>
      <c r="C160" s="139" t="s">
        <v>143</v>
      </c>
      <c r="D160" s="36">
        <f>IFERROR(HLOOKUP($J$1,[1]DB!$C$1:$K$172,160,FALSE),"")</f>
        <v>6</v>
      </c>
      <c r="E160" s="36">
        <f>SUMIFS('[1]Rincian Keluar'!$G:$G,'[1]Rincian Keluar'!$E:$E,'PELANGI 04'!C160,'[1]Rincian Keluar'!$D:$D,'PELANGI 04'!$D$1,'[1]Rincian Keluar'!$H:$H,'PELANGI 04'!$J$1,'[1]Rincian Keluar'!$F:$F,'PELANGI 04'!M160)</f>
        <v>0</v>
      </c>
      <c r="F160" s="141">
        <v>300000</v>
      </c>
      <c r="G160" s="98">
        <f t="shared" si="29"/>
        <v>0</v>
      </c>
      <c r="H160" s="138"/>
      <c r="I160" s="42"/>
      <c r="J160" s="104"/>
      <c r="K160" s="87"/>
      <c r="M160" s="20" t="str">
        <f t="shared" si="28"/>
        <v xml:space="preserve">JENDELA </v>
      </c>
    </row>
    <row r="161" spans="1:13" s="142" customFormat="1" ht="18" customHeight="1" x14ac:dyDescent="0.25">
      <c r="B161" s="34">
        <v>19</v>
      </c>
      <c r="C161" s="139" t="s">
        <v>144</v>
      </c>
      <c r="D161" s="36">
        <f>IFERROR(HLOOKUP($J$1,[1]DB!$C$1:$K$172,161,FALSE),"")</f>
        <v>4</v>
      </c>
      <c r="E161" s="36">
        <f>SUMIFS('[1]Rincian Keluar'!$G:$G,'[1]Rincian Keluar'!$E:$E,'PELANGI 04'!C161,'[1]Rincian Keluar'!$D:$D,'PELANGI 04'!$D$1,'[1]Rincian Keluar'!$H:$H,'PELANGI 04'!$J$1,'[1]Rincian Keluar'!$F:$F,'PELANGI 04'!M161)</f>
        <v>0</v>
      </c>
      <c r="F161" s="141">
        <v>40000</v>
      </c>
      <c r="G161" s="98">
        <f t="shared" si="29"/>
        <v>0</v>
      </c>
      <c r="H161" s="140"/>
      <c r="I161" s="47"/>
      <c r="J161" s="106"/>
      <c r="K161" s="90"/>
      <c r="M161" s="20" t="str">
        <f t="shared" si="28"/>
        <v xml:space="preserve">JENDELA </v>
      </c>
    </row>
    <row r="162" spans="1:13" ht="18" customHeight="1" x14ac:dyDescent="0.25">
      <c r="B162" s="29" t="s">
        <v>145</v>
      </c>
      <c r="C162" s="124" t="s">
        <v>146</v>
      </c>
      <c r="D162" s="132"/>
      <c r="E162" s="132"/>
      <c r="F162" s="132"/>
      <c r="G162" s="132"/>
      <c r="H162" s="132"/>
      <c r="I162" s="133"/>
      <c r="J162" s="132"/>
      <c r="K162" s="134"/>
      <c r="M162" s="20"/>
    </row>
    <row r="163" spans="1:13" s="66" customFormat="1" ht="18" customHeight="1" x14ac:dyDescent="0.25">
      <c r="B163" s="34">
        <v>1</v>
      </c>
      <c r="C163" s="35" t="s">
        <v>147</v>
      </c>
      <c r="D163" s="36">
        <f>IFERROR(HLOOKUP($J$1,[1]DB!$C$1:$K$172,163,FALSE),"")</f>
        <v>6</v>
      </c>
      <c r="E163" s="36">
        <f>SUMIFS('[1]Rincian Keluar'!$G:$G,'[1]Rincian Keluar'!$E:$E,'PELANGI 04'!C163,'[1]Rincian Keluar'!$D:$D,'PELANGI 04'!$D$1,'[1]Rincian Keluar'!$H:$H,'PELANGI 04'!$J$1,'[1]Rincian Keluar'!$F:$F,'PELANGI 04'!M163)</f>
        <v>0</v>
      </c>
      <c r="F163" s="37">
        <v>14000</v>
      </c>
      <c r="G163" s="135">
        <f>E163*F163</f>
        <v>0</v>
      </c>
      <c r="H163" s="136"/>
      <c r="I163" s="39"/>
      <c r="J163" s="137"/>
      <c r="K163" s="84"/>
      <c r="M163" s="20" t="str">
        <f>$C$162</f>
        <v>ELEKTICAL</v>
      </c>
    </row>
    <row r="164" spans="1:13" s="66" customFormat="1" ht="18" customHeight="1" x14ac:dyDescent="0.25">
      <c r="B164" s="34">
        <v>2</v>
      </c>
      <c r="C164" s="35" t="s">
        <v>148</v>
      </c>
      <c r="D164" s="36">
        <f>IFERROR(HLOOKUP($J$1,[1]DB!$C$1:$K$172,164,FALSE),"")</f>
        <v>1</v>
      </c>
      <c r="E164" s="36">
        <f>SUMIFS('[1]Rincian Keluar'!$G:$G,'[1]Rincian Keluar'!$E:$E,'PELANGI 04'!C164,'[1]Rincian Keluar'!$D:$D,'PELANGI 04'!$D$1,'[1]Rincian Keluar'!$H:$H,'PELANGI 04'!$J$1,'[1]Rincian Keluar'!$F:$F,'PELANGI 04'!M164)</f>
        <v>0</v>
      </c>
      <c r="F164" s="37">
        <v>18000</v>
      </c>
      <c r="G164" s="135">
        <f t="shared" ref="G164:G172" si="30">E164*F164</f>
        <v>0</v>
      </c>
      <c r="H164" s="138"/>
      <c r="I164" s="42"/>
      <c r="J164" s="104"/>
      <c r="K164" s="87"/>
      <c r="M164" s="20" t="str">
        <f t="shared" ref="M164:M172" si="31">$C$162</f>
        <v>ELEKTICAL</v>
      </c>
    </row>
    <row r="165" spans="1:13" s="66" customFormat="1" ht="18" customHeight="1" x14ac:dyDescent="0.25">
      <c r="B165" s="34">
        <v>3</v>
      </c>
      <c r="C165" s="35" t="s">
        <v>149</v>
      </c>
      <c r="D165" s="36">
        <f>IFERROR(HLOOKUP($J$1,[1]DB!$C$1:$K$172,165,FALSE),"")</f>
        <v>11</v>
      </c>
      <c r="E165" s="36">
        <f>SUMIFS('[1]Rincian Keluar'!$G:$G,'[1]Rincian Keluar'!$E:$E,'PELANGI 04'!C165,'[1]Rincian Keluar'!$D:$D,'PELANGI 04'!$D$1,'[1]Rincian Keluar'!$H:$H,'PELANGI 04'!$J$1,'[1]Rincian Keluar'!$F:$F,'PELANGI 04'!M165)</f>
        <v>0</v>
      </c>
      <c r="F165" s="37">
        <v>15000</v>
      </c>
      <c r="G165" s="135">
        <f t="shared" si="30"/>
        <v>0</v>
      </c>
      <c r="H165" s="138"/>
      <c r="I165" s="42"/>
      <c r="J165" s="104"/>
      <c r="K165" s="87"/>
      <c r="M165" s="20" t="str">
        <f t="shared" si="31"/>
        <v>ELEKTICAL</v>
      </c>
    </row>
    <row r="166" spans="1:13" s="66" customFormat="1" ht="18" customHeight="1" x14ac:dyDescent="0.25">
      <c r="B166" s="34">
        <v>4</v>
      </c>
      <c r="C166" s="35" t="s">
        <v>150</v>
      </c>
      <c r="D166" s="36">
        <f>IFERROR(HLOOKUP($J$1,[1]DB!$C$1:$K$172,166,FALSE),"")</f>
        <v>1</v>
      </c>
      <c r="E166" s="36">
        <f>SUMIFS('[1]Rincian Keluar'!$G:$G,'[1]Rincian Keluar'!$E:$E,'PELANGI 04'!C166,'[1]Rincian Keluar'!$D:$D,'PELANGI 04'!$D$1,'[1]Rincian Keluar'!$H:$H,'PELANGI 04'!$J$1,'[1]Rincian Keluar'!$F:$F,'PELANGI 04'!M166)</f>
        <v>0</v>
      </c>
      <c r="F166" s="37">
        <v>336000</v>
      </c>
      <c r="G166" s="135">
        <f t="shared" si="30"/>
        <v>0</v>
      </c>
      <c r="H166" s="138"/>
      <c r="I166" s="42"/>
      <c r="J166" s="104"/>
      <c r="K166" s="87"/>
      <c r="M166" s="20" t="str">
        <f t="shared" si="31"/>
        <v>ELEKTICAL</v>
      </c>
    </row>
    <row r="167" spans="1:13" s="66" customFormat="1" ht="18" customHeight="1" x14ac:dyDescent="0.25">
      <c r="B167" s="34">
        <v>5</v>
      </c>
      <c r="C167" s="35" t="s">
        <v>151</v>
      </c>
      <c r="D167" s="36">
        <f>IFERROR(HLOOKUP($J$1,[1]DB!$C$1:$K$172,167,FALSE),"")</f>
        <v>7</v>
      </c>
      <c r="E167" s="36">
        <f>SUMIFS('[1]Rincian Keluar'!$G:$G,'[1]Rincian Keluar'!$E:$E,'PELANGI 04'!C167,'[1]Rincian Keluar'!$D:$D,'PELANGI 04'!$D$1,'[1]Rincian Keluar'!$H:$H,'PELANGI 04'!$J$1,'[1]Rincian Keluar'!$F:$F,'PELANGI 04'!M167)</f>
        <v>0</v>
      </c>
      <c r="F167" s="37">
        <v>5500</v>
      </c>
      <c r="G167" s="135">
        <f t="shared" si="30"/>
        <v>0</v>
      </c>
      <c r="H167" s="138"/>
      <c r="I167" s="42"/>
      <c r="J167" s="104"/>
      <c r="K167" s="87"/>
      <c r="M167" s="20" t="str">
        <f t="shared" si="31"/>
        <v>ELEKTICAL</v>
      </c>
    </row>
    <row r="168" spans="1:13" s="66" customFormat="1" ht="18" customHeight="1" x14ac:dyDescent="0.25">
      <c r="B168" s="34">
        <v>6</v>
      </c>
      <c r="C168" s="35" t="s">
        <v>152</v>
      </c>
      <c r="D168" s="36">
        <f>IFERROR(HLOOKUP($J$1,[1]DB!$C$1:$K$172,168,FALSE),"")</f>
        <v>25</v>
      </c>
      <c r="E168" s="36">
        <f>SUMIFS('[1]Rincian Keluar'!$G:$G,'[1]Rincian Keluar'!$E:$E,'PELANGI 04'!C168,'[1]Rincian Keluar'!$D:$D,'PELANGI 04'!$D$1,'[1]Rincian Keluar'!$H:$H,'PELANGI 04'!$J$1,'[1]Rincian Keluar'!$F:$F,'PELANGI 04'!M168)</f>
        <v>0</v>
      </c>
      <c r="F168" s="37">
        <v>8200</v>
      </c>
      <c r="G168" s="135">
        <f t="shared" si="30"/>
        <v>0</v>
      </c>
      <c r="H168" s="138"/>
      <c r="I168" s="42"/>
      <c r="J168" s="104"/>
      <c r="K168" s="87"/>
      <c r="M168" s="20" t="str">
        <f t="shared" si="31"/>
        <v>ELEKTICAL</v>
      </c>
    </row>
    <row r="169" spans="1:13" s="66" customFormat="1" ht="18" customHeight="1" x14ac:dyDescent="0.25">
      <c r="B169" s="34">
        <v>7</v>
      </c>
      <c r="C169" s="35" t="s">
        <v>153</v>
      </c>
      <c r="D169" s="36">
        <f>IFERROR(HLOOKUP($J$1,[1]DB!$C$1:$K$172,169,FALSE),"")</f>
        <v>35</v>
      </c>
      <c r="E169" s="36">
        <f>SUMIFS('[1]Rincian Keluar'!$G:$G,'[1]Rincian Keluar'!$E:$E,'PELANGI 04'!C169,'[1]Rincian Keluar'!$D:$D,'PELANGI 04'!$D$1,'[1]Rincian Keluar'!$H:$H,'PELANGI 04'!$J$1,'[1]Rincian Keluar'!$F:$F,'PELANGI 04'!M169)</f>
        <v>0</v>
      </c>
      <c r="F169" s="37">
        <v>12500</v>
      </c>
      <c r="G169" s="135">
        <f t="shared" si="30"/>
        <v>0</v>
      </c>
      <c r="H169" s="138"/>
      <c r="I169" s="42"/>
      <c r="J169" s="104"/>
      <c r="K169" s="87"/>
      <c r="M169" s="20" t="str">
        <f t="shared" si="31"/>
        <v>ELEKTICAL</v>
      </c>
    </row>
    <row r="170" spans="1:13" s="66" customFormat="1" ht="18" customHeight="1" x14ac:dyDescent="0.25">
      <c r="B170" s="34">
        <v>8</v>
      </c>
      <c r="C170" s="35" t="s">
        <v>154</v>
      </c>
      <c r="D170" s="36">
        <f>IFERROR(HLOOKUP($J$1,[1]DB!$C$1:$K$172,170,FALSE),"")</f>
        <v>1</v>
      </c>
      <c r="E170" s="36">
        <f>SUMIFS('[1]Rincian Keluar'!$G:$G,'[1]Rincian Keluar'!$E:$E,'PELANGI 04'!C170,'[1]Rincian Keluar'!$D:$D,'PELANGI 04'!$D$1,'[1]Rincian Keluar'!$H:$H,'PELANGI 04'!$J$1,'[1]Rincian Keluar'!$F:$F,'PELANGI 04'!M170)</f>
        <v>0</v>
      </c>
      <c r="F170" s="37">
        <v>19000</v>
      </c>
      <c r="G170" s="135">
        <f t="shared" si="30"/>
        <v>0</v>
      </c>
      <c r="H170" s="138"/>
      <c r="I170" s="42"/>
      <c r="J170" s="104"/>
      <c r="K170" s="87"/>
      <c r="M170" s="20" t="str">
        <f t="shared" si="31"/>
        <v>ELEKTICAL</v>
      </c>
    </row>
    <row r="171" spans="1:13" s="66" customFormat="1" ht="18" customHeight="1" x14ac:dyDescent="0.25">
      <c r="B171" s="34">
        <v>9</v>
      </c>
      <c r="C171" s="35" t="s">
        <v>155</v>
      </c>
      <c r="D171" s="36">
        <f>IFERROR(HLOOKUP($J$1,[1]DB!$C$1:$K$172,171,FALSE),"")</f>
        <v>1</v>
      </c>
      <c r="E171" s="36">
        <f>SUMIFS('[1]Rincian Keluar'!$G:$G,'[1]Rincian Keluar'!$E:$E,'PELANGI 04'!C171,'[1]Rincian Keluar'!$D:$D,'PELANGI 04'!$D$1,'[1]Rincian Keluar'!$H:$H,'PELANGI 04'!$J$1,'[1]Rincian Keluar'!$F:$F,'PELANGI 04'!M171)</f>
        <v>0</v>
      </c>
      <c r="F171" s="37">
        <v>14000</v>
      </c>
      <c r="G171" s="135">
        <f t="shared" si="30"/>
        <v>0</v>
      </c>
      <c r="H171" s="138"/>
      <c r="I171" s="42"/>
      <c r="J171" s="104"/>
      <c r="K171" s="87"/>
      <c r="M171" s="20" t="str">
        <f t="shared" si="31"/>
        <v>ELEKTICAL</v>
      </c>
    </row>
    <row r="172" spans="1:13" s="66" customFormat="1" ht="18" customHeight="1" x14ac:dyDescent="0.25">
      <c r="A172" s="66" t="s">
        <v>156</v>
      </c>
      <c r="B172" s="34">
        <v>10</v>
      </c>
      <c r="C172" s="35" t="s">
        <v>157</v>
      </c>
      <c r="D172" s="36">
        <f>IFERROR(HLOOKUP($J$1,[1]DB!$C$1:$K$172,172,FALSE),"")</f>
        <v>1</v>
      </c>
      <c r="E172" s="36">
        <f>SUMIFS('[1]Rincian Keluar'!$G:$G,'[1]Rincian Keluar'!$E:$E,'PELANGI 04'!C172,'[1]Rincian Keluar'!$D:$D,'PELANGI 04'!$D$1,'[1]Rincian Keluar'!$H:$H,'PELANGI 04'!$J$1,'[1]Rincian Keluar'!$F:$F,'PELANGI 04'!M172)</f>
        <v>0</v>
      </c>
      <c r="F172" s="37">
        <v>60000</v>
      </c>
      <c r="G172" s="135">
        <f t="shared" si="30"/>
        <v>0</v>
      </c>
      <c r="H172" s="140"/>
      <c r="I172" s="47"/>
      <c r="J172" s="106"/>
      <c r="K172" s="90"/>
      <c r="M172" s="20" t="str">
        <f t="shared" si="31"/>
        <v>ELEKTICAL</v>
      </c>
    </row>
    <row r="173" spans="1:13" ht="18" customHeight="1" x14ac:dyDescent="0.25">
      <c r="B173" s="143" t="s">
        <v>158</v>
      </c>
      <c r="C173" s="144"/>
      <c r="D173" s="144"/>
      <c r="E173" s="144"/>
      <c r="F173" s="145"/>
      <c r="G173" s="146">
        <f>SUM(G7:G172)</f>
        <v>10155300</v>
      </c>
      <c r="H173" s="146"/>
      <c r="I173" s="147"/>
      <c r="J173" s="146">
        <f>SUM(J7:J172)</f>
        <v>551000</v>
      </c>
      <c r="K173" s="148"/>
    </row>
    <row r="174" spans="1:13" ht="18" customHeight="1" thickBot="1" x14ac:dyDescent="0.3">
      <c r="B174" s="149" t="s">
        <v>159</v>
      </c>
      <c r="C174" s="150"/>
      <c r="D174" s="150"/>
      <c r="E174" s="150"/>
      <c r="F174" s="150"/>
      <c r="G174" s="151">
        <f>SUM(G173,J173)</f>
        <v>10706300</v>
      </c>
      <c r="H174" s="152"/>
      <c r="I174" s="153"/>
      <c r="J174" s="154"/>
      <c r="K174" s="155"/>
    </row>
    <row r="175" spans="1:13" x14ac:dyDescent="0.25">
      <c r="C175" s="156"/>
    </row>
    <row r="176" spans="1:13" x14ac:dyDescent="0.25">
      <c r="C176" s="156"/>
    </row>
    <row r="177" spans="3:3" x14ac:dyDescent="0.25">
      <c r="C177" s="156"/>
    </row>
    <row r="178" spans="3:3" x14ac:dyDescent="0.25">
      <c r="C178" s="156"/>
    </row>
    <row r="179" spans="3:3" x14ac:dyDescent="0.25">
      <c r="C179" s="156"/>
    </row>
    <row r="180" spans="3:3" x14ac:dyDescent="0.25">
      <c r="C180" s="156"/>
    </row>
    <row r="181" spans="3:3" x14ac:dyDescent="0.25">
      <c r="C181" s="156"/>
    </row>
    <row r="182" spans="3:3" x14ac:dyDescent="0.25">
      <c r="C182" s="156"/>
    </row>
    <row r="183" spans="3:3" x14ac:dyDescent="0.25">
      <c r="C183" s="156"/>
    </row>
    <row r="184" spans="3:3" x14ac:dyDescent="0.25">
      <c r="C184" s="156"/>
    </row>
    <row r="185" spans="3:3" x14ac:dyDescent="0.25">
      <c r="C185" s="156"/>
    </row>
    <row r="186" spans="3:3" x14ac:dyDescent="0.25">
      <c r="C186" s="156"/>
    </row>
    <row r="187" spans="3:3" x14ac:dyDescent="0.25">
      <c r="C187" s="156"/>
    </row>
  </sheetData>
  <autoFilter ref="B4:K174"/>
  <mergeCells count="75">
    <mergeCell ref="B173:F173"/>
    <mergeCell ref="B174:F174"/>
    <mergeCell ref="H143:H161"/>
    <mergeCell ref="I143:I161"/>
    <mergeCell ref="J143:J161"/>
    <mergeCell ref="K143:K161"/>
    <mergeCell ref="H163:H172"/>
    <mergeCell ref="I163:I172"/>
    <mergeCell ref="J163:J172"/>
    <mergeCell ref="K163:K172"/>
    <mergeCell ref="H131:H132"/>
    <mergeCell ref="I131:I132"/>
    <mergeCell ref="J131:J132"/>
    <mergeCell ref="K131:K132"/>
    <mergeCell ref="H134:H141"/>
    <mergeCell ref="I134:I141"/>
    <mergeCell ref="J134:J141"/>
    <mergeCell ref="K134:K141"/>
    <mergeCell ref="H120:H123"/>
    <mergeCell ref="I120:I123"/>
    <mergeCell ref="J120:J123"/>
    <mergeCell ref="K120:K123"/>
    <mergeCell ref="H125:H129"/>
    <mergeCell ref="I125:I129"/>
    <mergeCell ref="J125:J129"/>
    <mergeCell ref="K125:K129"/>
    <mergeCell ref="H99:H102"/>
    <mergeCell ref="I99:I103"/>
    <mergeCell ref="J99:J103"/>
    <mergeCell ref="K99:K102"/>
    <mergeCell ref="H105:H116"/>
    <mergeCell ref="I105:I116"/>
    <mergeCell ref="J105:J116"/>
    <mergeCell ref="K105:K116"/>
    <mergeCell ref="H83:H86"/>
    <mergeCell ref="I83:I86"/>
    <mergeCell ref="J83:J86"/>
    <mergeCell ref="K83:K86"/>
    <mergeCell ref="H88:H96"/>
    <mergeCell ref="I88:I96"/>
    <mergeCell ref="J88:J96"/>
    <mergeCell ref="K88:K96"/>
    <mergeCell ref="H65:H74"/>
    <mergeCell ref="I65:I74"/>
    <mergeCell ref="J65:J74"/>
    <mergeCell ref="K65:K74"/>
    <mergeCell ref="H76:H81"/>
    <mergeCell ref="I76:I81"/>
    <mergeCell ref="J76:J81"/>
    <mergeCell ref="K76:K81"/>
    <mergeCell ref="H38:H59"/>
    <mergeCell ref="I38:I59"/>
    <mergeCell ref="J38:J59"/>
    <mergeCell ref="K38:K59"/>
    <mergeCell ref="H61:H63"/>
    <mergeCell ref="I61:I63"/>
    <mergeCell ref="J61:J63"/>
    <mergeCell ref="K61:K63"/>
    <mergeCell ref="H20:H23"/>
    <mergeCell ref="I20:I23"/>
    <mergeCell ref="J20:J23"/>
    <mergeCell ref="K20:K23"/>
    <mergeCell ref="H25:H36"/>
    <mergeCell ref="I25:I36"/>
    <mergeCell ref="J25:J36"/>
    <mergeCell ref="K25:K36"/>
    <mergeCell ref="B3:K3"/>
    <mergeCell ref="H7:H14"/>
    <mergeCell ref="I7:I14"/>
    <mergeCell ref="J7:J14"/>
    <mergeCell ref="K7:K14"/>
    <mergeCell ref="H16:H18"/>
    <mergeCell ref="I16:I18"/>
    <mergeCell ref="J16:J18"/>
    <mergeCell ref="K16:K18"/>
  </mergeCells>
  <printOptions horizontalCentered="1"/>
  <pageMargins left="0.19685039370078741" right="0.19685039370078741" top="0.19685039370078741" bottom="0.19685039370078741" header="0" footer="0"/>
  <pageSetup paperSize="346" scale="59" fitToHeight="0" orientation="portrait" r:id="rId1"/>
  <rowBreaks count="1" manualBreakCount="1">
    <brk id="86" min="1" max="1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87"/>
  <sheetViews>
    <sheetView zoomScale="70" zoomScaleNormal="70" zoomScaleSheetLayoutView="87" workbookViewId="0">
      <selection activeCell="E16" sqref="E16"/>
    </sheetView>
  </sheetViews>
  <sheetFormatPr defaultColWidth="8.85546875" defaultRowHeight="15.75" x14ac:dyDescent="0.25"/>
  <cols>
    <col min="1" max="1" width="1.7109375" style="1" bestFit="1" customWidth="1"/>
    <col min="2" max="2" width="4.42578125" style="1" bestFit="1" customWidth="1"/>
    <col min="3" max="3" width="39.5703125" style="1" bestFit="1" customWidth="1"/>
    <col min="4" max="4" width="9.7109375" style="1" bestFit="1" customWidth="1"/>
    <col min="5" max="5" width="11.5703125" style="157" bestFit="1" customWidth="1"/>
    <col min="6" max="6" width="20.28515625" style="158" bestFit="1" customWidth="1"/>
    <col min="7" max="7" width="19.140625" style="159" bestFit="1" customWidth="1"/>
    <col min="8" max="8" width="19.5703125" style="1" customWidth="1"/>
    <col min="9" max="9" width="19.140625" style="160" bestFit="1" customWidth="1"/>
    <col min="10" max="10" width="21.5703125" style="161" bestFit="1" customWidth="1"/>
    <col min="11" max="11" width="13.42578125" style="162" bestFit="1" customWidth="1"/>
    <col min="12" max="13" width="8.85546875" style="1"/>
    <col min="14" max="14" width="34.5703125" style="1" customWidth="1"/>
    <col min="15" max="16384" width="8.85546875" style="1"/>
  </cols>
  <sheetData>
    <row r="1" spans="1:13" x14ac:dyDescent="0.25">
      <c r="B1" s="2" t="s">
        <v>0</v>
      </c>
      <c r="C1" s="3"/>
      <c r="D1" s="4" t="s">
        <v>162</v>
      </c>
      <c r="E1" s="5"/>
      <c r="F1" s="5"/>
      <c r="G1" s="5"/>
      <c r="H1" s="2" t="s">
        <v>2</v>
      </c>
      <c r="I1" s="6"/>
      <c r="J1" s="7">
        <v>60</v>
      </c>
      <c r="K1" s="8"/>
    </row>
    <row r="2" spans="1:13" ht="16.5" thickBot="1" x14ac:dyDescent="0.3">
      <c r="B2" s="9"/>
      <c r="C2" s="10"/>
      <c r="D2" s="11"/>
      <c r="E2" s="12"/>
      <c r="F2" s="12"/>
      <c r="G2" s="12"/>
      <c r="H2" s="9"/>
      <c r="I2" s="13"/>
      <c r="J2" s="14"/>
      <c r="K2" s="15"/>
    </row>
    <row r="3" spans="1:13" s="20" customFormat="1" ht="8.25" customHeight="1" x14ac:dyDescent="0.25">
      <c r="A3" s="1"/>
      <c r="B3" s="16"/>
      <c r="C3" s="17"/>
      <c r="D3" s="17"/>
      <c r="E3" s="17"/>
      <c r="F3" s="17"/>
      <c r="G3" s="17"/>
      <c r="H3" s="17"/>
      <c r="I3" s="17"/>
      <c r="J3" s="18"/>
      <c r="K3" s="19"/>
    </row>
    <row r="4" spans="1:13" s="20" customFormat="1" x14ac:dyDescent="0.25">
      <c r="A4" s="1"/>
      <c r="B4" s="21" t="s">
        <v>3</v>
      </c>
      <c r="C4" s="22" t="s">
        <v>4</v>
      </c>
      <c r="D4" s="23" t="s">
        <v>5</v>
      </c>
      <c r="E4" s="23"/>
      <c r="F4" s="24" t="s">
        <v>6</v>
      </c>
      <c r="G4" s="25" t="s">
        <v>7</v>
      </c>
      <c r="H4" s="22" t="s">
        <v>8</v>
      </c>
      <c r="I4" s="23" t="s">
        <v>9</v>
      </c>
      <c r="J4" s="23" t="s">
        <v>10</v>
      </c>
      <c r="K4" s="26" t="s">
        <v>11</v>
      </c>
    </row>
    <row r="5" spans="1:13" s="20" customFormat="1" x14ac:dyDescent="0.25">
      <c r="A5" s="1"/>
      <c r="B5" s="21"/>
      <c r="C5" s="27"/>
      <c r="D5" s="24" t="s">
        <v>12</v>
      </c>
      <c r="E5" s="24" t="s">
        <v>13</v>
      </c>
      <c r="F5" s="24" t="s">
        <v>14</v>
      </c>
      <c r="G5" s="25" t="s">
        <v>14</v>
      </c>
      <c r="H5" s="22"/>
      <c r="I5" s="23"/>
      <c r="J5" s="28"/>
      <c r="K5" s="26"/>
    </row>
    <row r="6" spans="1:13" s="20" customFormat="1" ht="18" customHeight="1" x14ac:dyDescent="0.25">
      <c r="A6" s="1"/>
      <c r="B6" s="29" t="s">
        <v>15</v>
      </c>
      <c r="C6" s="30" t="s">
        <v>16</v>
      </c>
      <c r="D6" s="31"/>
      <c r="E6" s="31"/>
      <c r="F6" s="31"/>
      <c r="G6" s="31"/>
      <c r="H6" s="31"/>
      <c r="I6" s="32"/>
      <c r="J6" s="31"/>
      <c r="K6" s="33"/>
    </row>
    <row r="7" spans="1:13" s="20" customFormat="1" ht="18" customHeight="1" x14ac:dyDescent="0.25">
      <c r="A7" s="1"/>
      <c r="B7" s="34">
        <v>1</v>
      </c>
      <c r="C7" s="35" t="s">
        <v>17</v>
      </c>
      <c r="D7" s="36">
        <f>IFERROR(HLOOKUP($J$1,[1]DB!$C$1:$K$172,7,FALSE),"")</f>
        <v>15</v>
      </c>
      <c r="E7" s="36">
        <f>SUMIFS('[1]Rincian Keluar'!$G:$G,'[1]Rincian Keluar'!$E:$E,'ILALANG 02'!C7,'[1]Rincian Keluar'!$D:$D,'ILALANG 02'!$D$1,'[1]Rincian Keluar'!$H:$H,'ILALANG 02'!$J$1,'[1]Rincian Keluar'!$F:$F,'ILALANG 02'!M7)</f>
        <v>0</v>
      </c>
      <c r="F7" s="37">
        <v>21500</v>
      </c>
      <c r="G7" s="38">
        <f>E7*F7</f>
        <v>0</v>
      </c>
      <c r="H7" s="39">
        <v>2304000</v>
      </c>
      <c r="I7" s="39">
        <f>IFERROR(VLOOKUP($C6,[1]HK!$B$5:$C$14,2,FALSE),"")*$J1</f>
        <v>2502000</v>
      </c>
      <c r="J7" s="40">
        <f>I7-H7</f>
        <v>198000</v>
      </c>
      <c r="K7" s="41">
        <v>1</v>
      </c>
      <c r="M7" s="20" t="str">
        <f>$C$6</f>
        <v>PONDASI</v>
      </c>
    </row>
    <row r="8" spans="1:13" s="20" customFormat="1" ht="18" customHeight="1" x14ac:dyDescent="0.25">
      <c r="A8" s="1"/>
      <c r="B8" s="34">
        <v>2</v>
      </c>
      <c r="C8" s="35" t="s">
        <v>18</v>
      </c>
      <c r="D8" s="36">
        <f>IFERROR(HLOOKUP($J$1,[1]DB!$C$1:$K$172,8,FALSE),"")</f>
        <v>50</v>
      </c>
      <c r="E8" s="36">
        <f>SUMIFS('[1]Rincian Keluar'!$G:$G,'[1]Rincian Keluar'!$E:$E,'ILALANG 02'!C8,'[1]Rincian Keluar'!$D:$D,'ILALANG 02'!$D$1,'[1]Rincian Keluar'!$H:$H,'ILALANG 02'!$J$1,'[1]Rincian Keluar'!$F:$F,'ILALANG 02'!M8)</f>
        <v>15</v>
      </c>
      <c r="F8" s="37">
        <v>49000</v>
      </c>
      <c r="G8" s="38">
        <f t="shared" ref="G8:G14" si="0">E8*F8</f>
        <v>735000</v>
      </c>
      <c r="H8" s="42"/>
      <c r="I8" s="42"/>
      <c r="J8" s="43"/>
      <c r="K8" s="44"/>
      <c r="M8" s="20" t="str">
        <f t="shared" ref="M8:M14" si="1">$C$6</f>
        <v>PONDASI</v>
      </c>
    </row>
    <row r="9" spans="1:13" s="20" customFormat="1" ht="18" customHeight="1" x14ac:dyDescent="0.25">
      <c r="A9" s="1"/>
      <c r="B9" s="34">
        <v>3</v>
      </c>
      <c r="C9" s="45" t="s">
        <v>19</v>
      </c>
      <c r="D9" s="36">
        <f>IFERROR(HLOOKUP($J$1,[1]DB!$C$1:$K$172,9,FALSE),"")</f>
        <v>42</v>
      </c>
      <c r="E9" s="36">
        <f>SUMIFS('[1]Rincian Keluar'!$G:$G,'[1]Rincian Keluar'!$E:$E,'ILALANG 02'!C9,'[1]Rincian Keluar'!$D:$D,'ILALANG 02'!$D$1,'[1]Rincian Keluar'!$H:$H,'ILALANG 02'!$J$1,'[1]Rincian Keluar'!$F:$F,'ILALANG 02'!M9)</f>
        <v>15</v>
      </c>
      <c r="F9" s="46">
        <v>11000</v>
      </c>
      <c r="G9" s="38">
        <f t="shared" si="0"/>
        <v>165000</v>
      </c>
      <c r="H9" s="42"/>
      <c r="I9" s="42"/>
      <c r="J9" s="43"/>
      <c r="K9" s="44"/>
      <c r="M9" s="20" t="str">
        <f t="shared" si="1"/>
        <v>PONDASI</v>
      </c>
    </row>
    <row r="10" spans="1:13" s="20" customFormat="1" ht="18" customHeight="1" x14ac:dyDescent="0.25">
      <c r="A10" s="1"/>
      <c r="B10" s="34">
        <v>4</v>
      </c>
      <c r="C10" s="45" t="s">
        <v>20</v>
      </c>
      <c r="D10" s="36">
        <f>IFERROR(HLOOKUP($J$1,[1]DB!$C$1:$K$172,10,FALSE),"")</f>
        <v>89</v>
      </c>
      <c r="E10" s="36">
        <f>SUMIFS('[1]Rincian Keluar'!$G:$G,'[1]Rincian Keluar'!$E:$E,'ILALANG 02'!C10,'[1]Rincian Keluar'!$D:$D,'ILALANG 02'!$D$1,'[1]Rincian Keluar'!$H:$H,'ILALANG 02'!$J$1,'[1]Rincian Keluar'!$F:$F,'ILALANG 02'!M10)</f>
        <v>98</v>
      </c>
      <c r="F10" s="37">
        <v>8000</v>
      </c>
      <c r="G10" s="38">
        <f t="shared" si="0"/>
        <v>784000</v>
      </c>
      <c r="H10" s="42"/>
      <c r="I10" s="42"/>
      <c r="J10" s="43"/>
      <c r="K10" s="44"/>
      <c r="M10" s="20" t="str">
        <f t="shared" si="1"/>
        <v>PONDASI</v>
      </c>
    </row>
    <row r="11" spans="1:13" s="20" customFormat="1" ht="18" customHeight="1" x14ac:dyDescent="0.25">
      <c r="A11" s="1"/>
      <c r="B11" s="34">
        <v>5</v>
      </c>
      <c r="C11" s="45" t="s">
        <v>21</v>
      </c>
      <c r="D11" s="36">
        <f>IFERROR(HLOOKUP($J$1,[1]DB!$C$1:$K$172,11,FALSE),"")</f>
        <v>197</v>
      </c>
      <c r="E11" s="36">
        <f>SUMIFS('[1]Rincian Keluar'!$G:$G,'[1]Rincian Keluar'!$E:$E,'ILALANG 02'!C11,'[1]Rincian Keluar'!$D:$D,'ILALANG 02'!$D$1,'[1]Rincian Keluar'!$H:$H,'ILALANG 02'!$J$1,'[1]Rincian Keluar'!$F:$F,'ILALANG 02'!M11)</f>
        <v>197</v>
      </c>
      <c r="F11" s="37">
        <v>11000</v>
      </c>
      <c r="G11" s="38">
        <f t="shared" si="0"/>
        <v>2167000</v>
      </c>
      <c r="H11" s="42"/>
      <c r="I11" s="42"/>
      <c r="J11" s="43"/>
      <c r="K11" s="44"/>
      <c r="M11" s="20" t="str">
        <f t="shared" si="1"/>
        <v>PONDASI</v>
      </c>
    </row>
    <row r="12" spans="1:13" s="20" customFormat="1" ht="18" customHeight="1" x14ac:dyDescent="0.25">
      <c r="A12" s="1"/>
      <c r="B12" s="34">
        <v>6</v>
      </c>
      <c r="C12" s="45" t="s">
        <v>22</v>
      </c>
      <c r="D12" s="36">
        <f>IFERROR(HLOOKUP($J$1,[1]DB!$C$1:$K$172,12,FALSE),"")</f>
        <v>16</v>
      </c>
      <c r="E12" s="36">
        <f>SUMIFS('[1]Rincian Keluar'!$G:$G,'[1]Rincian Keluar'!$E:$E,'ILALANG 02'!C12,'[1]Rincian Keluar'!$D:$D,'ILALANG 02'!$D$1,'[1]Rincian Keluar'!$H:$H,'ILALANG 02'!$J$1,'[1]Rincian Keluar'!$F:$F,'ILALANG 02'!M12)</f>
        <v>15</v>
      </c>
      <c r="F12" s="37">
        <v>150000</v>
      </c>
      <c r="G12" s="38">
        <f t="shared" si="0"/>
        <v>2250000</v>
      </c>
      <c r="H12" s="42"/>
      <c r="I12" s="42"/>
      <c r="J12" s="43"/>
      <c r="K12" s="44"/>
      <c r="M12" s="20" t="str">
        <f t="shared" si="1"/>
        <v>PONDASI</v>
      </c>
    </row>
    <row r="13" spans="1:13" s="20" customFormat="1" ht="18" customHeight="1" x14ac:dyDescent="0.25">
      <c r="A13" s="1"/>
      <c r="B13" s="34">
        <v>7</v>
      </c>
      <c r="C13" s="45" t="s">
        <v>23</v>
      </c>
      <c r="D13" s="36">
        <f>IFERROR(HLOOKUP($J$1,[1]DB!$C$1:$K$172,13,FALSE),"")</f>
        <v>3</v>
      </c>
      <c r="E13" s="36">
        <f>SUMIFS('[1]Rincian Keluar'!$G:$G,'[1]Rincian Keluar'!$E:$E,'ILALANG 02'!C13,'[1]Rincian Keluar'!$D:$D,'ILALANG 02'!$D$1,'[1]Rincian Keluar'!$H:$H,'ILALANG 02'!$J$1,'[1]Rincian Keluar'!$F:$F,'ILALANG 02'!M13)</f>
        <v>1</v>
      </c>
      <c r="F13" s="37">
        <v>500000</v>
      </c>
      <c r="G13" s="38">
        <f t="shared" si="0"/>
        <v>500000</v>
      </c>
      <c r="H13" s="42"/>
      <c r="I13" s="42"/>
      <c r="J13" s="43"/>
      <c r="K13" s="44"/>
      <c r="M13" s="20" t="str">
        <f t="shared" si="1"/>
        <v>PONDASI</v>
      </c>
    </row>
    <row r="14" spans="1:13" s="20" customFormat="1" ht="18" customHeight="1" x14ac:dyDescent="0.25">
      <c r="A14" s="1"/>
      <c r="B14" s="34">
        <v>8</v>
      </c>
      <c r="C14" s="45" t="s">
        <v>24</v>
      </c>
      <c r="D14" s="36">
        <f>IFERROR(HLOOKUP($J$1,[1]DB!$C$1:$K$172,14,FALSE),"")</f>
        <v>46</v>
      </c>
      <c r="E14" s="36">
        <f>SUMIFS('[1]Rincian Keluar'!$G:$G,'[1]Rincian Keluar'!$E:$E,'ILALANG 02'!C14,'[1]Rincian Keluar'!$D:$D,'ILALANG 02'!$D$1,'[1]Rincian Keluar'!$H:$H,'ILALANG 02'!$J$1,'[1]Rincian Keluar'!$F:$F,'ILALANG 02'!M14)</f>
        <v>44</v>
      </c>
      <c r="F14" s="37">
        <v>60700</v>
      </c>
      <c r="G14" s="38">
        <f t="shared" si="0"/>
        <v>2670800</v>
      </c>
      <c r="H14" s="47"/>
      <c r="I14" s="47"/>
      <c r="J14" s="48"/>
      <c r="K14" s="49"/>
      <c r="M14" s="20" t="str">
        <f t="shared" si="1"/>
        <v>PONDASI</v>
      </c>
    </row>
    <row r="15" spans="1:13" ht="18" customHeight="1" x14ac:dyDescent="0.25">
      <c r="B15" s="29" t="s">
        <v>25</v>
      </c>
      <c r="C15" s="50" t="s">
        <v>26</v>
      </c>
      <c r="D15" s="31"/>
      <c r="E15" s="31"/>
      <c r="F15" s="31"/>
      <c r="G15" s="31"/>
      <c r="H15" s="31"/>
      <c r="I15" s="32"/>
      <c r="J15" s="31"/>
      <c r="K15" s="33"/>
    </row>
    <row r="16" spans="1:13" ht="18" customHeight="1" x14ac:dyDescent="0.25">
      <c r="B16" s="34">
        <v>1</v>
      </c>
      <c r="C16" s="35" t="s">
        <v>22</v>
      </c>
      <c r="D16" s="36">
        <f>IFERROR(HLOOKUP($J$1,[1]DB!$C$1:$K$172,16,FALSE),"")</f>
        <v>39</v>
      </c>
      <c r="E16" s="36">
        <f>SUMIFS('[1]Rincian Keluar'!$G:$G,'[1]Rincian Keluar'!$E:$E,'ILALANG 02'!C16,'[1]Rincian Keluar'!$D:$D,'ILALANG 02'!$D$1,'[1]Rincian Keluar'!$H:$H,'ILALANG 02'!$J$1,'[1]Rincian Keluar'!$F:$F,'ILALANG 02'!M16)</f>
        <v>37</v>
      </c>
      <c r="F16" s="37">
        <v>150000</v>
      </c>
      <c r="G16" s="38">
        <f>E16*F16</f>
        <v>5550000</v>
      </c>
      <c r="H16" s="51">
        <v>976500</v>
      </c>
      <c r="I16" s="39">
        <f>IFERROR(VLOOKUP($C15,[1]HK!$B$5:$C$14,2,FALSE),"")*$J1</f>
        <v>1002000</v>
      </c>
      <c r="J16" s="52">
        <f>I16-H16</f>
        <v>25500</v>
      </c>
      <c r="K16" s="41">
        <v>1</v>
      </c>
      <c r="M16" s="20" t="str">
        <f>$C$15</f>
        <v>URUG</v>
      </c>
    </row>
    <row r="17" spans="2:13" ht="18" customHeight="1" x14ac:dyDescent="0.25">
      <c r="B17" s="34">
        <v>2</v>
      </c>
      <c r="C17" s="35" t="s">
        <v>27</v>
      </c>
      <c r="D17" s="36">
        <f>IFERROR(HLOOKUP($J$1,[1]DB!$C$1:$K$172,17,FALSE),"")</f>
        <v>2</v>
      </c>
      <c r="E17" s="36">
        <f>SUMIFS('[1]Rincian Keluar'!$G:$G,'[1]Rincian Keluar'!$E:$E,'ILALANG 02'!C17,'[1]Rincian Keluar'!$D:$D,'ILALANG 02'!$D$1,'[1]Rincian Keluar'!$H:$H,'ILALANG 02'!$J$1,'[1]Rincian Keluar'!$F:$F,'ILALANG 02'!M17)</f>
        <v>2</v>
      </c>
      <c r="F17" s="37">
        <v>133500</v>
      </c>
      <c r="G17" s="38">
        <f t="shared" ref="G17:G18" si="2">E17*F17</f>
        <v>267000</v>
      </c>
      <c r="H17" s="53"/>
      <c r="I17" s="42"/>
      <c r="J17" s="54"/>
      <c r="K17" s="44"/>
      <c r="M17" s="20" t="str">
        <f t="shared" ref="M17:M18" si="3">$C$15</f>
        <v>URUG</v>
      </c>
    </row>
    <row r="18" spans="2:13" ht="18" customHeight="1" x14ac:dyDescent="0.25">
      <c r="B18" s="34">
        <v>3</v>
      </c>
      <c r="C18" s="35" t="s">
        <v>28</v>
      </c>
      <c r="D18" s="36">
        <f>IFERROR(HLOOKUP($J$1,[1]DB!$C$1:$K$172,18,FALSE),"")</f>
        <v>2</v>
      </c>
      <c r="E18" s="36">
        <f>SUMIFS('[1]Rincian Keluar'!$G:$G,'[1]Rincian Keluar'!$E:$E,'ILALANG 02'!C18,'[1]Rincian Keluar'!$D:$D,'ILALANG 02'!$D$1,'[1]Rincian Keluar'!$H:$H,'ILALANG 02'!$J$1,'[1]Rincian Keluar'!$F:$F,'ILALANG 02'!M18)</f>
        <v>2</v>
      </c>
      <c r="F18" s="37">
        <v>48000</v>
      </c>
      <c r="G18" s="38">
        <f t="shared" si="2"/>
        <v>96000</v>
      </c>
      <c r="H18" s="55"/>
      <c r="I18" s="47"/>
      <c r="J18" s="56"/>
      <c r="K18" s="49"/>
      <c r="M18" s="20" t="str">
        <f t="shared" si="3"/>
        <v>URUG</v>
      </c>
    </row>
    <row r="19" spans="2:13" ht="18" customHeight="1" x14ac:dyDescent="0.25">
      <c r="B19" s="29" t="s">
        <v>29</v>
      </c>
      <c r="C19" s="50" t="s">
        <v>30</v>
      </c>
      <c r="D19" s="31"/>
      <c r="E19" s="31"/>
      <c r="F19" s="31"/>
      <c r="G19" s="31"/>
      <c r="H19" s="31"/>
      <c r="I19" s="32"/>
      <c r="J19" s="31"/>
      <c r="K19" s="33"/>
    </row>
    <row r="20" spans="2:13" ht="18" customHeight="1" x14ac:dyDescent="0.25">
      <c r="B20" s="34">
        <v>1</v>
      </c>
      <c r="C20" s="35" t="s">
        <v>17</v>
      </c>
      <c r="D20" s="36">
        <f>IFERROR(HLOOKUP($J$1,[1]DB!$C$1:$K$172,20,FALSE),"")</f>
        <v>19</v>
      </c>
      <c r="E20" s="36">
        <f>SUMIFS('[1]Rincian Keluar'!$G:$G,'[1]Rincian Keluar'!$E:$E,'ILALANG 02'!C20,'[1]Rincian Keluar'!$D:$D,'ILALANG 02'!$D$1,'[1]Rincian Keluar'!$H:$H,'ILALANG 02'!$J$1,'[1]Rincian Keluar'!$F:$F,'ILALANG 02'!M20)</f>
        <v>15</v>
      </c>
      <c r="F20" s="37">
        <v>22000</v>
      </c>
      <c r="G20" s="38">
        <f>E20*F20</f>
        <v>330000</v>
      </c>
      <c r="H20" s="51">
        <v>504000</v>
      </c>
      <c r="I20" s="39">
        <f>IFERROR(VLOOKUP($C19,[1]HK!$B$5:$C$14,2,FALSE),"")*$J1</f>
        <v>600000</v>
      </c>
      <c r="J20" s="40">
        <f>I20-H20</f>
        <v>96000</v>
      </c>
      <c r="K20" s="41">
        <v>1</v>
      </c>
      <c r="M20" s="20" t="str">
        <f>$C$19</f>
        <v>COR LANTAI</v>
      </c>
    </row>
    <row r="21" spans="2:13" ht="18" customHeight="1" x14ac:dyDescent="0.25">
      <c r="B21" s="34">
        <v>2</v>
      </c>
      <c r="C21" s="35" t="s">
        <v>31</v>
      </c>
      <c r="D21" s="36">
        <f>IFERROR(HLOOKUP($J$1,[1]DB!$C$1:$K$172,21,FALSE),"")</f>
        <v>6</v>
      </c>
      <c r="E21" s="36">
        <f>SUMIFS('[1]Rincian Keluar'!$G:$G,'[1]Rincian Keluar'!$E:$E,'ILALANG 02'!C21,'[1]Rincian Keluar'!$D:$D,'ILALANG 02'!$D$1,'[1]Rincian Keluar'!$H:$H,'ILALANG 02'!$J$1,'[1]Rincian Keluar'!$F:$F,'ILALANG 02'!M21)</f>
        <v>2</v>
      </c>
      <c r="F21" s="37">
        <v>150000</v>
      </c>
      <c r="G21" s="38">
        <f t="shared" ref="G21:G23" si="4">E21*F21</f>
        <v>300000</v>
      </c>
      <c r="H21" s="53"/>
      <c r="I21" s="42"/>
      <c r="J21" s="43"/>
      <c r="K21" s="44"/>
      <c r="M21" s="20" t="str">
        <f t="shared" ref="M21:M23" si="5">$C$19</f>
        <v>COR LANTAI</v>
      </c>
    </row>
    <row r="22" spans="2:13" ht="18" customHeight="1" x14ac:dyDescent="0.25">
      <c r="B22" s="34">
        <v>3</v>
      </c>
      <c r="C22" s="45" t="s">
        <v>24</v>
      </c>
      <c r="D22" s="36">
        <f>IFERROR(HLOOKUP($J$1,[1]DB!$C$1:$K$172,22,FALSE),"")</f>
        <v>17</v>
      </c>
      <c r="E22" s="36">
        <f>SUMIFS('[1]Rincian Keluar'!$G:$G,'[1]Rincian Keluar'!$E:$E,'ILALANG 02'!C22,'[1]Rincian Keluar'!$D:$D,'ILALANG 02'!$D$1,'[1]Rincian Keluar'!$H:$H,'ILALANG 02'!$J$1,'[1]Rincian Keluar'!$F:$F,'ILALANG 02'!M22)</f>
        <v>11</v>
      </c>
      <c r="F22" s="37">
        <v>60700</v>
      </c>
      <c r="G22" s="38">
        <f t="shared" si="4"/>
        <v>667700</v>
      </c>
      <c r="H22" s="53"/>
      <c r="I22" s="42"/>
      <c r="J22" s="43"/>
      <c r="K22" s="44"/>
      <c r="M22" s="20" t="str">
        <f t="shared" si="5"/>
        <v>COR LANTAI</v>
      </c>
    </row>
    <row r="23" spans="2:13" ht="18" customHeight="1" x14ac:dyDescent="0.25">
      <c r="B23" s="34">
        <v>4</v>
      </c>
      <c r="C23" s="35" t="s">
        <v>32</v>
      </c>
      <c r="D23" s="36">
        <f>IFERROR(HLOOKUP($J$1,[1]DB!$C$1:$K$172,23,FALSE),"")</f>
        <v>8</v>
      </c>
      <c r="E23" s="36">
        <f>SUMIFS('[1]Rincian Keluar'!$G:$G,'[1]Rincian Keluar'!$E:$E,'ILALANG 02'!C23,'[1]Rincian Keluar'!$D:$D,'ILALANG 02'!$D$1,'[1]Rincian Keluar'!$H:$H,'ILALANG 02'!$J$1,'[1]Rincian Keluar'!$F:$F,'ILALANG 02'!M23)</f>
        <v>7</v>
      </c>
      <c r="F23" s="57">
        <v>15000</v>
      </c>
      <c r="G23" s="38">
        <f t="shared" si="4"/>
        <v>105000</v>
      </c>
      <c r="H23" s="55"/>
      <c r="I23" s="47"/>
      <c r="J23" s="48"/>
      <c r="K23" s="49"/>
      <c r="M23" s="20" t="str">
        <f t="shared" si="5"/>
        <v>COR LANTAI</v>
      </c>
    </row>
    <row r="24" spans="2:13" ht="18" customHeight="1" x14ac:dyDescent="0.25">
      <c r="B24" s="29" t="s">
        <v>33</v>
      </c>
      <c r="C24" s="58" t="s">
        <v>34</v>
      </c>
      <c r="D24" s="31"/>
      <c r="E24" s="31"/>
      <c r="F24" s="31"/>
      <c r="G24" s="31"/>
      <c r="H24" s="31"/>
      <c r="I24" s="32"/>
      <c r="J24" s="31"/>
      <c r="K24" s="33"/>
    </row>
    <row r="25" spans="2:13" ht="18" customHeight="1" x14ac:dyDescent="0.25">
      <c r="B25" s="34">
        <v>1</v>
      </c>
      <c r="C25" s="45" t="s">
        <v>35</v>
      </c>
      <c r="D25" s="36">
        <f>IFERROR(HLOOKUP($J$1,[1]DB!$C$1:$K$172,25,FALSE),"")</f>
        <v>1</v>
      </c>
      <c r="E25" s="36">
        <f>SUMIFS('[1]Rincian Keluar'!$G:$G,'[1]Rincian Keluar'!$E:$E,'ILALANG 02'!C25,'[1]Rincian Keluar'!$D:$D,'ILALANG 02'!$D$1,'[1]Rincian Keluar'!$H:$H,'ILALANG 02'!$J$1,'[1]Rincian Keluar'!$F:$F,'ILALANG 02'!M25)</f>
        <v>0</v>
      </c>
      <c r="F25" s="46">
        <v>1550000</v>
      </c>
      <c r="G25" s="59">
        <f>E25*F25</f>
        <v>0</v>
      </c>
      <c r="H25" s="60"/>
      <c r="I25" s="61" t="e">
        <f>IFERROR(VLOOKUP($C24,[1]HK!$B$5:$C$14,2,FALSE),"")*$J1</f>
        <v>#VALUE!</v>
      </c>
      <c r="J25" s="62"/>
      <c r="K25" s="63"/>
      <c r="M25" s="20" t="str">
        <f>$C$24</f>
        <v>PINTU</v>
      </c>
    </row>
    <row r="26" spans="2:13" ht="18" customHeight="1" x14ac:dyDescent="0.25">
      <c r="B26" s="34">
        <v>2</v>
      </c>
      <c r="C26" s="45" t="s">
        <v>36</v>
      </c>
      <c r="D26" s="36">
        <f>IFERROR(HLOOKUP($J$1,[1]DB!$C$1:$K$172,26,FALSE),"")</f>
        <v>3</v>
      </c>
      <c r="E26" s="36">
        <f>SUMIFS('[1]Rincian Keluar'!$G:$G,'[1]Rincian Keluar'!$E:$E,'ILALANG 02'!C26,'[1]Rincian Keluar'!$D:$D,'ILALANG 02'!$D$1,'[1]Rincian Keluar'!$H:$H,'ILALANG 02'!$J$1,'[1]Rincian Keluar'!$F:$F,'ILALANG 02'!M26)</f>
        <v>0</v>
      </c>
      <c r="F26" s="46">
        <v>775000</v>
      </c>
      <c r="G26" s="59">
        <f t="shared" ref="G26:G36" si="6">E26*F26</f>
        <v>0</v>
      </c>
      <c r="H26" s="60"/>
      <c r="I26" s="61"/>
      <c r="J26" s="62"/>
      <c r="K26" s="63"/>
      <c r="M26" s="20" t="str">
        <f t="shared" ref="M26:M36" si="7">$C$24</f>
        <v>PINTU</v>
      </c>
    </row>
    <row r="27" spans="2:13" ht="18" customHeight="1" x14ac:dyDescent="0.25">
      <c r="B27" s="34">
        <v>3</v>
      </c>
      <c r="C27" s="45" t="s">
        <v>37</v>
      </c>
      <c r="D27" s="36">
        <f>IFERROR(HLOOKUP($J$1,[1]DB!$C$1:$K$172,27,FALSE),"")</f>
        <v>2</v>
      </c>
      <c r="E27" s="36">
        <f>SUMIFS('[1]Rincian Keluar'!$G:$G,'[1]Rincian Keluar'!$E:$E,'ILALANG 02'!C27,'[1]Rincian Keluar'!$D:$D,'ILALANG 02'!$D$1,'[1]Rincian Keluar'!$H:$H,'ILALANG 02'!$J$1,'[1]Rincian Keluar'!$F:$F,'ILALANG 02'!M27)</f>
        <v>0</v>
      </c>
      <c r="F27" s="46">
        <v>260000</v>
      </c>
      <c r="G27" s="59">
        <f t="shared" si="6"/>
        <v>0</v>
      </c>
      <c r="H27" s="60"/>
      <c r="I27" s="61"/>
      <c r="J27" s="62"/>
      <c r="K27" s="63"/>
      <c r="M27" s="20" t="str">
        <f t="shared" si="7"/>
        <v>PINTU</v>
      </c>
    </row>
    <row r="28" spans="2:13" ht="18" customHeight="1" x14ac:dyDescent="0.25">
      <c r="B28" s="34">
        <v>4</v>
      </c>
      <c r="C28" s="45" t="s">
        <v>38</v>
      </c>
      <c r="D28" s="36">
        <f>IFERROR(HLOOKUP($J$1,[1]DB!$C$1:$K$172,28,FALSE),"")</f>
        <v>1</v>
      </c>
      <c r="E28" s="36">
        <f>SUMIFS('[1]Rincian Keluar'!$G:$G,'[1]Rincian Keluar'!$E:$E,'ILALANG 02'!C28,'[1]Rincian Keluar'!$D:$D,'ILALANG 02'!$D$1,'[1]Rincian Keluar'!$H:$H,'ILALANG 02'!$J$1,'[1]Rincian Keluar'!$F:$F,'ILALANG 02'!M28)</f>
        <v>0</v>
      </c>
      <c r="F28" s="46">
        <v>799000</v>
      </c>
      <c r="G28" s="59">
        <f t="shared" si="6"/>
        <v>0</v>
      </c>
      <c r="H28" s="60"/>
      <c r="I28" s="61"/>
      <c r="J28" s="62"/>
      <c r="K28" s="63"/>
      <c r="M28" s="20" t="str">
        <f t="shared" si="7"/>
        <v>PINTU</v>
      </c>
    </row>
    <row r="29" spans="2:13" ht="18" customHeight="1" x14ac:dyDescent="0.25">
      <c r="B29" s="34">
        <v>5</v>
      </c>
      <c r="C29" s="45" t="s">
        <v>39</v>
      </c>
      <c r="D29" s="36">
        <f>IFERROR(HLOOKUP($J$1,[1]DB!$C$1:$K$172,29,FALSE),"")</f>
        <v>15</v>
      </c>
      <c r="E29" s="36">
        <f>SUMIFS('[1]Rincian Keluar'!$G:$G,'[1]Rincian Keluar'!$E:$E,'ILALANG 02'!C29,'[1]Rincian Keluar'!$D:$D,'ILALANG 02'!$D$1,'[1]Rincian Keluar'!$H:$H,'ILALANG 02'!$J$1,'[1]Rincian Keluar'!$F:$F,'ILALANG 02'!M29)</f>
        <v>0</v>
      </c>
      <c r="F29" s="46">
        <v>15000</v>
      </c>
      <c r="G29" s="59">
        <f t="shared" si="6"/>
        <v>0</v>
      </c>
      <c r="H29" s="60"/>
      <c r="I29" s="61"/>
      <c r="J29" s="62"/>
      <c r="K29" s="63"/>
      <c r="M29" s="20" t="str">
        <f t="shared" si="7"/>
        <v>PINTU</v>
      </c>
    </row>
    <row r="30" spans="2:13" ht="18" customHeight="1" x14ac:dyDescent="0.25">
      <c r="B30" s="34">
        <v>6</v>
      </c>
      <c r="C30" s="45" t="s">
        <v>40</v>
      </c>
      <c r="D30" s="36">
        <f>IFERROR(HLOOKUP($J$1,[1]DB!$C$1:$K$172,30,FALSE),"")</f>
        <v>2</v>
      </c>
      <c r="E30" s="36">
        <f>SUMIFS('[1]Rincian Keluar'!$G:$G,'[1]Rincian Keluar'!$E:$E,'ILALANG 02'!C30,'[1]Rincian Keluar'!$D:$D,'ILALANG 02'!$D$1,'[1]Rincian Keluar'!$H:$H,'ILALANG 02'!$J$1,'[1]Rincian Keluar'!$F:$F,'ILALANG 02'!M30)</f>
        <v>0</v>
      </c>
      <c r="F30" s="46">
        <v>100000</v>
      </c>
      <c r="G30" s="59">
        <f t="shared" si="6"/>
        <v>0</v>
      </c>
      <c r="H30" s="60"/>
      <c r="I30" s="61"/>
      <c r="J30" s="62"/>
      <c r="K30" s="63"/>
      <c r="M30" s="20" t="str">
        <f t="shared" si="7"/>
        <v>PINTU</v>
      </c>
    </row>
    <row r="31" spans="2:13" ht="18" customHeight="1" x14ac:dyDescent="0.25">
      <c r="B31" s="34">
        <v>7</v>
      </c>
      <c r="C31" s="45" t="s">
        <v>41</v>
      </c>
      <c r="D31" s="36">
        <f>IFERROR(HLOOKUP($J$1,[1]DB!$C$1:$K$172,31,FALSE),"")</f>
        <v>1</v>
      </c>
      <c r="E31" s="36">
        <f>SUMIFS('[1]Rincian Keluar'!$G:$G,'[1]Rincian Keluar'!$E:$E,'ILALANG 02'!C31,'[1]Rincian Keluar'!$D:$D,'ILALANG 02'!$D$1,'[1]Rincian Keluar'!$H:$H,'ILALANG 02'!$J$1,'[1]Rincian Keluar'!$F:$F,'ILALANG 02'!M31)</f>
        <v>0</v>
      </c>
      <c r="F31" s="46">
        <v>60000</v>
      </c>
      <c r="G31" s="59">
        <f t="shared" si="6"/>
        <v>0</v>
      </c>
      <c r="H31" s="60"/>
      <c r="I31" s="61"/>
      <c r="J31" s="62"/>
      <c r="K31" s="63"/>
      <c r="M31" s="20" t="str">
        <f t="shared" si="7"/>
        <v>PINTU</v>
      </c>
    </row>
    <row r="32" spans="2:13" ht="18" customHeight="1" x14ac:dyDescent="0.25">
      <c r="B32" s="34">
        <v>8</v>
      </c>
      <c r="C32" s="45" t="s">
        <v>42</v>
      </c>
      <c r="D32" s="36">
        <f>IFERROR(HLOOKUP($J$1,[1]DB!$C$1:$K$172,32,FALSE),"")</f>
        <v>3</v>
      </c>
      <c r="E32" s="36">
        <f>SUMIFS('[1]Rincian Keluar'!$G:$G,'[1]Rincian Keluar'!$E:$E,'ILALANG 02'!C32,'[1]Rincian Keluar'!$D:$D,'ILALANG 02'!$D$1,'[1]Rincian Keluar'!$H:$H,'ILALANG 02'!$J$1,'[1]Rincian Keluar'!$F:$F,'ILALANG 02'!M32)</f>
        <v>0</v>
      </c>
      <c r="F32" s="46">
        <v>65000</v>
      </c>
      <c r="G32" s="59">
        <f t="shared" si="6"/>
        <v>0</v>
      </c>
      <c r="H32" s="60"/>
      <c r="I32" s="61"/>
      <c r="J32" s="62"/>
      <c r="K32" s="63"/>
      <c r="M32" s="20" t="str">
        <f t="shared" si="7"/>
        <v>PINTU</v>
      </c>
    </row>
    <row r="33" spans="1:13" ht="18" customHeight="1" x14ac:dyDescent="0.25">
      <c r="B33" s="34">
        <v>9</v>
      </c>
      <c r="C33" s="35" t="s">
        <v>43</v>
      </c>
      <c r="D33" s="36">
        <f>IFERROR(HLOOKUP($J$1,[1]DB!$C$1:$K$172,33,FALSE),"")</f>
        <v>4</v>
      </c>
      <c r="E33" s="36">
        <f>SUMIFS('[1]Rincian Keluar'!$G:$G,'[1]Rincian Keluar'!$E:$E,'ILALANG 02'!C33,'[1]Rincian Keluar'!$D:$D,'ILALANG 02'!$D$1,'[1]Rincian Keluar'!$H:$H,'ILALANG 02'!$J$1,'[1]Rincian Keluar'!$F:$F,'ILALANG 02'!M33)</f>
        <v>0</v>
      </c>
      <c r="F33" s="64">
        <v>83000</v>
      </c>
      <c r="G33" s="59">
        <f t="shared" si="6"/>
        <v>0</v>
      </c>
      <c r="H33" s="60"/>
      <c r="I33" s="61"/>
      <c r="J33" s="62"/>
      <c r="K33" s="63"/>
      <c r="M33" s="20" t="str">
        <f t="shared" si="7"/>
        <v>PINTU</v>
      </c>
    </row>
    <row r="34" spans="1:13" ht="18" customHeight="1" x14ac:dyDescent="0.25">
      <c r="B34" s="34">
        <v>10</v>
      </c>
      <c r="C34" s="35" t="s">
        <v>44</v>
      </c>
      <c r="D34" s="36">
        <f>IFERROR(HLOOKUP($J$1,[1]DB!$C$1:$K$172,34,FALSE),"")</f>
        <v>2</v>
      </c>
      <c r="E34" s="36">
        <f>SUMIFS('[1]Rincian Keluar'!$G:$G,'[1]Rincian Keluar'!$E:$E,'ILALANG 02'!C34,'[1]Rincian Keluar'!$D:$D,'ILALANG 02'!$D$1,'[1]Rincian Keluar'!$H:$H,'ILALANG 02'!$J$1,'[1]Rincian Keluar'!$F:$F,'ILALANG 02'!M34)</f>
        <v>0</v>
      </c>
      <c r="F34" s="64">
        <v>23000</v>
      </c>
      <c r="G34" s="59">
        <f t="shared" si="6"/>
        <v>0</v>
      </c>
      <c r="H34" s="60"/>
      <c r="I34" s="61"/>
      <c r="J34" s="62"/>
      <c r="K34" s="63"/>
      <c r="M34" s="20" t="str">
        <f t="shared" si="7"/>
        <v>PINTU</v>
      </c>
    </row>
    <row r="35" spans="1:13" ht="18" customHeight="1" x14ac:dyDescent="0.25">
      <c r="B35" s="34">
        <v>11</v>
      </c>
      <c r="C35" s="35" t="s">
        <v>45</v>
      </c>
      <c r="D35" s="36">
        <f>IFERROR(HLOOKUP($J$1,[1]DB!$C$1:$K$172,35,FALSE),"")</f>
        <v>1</v>
      </c>
      <c r="E35" s="36">
        <f>SUMIFS('[1]Rincian Keluar'!$G:$G,'[1]Rincian Keluar'!$E:$E,'ILALANG 02'!C35,'[1]Rincian Keluar'!$D:$D,'ILALANG 02'!$D$1,'[1]Rincian Keluar'!$H:$H,'ILALANG 02'!$J$1,'[1]Rincian Keluar'!$F:$F,'ILALANG 02'!M35)</f>
        <v>0</v>
      </c>
      <c r="F35" s="64">
        <v>17000</v>
      </c>
      <c r="G35" s="59">
        <f t="shared" si="6"/>
        <v>0</v>
      </c>
      <c r="H35" s="60"/>
      <c r="I35" s="61"/>
      <c r="J35" s="62"/>
      <c r="K35" s="63"/>
      <c r="M35" s="20" t="str">
        <f t="shared" si="7"/>
        <v>PINTU</v>
      </c>
    </row>
    <row r="36" spans="1:13" ht="18" customHeight="1" x14ac:dyDescent="0.25">
      <c r="B36" s="34">
        <v>12</v>
      </c>
      <c r="C36" s="35" t="s">
        <v>46</v>
      </c>
      <c r="D36" s="36">
        <f>IFERROR(HLOOKUP($J$1,[1]DB!$C$1:$K$172,36,FALSE),"")</f>
        <v>1</v>
      </c>
      <c r="E36" s="36">
        <f>SUMIFS('[1]Rincian Keluar'!$G:$G,'[1]Rincian Keluar'!$E:$E,'ILALANG 02'!C36,'[1]Rincian Keluar'!$D:$D,'ILALANG 02'!$D$1,'[1]Rincian Keluar'!$H:$H,'ILALANG 02'!$J$1,'[1]Rincian Keluar'!$F:$F,'ILALANG 02'!M36)</f>
        <v>0</v>
      </c>
      <c r="F36" s="64">
        <v>11000</v>
      </c>
      <c r="G36" s="59">
        <f t="shared" si="6"/>
        <v>0</v>
      </c>
      <c r="H36" s="60"/>
      <c r="I36" s="61"/>
      <c r="J36" s="62"/>
      <c r="K36" s="63"/>
      <c r="M36" s="20" t="str">
        <f t="shared" si="7"/>
        <v>PINTU</v>
      </c>
    </row>
    <row r="37" spans="1:13" ht="18" customHeight="1" x14ac:dyDescent="0.25">
      <c r="B37" s="91" t="s">
        <v>47</v>
      </c>
      <c r="C37" s="182" t="s">
        <v>48</v>
      </c>
      <c r="D37" s="93"/>
      <c r="E37" s="93"/>
      <c r="F37" s="93"/>
      <c r="G37" s="93"/>
      <c r="H37" s="93"/>
      <c r="I37" s="94"/>
      <c r="J37" s="93"/>
      <c r="K37" s="95"/>
      <c r="M37" s="20"/>
    </row>
    <row r="38" spans="1:13" s="66" customFormat="1" ht="18" customHeight="1" x14ac:dyDescent="0.25">
      <c r="B38" s="34">
        <v>1</v>
      </c>
      <c r="C38" s="45" t="s">
        <v>49</v>
      </c>
      <c r="D38" s="36">
        <f>IFERROR(HLOOKUP($J$1,[1]DB!$C$1:$K$172,38,FALSE),"")</f>
        <v>29</v>
      </c>
      <c r="E38" s="36">
        <f>SUMIFS('[1]Rincian Keluar'!$G:$G,'[1]Rincian Keluar'!$E:$E,'ILALANG 02'!C38,'[1]Rincian Keluar'!$D:$D,'ILALANG 02'!$D$1,'[1]Rincian Keluar'!$H:$H,'ILALANG 02'!$J$1,'[1]Rincian Keluar'!$F:$F,'ILALANG 02'!M38)</f>
        <v>29</v>
      </c>
      <c r="F38" s="37">
        <v>11000</v>
      </c>
      <c r="G38" s="67">
        <f>E38*F38</f>
        <v>319000</v>
      </c>
      <c r="H38" s="68">
        <v>4272500</v>
      </c>
      <c r="I38" s="61">
        <f>IFERROR(VLOOKUP($C37,[1]HK!$B$5:$C$14,2,FALSE),"")*$J1</f>
        <v>4170000</v>
      </c>
      <c r="J38" s="189">
        <f>I38-H38</f>
        <v>-102500</v>
      </c>
      <c r="K38" s="70">
        <v>1</v>
      </c>
      <c r="M38" s="20" t="str">
        <f>$C$37</f>
        <v>BATA</v>
      </c>
    </row>
    <row r="39" spans="1:13" s="66" customFormat="1" ht="18" customHeight="1" x14ac:dyDescent="0.25">
      <c r="B39" s="34">
        <v>2</v>
      </c>
      <c r="C39" s="45" t="s">
        <v>19</v>
      </c>
      <c r="D39" s="36">
        <f>IFERROR(HLOOKUP($J$1,[1]DB!$C$1:$K$172,39,FALSE),"")</f>
        <v>31</v>
      </c>
      <c r="E39" s="36">
        <f>SUMIFS('[1]Rincian Keluar'!$G:$G,'[1]Rincian Keluar'!$E:$E,'ILALANG 02'!C39,'[1]Rincian Keluar'!$D:$D,'ILALANG 02'!$D$1,'[1]Rincian Keluar'!$H:$H,'ILALANG 02'!$J$1,'[1]Rincian Keluar'!$F:$F,'ILALANG 02'!M39)</f>
        <v>37</v>
      </c>
      <c r="F39" s="46">
        <v>11000</v>
      </c>
      <c r="G39" s="67">
        <f t="shared" ref="G39:G59" si="8">E39*F39</f>
        <v>407000</v>
      </c>
      <c r="H39" s="68"/>
      <c r="I39" s="61"/>
      <c r="J39" s="190"/>
      <c r="K39" s="70"/>
      <c r="M39" s="20" t="str">
        <f t="shared" ref="M39:M59" si="9">$C$37</f>
        <v>BATA</v>
      </c>
    </row>
    <row r="40" spans="1:13" ht="18" customHeight="1" x14ac:dyDescent="0.25">
      <c r="B40" s="34">
        <v>3</v>
      </c>
      <c r="C40" s="45" t="s">
        <v>17</v>
      </c>
      <c r="D40" s="36">
        <f>IFERROR(HLOOKUP($J$1,[1]DB!$C$1:$K$172,40,FALSE),"")</f>
        <v>6</v>
      </c>
      <c r="E40" s="36">
        <f>SUMIFS('[1]Rincian Keluar'!$G:$G,'[1]Rincian Keluar'!$E:$E,'ILALANG 02'!C40,'[1]Rincian Keluar'!$D:$D,'ILALANG 02'!$D$1,'[1]Rincian Keluar'!$H:$H,'ILALANG 02'!$J$1,'[1]Rincian Keluar'!$F:$F,'ILALANG 02'!M40)</f>
        <v>6</v>
      </c>
      <c r="F40" s="37">
        <v>22000</v>
      </c>
      <c r="G40" s="67">
        <f t="shared" si="8"/>
        <v>132000</v>
      </c>
      <c r="H40" s="68"/>
      <c r="I40" s="61"/>
      <c r="J40" s="190"/>
      <c r="K40" s="70"/>
      <c r="M40" s="20" t="str">
        <f t="shared" si="9"/>
        <v>BATA</v>
      </c>
    </row>
    <row r="41" spans="1:13" ht="18" customHeight="1" x14ac:dyDescent="0.25">
      <c r="B41" s="34">
        <v>4</v>
      </c>
      <c r="C41" s="45" t="s">
        <v>50</v>
      </c>
      <c r="D41" s="36">
        <f>IFERROR(HLOOKUP($J$1,[1]DB!$C$1:$K$172,41,FALSE),"")</f>
        <v>10</v>
      </c>
      <c r="E41" s="36">
        <f>SUMIFS('[1]Rincian Keluar'!$G:$G,'[1]Rincian Keluar'!$E:$E,'ILALANG 02'!C41,'[1]Rincian Keluar'!$D:$D,'ILALANG 02'!$D$1,'[1]Rincian Keluar'!$H:$H,'ILALANG 02'!$J$1,'[1]Rincian Keluar'!$F:$F,'ILALANG 02'!M41)</f>
        <v>10</v>
      </c>
      <c r="F41" s="37">
        <v>35000</v>
      </c>
      <c r="G41" s="67">
        <f t="shared" si="8"/>
        <v>350000</v>
      </c>
      <c r="H41" s="68"/>
      <c r="I41" s="61"/>
      <c r="J41" s="190"/>
      <c r="K41" s="70"/>
      <c r="M41" s="20" t="str">
        <f t="shared" si="9"/>
        <v>BATA</v>
      </c>
    </row>
    <row r="42" spans="1:13" ht="18" customHeight="1" x14ac:dyDescent="0.25">
      <c r="B42" s="34">
        <v>5</v>
      </c>
      <c r="C42" s="45" t="s">
        <v>51</v>
      </c>
      <c r="D42" s="36">
        <f>IFERROR(HLOOKUP($J$1,[1]DB!$C$1:$K$172,42,FALSE),"")</f>
        <v>3</v>
      </c>
      <c r="E42" s="36">
        <f>SUMIFS('[1]Rincian Keluar'!$G:$G,'[1]Rincian Keluar'!$E:$E,'ILALANG 02'!C42,'[1]Rincian Keluar'!$D:$D,'ILALANG 02'!$D$1,'[1]Rincian Keluar'!$H:$H,'ILALANG 02'!$J$1,'[1]Rincian Keluar'!$F:$F,'ILALANG 02'!M42)</f>
        <v>4</v>
      </c>
      <c r="F42" s="37">
        <f>F40</f>
        <v>22000</v>
      </c>
      <c r="G42" s="67">
        <f t="shared" si="8"/>
        <v>88000</v>
      </c>
      <c r="H42" s="68"/>
      <c r="I42" s="61"/>
      <c r="J42" s="190"/>
      <c r="K42" s="70"/>
      <c r="M42" s="20" t="str">
        <f t="shared" si="9"/>
        <v>BATA</v>
      </c>
    </row>
    <row r="43" spans="1:13" ht="18" customHeight="1" x14ac:dyDescent="0.25">
      <c r="B43" s="34">
        <v>6</v>
      </c>
      <c r="C43" s="45" t="s">
        <v>52</v>
      </c>
      <c r="D43" s="36">
        <f>IFERROR(HLOOKUP($J$1,[1]DB!$C$1:$K$172,43,FALSE),"")</f>
        <v>1</v>
      </c>
      <c r="E43" s="36">
        <f>SUMIFS('[1]Rincian Keluar'!$G:$G,'[1]Rincian Keluar'!$E:$E,'ILALANG 02'!C43,'[1]Rincian Keluar'!$D:$D,'ILALANG 02'!$D$1,'[1]Rincian Keluar'!$H:$H,'ILALANG 02'!$J$1,'[1]Rincian Keluar'!$F:$F,'ILALANG 02'!M43)</f>
        <v>3</v>
      </c>
      <c r="F43" s="46">
        <v>363250</v>
      </c>
      <c r="G43" s="67">
        <f t="shared" si="8"/>
        <v>1089750</v>
      </c>
      <c r="H43" s="68"/>
      <c r="I43" s="61"/>
      <c r="J43" s="190"/>
      <c r="K43" s="70"/>
      <c r="M43" s="20" t="str">
        <f t="shared" si="9"/>
        <v>BATA</v>
      </c>
    </row>
    <row r="44" spans="1:13" ht="18" customHeight="1" x14ac:dyDescent="0.25">
      <c r="B44" s="34">
        <v>7</v>
      </c>
      <c r="C44" s="45" t="s">
        <v>53</v>
      </c>
      <c r="D44" s="36">
        <f>IFERROR(HLOOKUP($J$1,[1]DB!$C$1:$K$172,44,FALSE),"")</f>
        <v>3</v>
      </c>
      <c r="E44" s="36">
        <f>SUMIFS('[1]Rincian Keluar'!$G:$G,'[1]Rincian Keluar'!$E:$E,'ILALANG 02'!C44,'[1]Rincian Keluar'!$D:$D,'ILALANG 02'!$D$1,'[1]Rincian Keluar'!$H:$H,'ILALANG 02'!$J$1,'[1]Rincian Keluar'!$F:$F,'ILALANG 02'!M44)</f>
        <v>1</v>
      </c>
      <c r="F44" s="46">
        <v>337050</v>
      </c>
      <c r="G44" s="67">
        <f t="shared" si="8"/>
        <v>337050</v>
      </c>
      <c r="H44" s="68"/>
      <c r="I44" s="61"/>
      <c r="J44" s="190"/>
      <c r="K44" s="70"/>
      <c r="M44" s="20" t="str">
        <f t="shared" si="9"/>
        <v>BATA</v>
      </c>
    </row>
    <row r="45" spans="1:13" ht="18" customHeight="1" x14ac:dyDescent="0.25">
      <c r="B45" s="34">
        <v>8</v>
      </c>
      <c r="C45" s="72" t="s">
        <v>54</v>
      </c>
      <c r="D45" s="36">
        <f>IFERROR(HLOOKUP($J$1,[1]DB!$C$1:$K$172,45,FALSE),"")</f>
        <v>2795</v>
      </c>
      <c r="E45" s="36">
        <f>SUMIFS('[1]Rincian Keluar'!$G:$G,'[1]Rincian Keluar'!$E:$E,'ILALANG 02'!C45,'[1]Rincian Keluar'!$D:$D,'ILALANG 02'!$D$1,'[1]Rincian Keluar'!$H:$H,'ILALANG 02'!$J$1,'[1]Rincian Keluar'!$F:$F,'ILALANG 02'!M45)</f>
        <v>2719</v>
      </c>
      <c r="F45" s="37">
        <v>1850</v>
      </c>
      <c r="G45" s="67">
        <f t="shared" si="8"/>
        <v>5030150</v>
      </c>
      <c r="H45" s="68"/>
      <c r="I45" s="61"/>
      <c r="J45" s="190"/>
      <c r="K45" s="70"/>
      <c r="M45" s="20" t="str">
        <f t="shared" si="9"/>
        <v>BATA</v>
      </c>
    </row>
    <row r="46" spans="1:13" ht="18" customHeight="1" x14ac:dyDescent="0.25">
      <c r="B46" s="34">
        <v>9</v>
      </c>
      <c r="C46" s="45" t="s">
        <v>24</v>
      </c>
      <c r="D46" s="36">
        <f>IFERROR(HLOOKUP($J$1,[1]DB!$C$1:$K$172,46,FALSE),"")</f>
        <v>23</v>
      </c>
      <c r="E46" s="36">
        <f>SUMIFS('[1]Rincian Keluar'!$G:$G,'[1]Rincian Keluar'!$E:$E,'ILALANG 02'!C46,'[1]Rincian Keluar'!$D:$D,'ILALANG 02'!$D$1,'[1]Rincian Keluar'!$H:$H,'ILALANG 02'!$J$1,'[1]Rincian Keluar'!$F:$F,'ILALANG 02'!M46)</f>
        <v>24</v>
      </c>
      <c r="F46" s="37">
        <v>60700</v>
      </c>
      <c r="G46" s="67">
        <f t="shared" si="8"/>
        <v>1456800</v>
      </c>
      <c r="H46" s="68"/>
      <c r="I46" s="61"/>
      <c r="J46" s="190"/>
      <c r="K46" s="70"/>
      <c r="M46" s="20" t="str">
        <f t="shared" si="9"/>
        <v>BATA</v>
      </c>
    </row>
    <row r="47" spans="1:13" ht="18" customHeight="1" x14ac:dyDescent="0.25">
      <c r="B47" s="34">
        <v>10</v>
      </c>
      <c r="C47" s="72" t="s">
        <v>31</v>
      </c>
      <c r="D47" s="36">
        <f>IFERROR(HLOOKUP($J$1,[1]DB!$C$1:$K$172,47,FALSE),"")</f>
        <v>6</v>
      </c>
      <c r="E47" s="36">
        <f>SUMIFS('[1]Rincian Keluar'!$G:$G,'[1]Rincian Keluar'!$E:$E,'ILALANG 02'!C47,'[1]Rincian Keluar'!$D:$D,'ILALANG 02'!$D$1,'[1]Rincian Keluar'!$H:$H,'ILALANG 02'!$J$1,'[1]Rincian Keluar'!$F:$F,'ILALANG 02'!M47)</f>
        <v>5</v>
      </c>
      <c r="F47" s="37">
        <v>150000</v>
      </c>
      <c r="G47" s="67">
        <f t="shared" si="8"/>
        <v>750000</v>
      </c>
      <c r="H47" s="68"/>
      <c r="I47" s="61"/>
      <c r="J47" s="190"/>
      <c r="K47" s="70"/>
      <c r="M47" s="20" t="str">
        <f t="shared" si="9"/>
        <v>BATA</v>
      </c>
    </row>
    <row r="48" spans="1:13" s="20" customFormat="1" ht="18" customHeight="1" x14ac:dyDescent="0.25">
      <c r="A48" s="1"/>
      <c r="B48" s="34">
        <v>11</v>
      </c>
      <c r="C48" s="72" t="s">
        <v>17</v>
      </c>
      <c r="D48" s="36">
        <f>IFERROR(HLOOKUP($J$1,[1]DB!$C$1:$K$172,48,FALSE),"")</f>
        <v>6</v>
      </c>
      <c r="E48" s="36">
        <f>SUMIFS('[1]Rincian Keluar'!$G:$G,'[1]Rincian Keluar'!$E:$E,'ILALANG 02'!C48,'[1]Rincian Keluar'!$D:$D,'ILALANG 02'!$D$1,'[1]Rincian Keluar'!$H:$H,'ILALANG 02'!$J$1,'[1]Rincian Keluar'!$F:$F,'ILALANG 02'!M48)</f>
        <v>6</v>
      </c>
      <c r="F48" s="64">
        <f>F7</f>
        <v>21500</v>
      </c>
      <c r="G48" s="67">
        <f t="shared" si="8"/>
        <v>129000</v>
      </c>
      <c r="H48" s="68"/>
      <c r="I48" s="61"/>
      <c r="J48" s="190"/>
      <c r="K48" s="70"/>
      <c r="M48" s="20" t="str">
        <f t="shared" si="9"/>
        <v>BATA</v>
      </c>
    </row>
    <row r="49" spans="1:15" s="20" customFormat="1" ht="18" customHeight="1" x14ac:dyDescent="0.25">
      <c r="A49" s="1"/>
      <c r="B49" s="29" t="s">
        <v>55</v>
      </c>
      <c r="C49" s="65" t="s">
        <v>56</v>
      </c>
      <c r="D49" s="73"/>
      <c r="E49" s="73"/>
      <c r="F49" s="73"/>
      <c r="G49" s="74"/>
      <c r="H49" s="68"/>
      <c r="I49" s="61"/>
      <c r="J49" s="190"/>
      <c r="K49" s="70"/>
      <c r="M49" s="20" t="str">
        <f t="shared" si="9"/>
        <v>BATA</v>
      </c>
    </row>
    <row r="50" spans="1:15" s="20" customFormat="1" ht="18" customHeight="1" x14ac:dyDescent="0.25">
      <c r="A50" s="1"/>
      <c r="B50" s="34">
        <v>1</v>
      </c>
      <c r="C50" s="45" t="s">
        <v>24</v>
      </c>
      <c r="D50" s="36">
        <f>IFERROR(HLOOKUP($J$1,[1]DB!$C$1:$K$172,50,FALSE),"")</f>
        <v>6</v>
      </c>
      <c r="E50" s="36">
        <f>SUMIFS('[1]Rincian Keluar'!$G:$G,'[1]Rincian Keluar'!$E:$E,'ILALANG 02'!C50,'[1]Rincian Keluar'!$D:$D,'ILALANG 02'!$D$1,'[1]Rincian Keluar'!$H:$H,'ILALANG 02'!$J$1,'[1]Rincian Keluar'!$F:$F,'ILALANG 02'!M50)</f>
        <v>24</v>
      </c>
      <c r="F50" s="37">
        <v>60700</v>
      </c>
      <c r="G50" s="67">
        <f t="shared" si="8"/>
        <v>1456800</v>
      </c>
      <c r="H50" s="68"/>
      <c r="I50" s="61"/>
      <c r="J50" s="190"/>
      <c r="K50" s="70"/>
      <c r="M50" s="20" t="str">
        <f t="shared" si="9"/>
        <v>BATA</v>
      </c>
    </row>
    <row r="51" spans="1:15" s="20" customFormat="1" ht="18" customHeight="1" x14ac:dyDescent="0.25">
      <c r="A51" s="1"/>
      <c r="B51" s="34">
        <v>2</v>
      </c>
      <c r="C51" s="72" t="s">
        <v>31</v>
      </c>
      <c r="D51" s="36">
        <f>IFERROR(HLOOKUP($J$1,[1]DB!$C$1:$K$172,51,FALSE),"")</f>
        <v>2</v>
      </c>
      <c r="E51" s="36">
        <f>SUMIFS('[1]Rincian Keluar'!$G:$G,'[1]Rincian Keluar'!$E:$E,'ILALANG 02'!C51,'[1]Rincian Keluar'!$D:$D,'ILALANG 02'!$D$1,'[1]Rincian Keluar'!$H:$H,'ILALANG 02'!$J$1,'[1]Rincian Keluar'!$F:$F,'ILALANG 02'!M51)</f>
        <v>5</v>
      </c>
      <c r="F51" s="37">
        <v>150000</v>
      </c>
      <c r="G51" s="67">
        <f t="shared" si="8"/>
        <v>750000</v>
      </c>
      <c r="H51" s="68"/>
      <c r="I51" s="61"/>
      <c r="J51" s="190"/>
      <c r="K51" s="70"/>
      <c r="M51" s="20" t="str">
        <f t="shared" si="9"/>
        <v>BATA</v>
      </c>
    </row>
    <row r="52" spans="1:15" s="20" customFormat="1" ht="18" customHeight="1" x14ac:dyDescent="0.25">
      <c r="A52" s="1"/>
      <c r="B52" s="34">
        <v>3</v>
      </c>
      <c r="C52" s="72" t="s">
        <v>23</v>
      </c>
      <c r="D52" s="36">
        <f>IFERROR(HLOOKUP($J$1,[1]DB!$C$1:$K$172,52,FALSE),"")</f>
        <v>3</v>
      </c>
      <c r="E52" s="36">
        <f>SUMIFS('[1]Rincian Keluar'!$G:$G,'[1]Rincian Keluar'!$E:$E,'ILALANG 02'!C52,'[1]Rincian Keluar'!$D:$D,'ILALANG 02'!$D$1,'[1]Rincian Keluar'!$H:$H,'ILALANG 02'!$J$1,'[1]Rincian Keluar'!$F:$F,'ILALANG 02'!M52)</f>
        <v>0</v>
      </c>
      <c r="F52" s="37"/>
      <c r="G52" s="67">
        <f t="shared" si="8"/>
        <v>0</v>
      </c>
      <c r="H52" s="68"/>
      <c r="I52" s="61"/>
      <c r="J52" s="190"/>
      <c r="K52" s="70"/>
      <c r="M52" s="20" t="str">
        <f t="shared" si="9"/>
        <v>BATA</v>
      </c>
    </row>
    <row r="53" spans="1:15" s="20" customFormat="1" ht="18" customHeight="1" x14ac:dyDescent="0.25">
      <c r="A53" s="1"/>
      <c r="B53" s="34">
        <v>4</v>
      </c>
      <c r="C53" s="45" t="s">
        <v>51</v>
      </c>
      <c r="D53" s="36">
        <f>IFERROR(HLOOKUP($J$1,[1]DB!$C$1:$K$172,53,FALSE),"")</f>
        <v>4</v>
      </c>
      <c r="E53" s="36">
        <f>SUMIFS('[1]Rincian Keluar'!$G:$G,'[1]Rincian Keluar'!$E:$E,'ILALANG 02'!C53,'[1]Rincian Keluar'!$D:$D,'ILALANG 02'!$D$1,'[1]Rincian Keluar'!$H:$H,'ILALANG 02'!$J$1,'[1]Rincian Keluar'!$F:$F,'ILALANG 02'!M53)</f>
        <v>4</v>
      </c>
      <c r="F53" s="37">
        <v>22000</v>
      </c>
      <c r="G53" s="67">
        <f t="shared" si="8"/>
        <v>88000</v>
      </c>
      <c r="H53" s="68"/>
      <c r="I53" s="61"/>
      <c r="J53" s="190"/>
      <c r="K53" s="70"/>
      <c r="M53" s="20" t="str">
        <f t="shared" si="9"/>
        <v>BATA</v>
      </c>
    </row>
    <row r="54" spans="1:15" s="20" customFormat="1" ht="18" customHeight="1" x14ac:dyDescent="0.25">
      <c r="A54" s="1"/>
      <c r="B54" s="34">
        <v>5</v>
      </c>
      <c r="C54" s="45" t="s">
        <v>57</v>
      </c>
      <c r="D54" s="36">
        <f>IFERROR(HLOOKUP($J$1,[1]DB!$C$1:$K$172,54,FALSE),"")</f>
        <v>5</v>
      </c>
      <c r="E54" s="36">
        <f>SUMIFS('[1]Rincian Keluar'!$G:$G,'[1]Rincian Keluar'!$E:$E,'ILALANG 02'!C54,'[1]Rincian Keluar'!$D:$D,'ILALANG 02'!$D$1,'[1]Rincian Keluar'!$H:$H,'ILALANG 02'!$J$1,'[1]Rincian Keluar'!$F:$F,'ILALANG 02'!M54)</f>
        <v>2</v>
      </c>
      <c r="F54" s="37">
        <v>35000</v>
      </c>
      <c r="G54" s="67">
        <f t="shared" si="8"/>
        <v>70000</v>
      </c>
      <c r="H54" s="68"/>
      <c r="I54" s="61"/>
      <c r="J54" s="190"/>
      <c r="K54" s="70"/>
      <c r="M54" s="20" t="str">
        <f t="shared" si="9"/>
        <v>BATA</v>
      </c>
    </row>
    <row r="55" spans="1:15" s="20" customFormat="1" ht="18" customHeight="1" x14ac:dyDescent="0.25">
      <c r="A55" s="1"/>
      <c r="B55" s="34">
        <v>6</v>
      </c>
      <c r="C55" s="45" t="s">
        <v>58</v>
      </c>
      <c r="D55" s="36">
        <f>IFERROR(HLOOKUP($J$1,[1]DB!$C$1:$K$172,55,FALSE),"")</f>
        <v>2</v>
      </c>
      <c r="E55" s="36">
        <f>SUMIFS('[1]Rincian Keluar'!$G:$G,'[1]Rincian Keluar'!$E:$E,'ILALANG 02'!C55,'[1]Rincian Keluar'!$D:$D,'ILALANG 02'!$D$1,'[1]Rincian Keluar'!$H:$H,'ILALANG 02'!$J$1,'[1]Rincian Keluar'!$F:$F,'ILALANG 02'!M55)</f>
        <v>2</v>
      </c>
      <c r="F55" s="37">
        <v>130000</v>
      </c>
      <c r="G55" s="67">
        <f t="shared" si="8"/>
        <v>260000</v>
      </c>
      <c r="H55" s="68"/>
      <c r="I55" s="61"/>
      <c r="J55" s="190"/>
      <c r="K55" s="70"/>
      <c r="M55" s="20" t="str">
        <f t="shared" si="9"/>
        <v>BATA</v>
      </c>
    </row>
    <row r="56" spans="1:15" s="20" customFormat="1" ht="18" customHeight="1" x14ac:dyDescent="0.25">
      <c r="A56" s="1"/>
      <c r="B56" s="34">
        <v>7</v>
      </c>
      <c r="C56" s="45" t="s">
        <v>19</v>
      </c>
      <c r="D56" s="36">
        <f>IFERROR(HLOOKUP($J$1,[1]DB!$C$1:$K$172,56,FALSE),"")</f>
        <v>24</v>
      </c>
      <c r="E56" s="36">
        <f>SUMIFS('[1]Rincian Keluar'!$G:$G,'[1]Rincian Keluar'!$E:$E,'ILALANG 02'!C56,'[1]Rincian Keluar'!$D:$D,'ILALANG 02'!$D$1,'[1]Rincian Keluar'!$H:$H,'ILALANG 02'!$J$1,'[1]Rincian Keluar'!$F:$F,'ILALANG 02'!M56)</f>
        <v>37</v>
      </c>
      <c r="F56" s="46">
        <v>11000</v>
      </c>
      <c r="G56" s="67">
        <f t="shared" si="8"/>
        <v>407000</v>
      </c>
      <c r="H56" s="68"/>
      <c r="I56" s="61"/>
      <c r="J56" s="190"/>
      <c r="K56" s="70"/>
      <c r="M56" s="20" t="str">
        <f t="shared" si="9"/>
        <v>BATA</v>
      </c>
    </row>
    <row r="57" spans="1:15" s="20" customFormat="1" ht="18" customHeight="1" x14ac:dyDescent="0.25">
      <c r="A57" s="1"/>
      <c r="B57" s="34">
        <v>8</v>
      </c>
      <c r="C57" s="45" t="s">
        <v>54</v>
      </c>
      <c r="D57" s="36">
        <f>IFERROR(HLOOKUP($J$1,[1]DB!$C$1:$K$172,57,FALSE),"")</f>
        <v>89</v>
      </c>
      <c r="E57" s="36">
        <f>SUMIFS('[1]Rincian Keluar'!$G:$G,'[1]Rincian Keluar'!$E:$E,'ILALANG 02'!C57,'[1]Rincian Keluar'!$D:$D,'ILALANG 02'!$D$1,'[1]Rincian Keluar'!$H:$H,'ILALANG 02'!$J$1,'[1]Rincian Keluar'!$F:$F,'ILALANG 02'!M57)</f>
        <v>2719</v>
      </c>
      <c r="F57" s="37">
        <v>1850</v>
      </c>
      <c r="G57" s="67">
        <f t="shared" si="8"/>
        <v>5030150</v>
      </c>
      <c r="H57" s="68"/>
      <c r="I57" s="61"/>
      <c r="J57" s="190"/>
      <c r="K57" s="70"/>
      <c r="M57" s="20" t="str">
        <f t="shared" si="9"/>
        <v>BATA</v>
      </c>
    </row>
    <row r="58" spans="1:15" s="20" customFormat="1" ht="18" customHeight="1" x14ac:dyDescent="0.25">
      <c r="A58" s="1"/>
      <c r="B58" s="34">
        <v>9</v>
      </c>
      <c r="C58" s="45" t="s">
        <v>20</v>
      </c>
      <c r="D58" s="36">
        <f>IFERROR(HLOOKUP($J$1,[1]DB!$C$1:$K$172,58,FALSE),"")</f>
        <v>9</v>
      </c>
      <c r="E58" s="36">
        <f>SUMIFS('[1]Rincian Keluar'!$G:$G,'[1]Rincian Keluar'!$E:$E,'ILALANG 02'!C58,'[1]Rincian Keluar'!$D:$D,'ILALANG 02'!$D$1,'[1]Rincian Keluar'!$H:$H,'ILALANG 02'!$J$1,'[1]Rincian Keluar'!$F:$F,'ILALANG 02'!M58)</f>
        <v>9</v>
      </c>
      <c r="F58" s="37">
        <v>8000</v>
      </c>
      <c r="G58" s="67">
        <f t="shared" si="8"/>
        <v>72000</v>
      </c>
      <c r="H58" s="68"/>
      <c r="I58" s="61"/>
      <c r="J58" s="190"/>
      <c r="K58" s="70"/>
      <c r="M58" s="20" t="str">
        <f t="shared" si="9"/>
        <v>BATA</v>
      </c>
    </row>
    <row r="59" spans="1:15" s="20" customFormat="1" ht="18" customHeight="1" x14ac:dyDescent="0.25">
      <c r="A59" s="1"/>
      <c r="B59" s="34">
        <v>10</v>
      </c>
      <c r="C59" s="45" t="s">
        <v>21</v>
      </c>
      <c r="D59" s="36">
        <f>IFERROR(HLOOKUP($J$1,[1]DB!$C$1:$K$172,59,FALSE),"")</f>
        <v>8</v>
      </c>
      <c r="E59" s="36">
        <f>SUMIFS('[1]Rincian Keluar'!$G:$G,'[1]Rincian Keluar'!$E:$E,'ILALANG 02'!C59,'[1]Rincian Keluar'!$D:$D,'ILALANG 02'!$D$1,'[1]Rincian Keluar'!$H:$H,'ILALANG 02'!$J$1,'[1]Rincian Keluar'!$F:$F,'ILALANG 02'!M59)</f>
        <v>8</v>
      </c>
      <c r="F59" s="37">
        <v>11000</v>
      </c>
      <c r="G59" s="67">
        <f t="shared" si="8"/>
        <v>88000</v>
      </c>
      <c r="H59" s="68"/>
      <c r="I59" s="61"/>
      <c r="J59" s="190"/>
      <c r="K59" s="70"/>
      <c r="M59" s="20" t="str">
        <f t="shared" si="9"/>
        <v>BATA</v>
      </c>
    </row>
    <row r="60" spans="1:15" s="20" customFormat="1" ht="18" customHeight="1" x14ac:dyDescent="0.25">
      <c r="A60" s="1"/>
      <c r="B60" s="91" t="s">
        <v>59</v>
      </c>
      <c r="C60" s="182" t="s">
        <v>60</v>
      </c>
      <c r="D60" s="93"/>
      <c r="E60" s="93"/>
      <c r="F60" s="93"/>
      <c r="G60" s="93"/>
      <c r="H60" s="93"/>
      <c r="I60" s="94"/>
      <c r="J60" s="93"/>
      <c r="K60" s="95"/>
    </row>
    <row r="61" spans="1:15" s="20" customFormat="1" ht="18" customHeight="1" x14ac:dyDescent="0.25">
      <c r="A61" s="1"/>
      <c r="B61" s="34">
        <v>1</v>
      </c>
      <c r="C61" s="45" t="s">
        <v>24</v>
      </c>
      <c r="D61" s="36">
        <f>IFERROR(HLOOKUP($J$1,[1]DB!$C$1:$K$172,61,FALSE),"")</f>
        <v>42</v>
      </c>
      <c r="E61" s="36">
        <f>SUMIFS('[1]Rincian Keluar'!$G:$G,'[1]Rincian Keluar'!$E:$E,'ILALANG 02'!C61,'[1]Rincian Keluar'!$D:$D,'ILALANG 02'!$D$1,'[1]Rincian Keluar'!$H:$H,'ILALANG 02'!$J$1,'[1]Rincian Keluar'!$F:$F,'ILALANG 02'!M61)</f>
        <v>47</v>
      </c>
      <c r="F61" s="37">
        <v>60700</v>
      </c>
      <c r="G61" s="75">
        <f>E61*F61</f>
        <v>2852900</v>
      </c>
      <c r="H61" s="51">
        <v>4030000</v>
      </c>
      <c r="I61" s="191">
        <f>IFERROR(VLOOKUP($C60,[1]HK!$B$5:$C$14,2,FALSE),"")*$J1</f>
        <v>3750000</v>
      </c>
      <c r="J61" s="77">
        <f>I61-H61</f>
        <v>-280000</v>
      </c>
      <c r="K61" s="41">
        <v>1</v>
      </c>
      <c r="M61" s="20" t="str">
        <f>$C$60</f>
        <v>PLASTER</v>
      </c>
      <c r="O61" s="20" t="s">
        <v>61</v>
      </c>
    </row>
    <row r="62" spans="1:15" s="20" customFormat="1" ht="18" customHeight="1" x14ac:dyDescent="0.25">
      <c r="A62" s="1"/>
      <c r="B62" s="34">
        <v>2</v>
      </c>
      <c r="C62" s="72" t="s">
        <v>31</v>
      </c>
      <c r="D62" s="36">
        <f>IFERROR(HLOOKUP($J$1,[1]DB!$C$1:$K$172,62,FALSE),"")</f>
        <v>9</v>
      </c>
      <c r="E62" s="36">
        <f>SUMIFS('[1]Rincian Keluar'!$G:$G,'[1]Rincian Keluar'!$E:$E,'ILALANG 02'!C62,'[1]Rincian Keluar'!$D:$D,'ILALANG 02'!$D$1,'[1]Rincian Keluar'!$H:$H,'ILALANG 02'!$J$1,'[1]Rincian Keluar'!$F:$F,'ILALANG 02'!M62)</f>
        <v>8</v>
      </c>
      <c r="F62" s="37">
        <v>150000</v>
      </c>
      <c r="G62" s="75">
        <f t="shared" ref="G62:G63" si="10">E62*F62</f>
        <v>1200000</v>
      </c>
      <c r="H62" s="53"/>
      <c r="I62" s="192"/>
      <c r="J62" s="79"/>
      <c r="K62" s="44"/>
      <c r="M62" s="20" t="str">
        <f t="shared" ref="M62:M63" si="11">$C$60</f>
        <v>PLASTER</v>
      </c>
    </row>
    <row r="63" spans="1:15" ht="18" customHeight="1" x14ac:dyDescent="0.25">
      <c r="B63" s="34">
        <v>3</v>
      </c>
      <c r="C63" s="72" t="s">
        <v>62</v>
      </c>
      <c r="D63" s="36">
        <f>IFERROR(HLOOKUP($J$1,[1]DB!$C$1:$K$172,63,FALSE),"")</f>
        <v>8</v>
      </c>
      <c r="E63" s="36">
        <f>SUMIFS('[1]Rincian Keluar'!$G:$G,'[1]Rincian Keluar'!$E:$E,'ILALANG 02'!C63,'[1]Rincian Keluar'!$D:$D,'ILALANG 02'!$D$1,'[1]Rincian Keluar'!$H:$H,'ILALANG 02'!$J$1,'[1]Rincian Keluar'!$F:$F,'ILALANG 02'!M63)</f>
        <v>8</v>
      </c>
      <c r="F63" s="57">
        <v>8600</v>
      </c>
      <c r="G63" s="75">
        <f t="shared" si="10"/>
        <v>68800</v>
      </c>
      <c r="H63" s="55"/>
      <c r="I63" s="193"/>
      <c r="J63" s="81"/>
      <c r="K63" s="49"/>
      <c r="M63" s="20" t="str">
        <f t="shared" si="11"/>
        <v>PLASTER</v>
      </c>
    </row>
    <row r="64" spans="1:15" ht="18" customHeight="1" x14ac:dyDescent="0.25">
      <c r="B64" s="29" t="s">
        <v>63</v>
      </c>
      <c r="C64" s="50" t="s">
        <v>64</v>
      </c>
      <c r="D64" s="31"/>
      <c r="E64" s="31"/>
      <c r="F64" s="31"/>
      <c r="G64" s="31"/>
      <c r="H64" s="31"/>
      <c r="I64" s="32"/>
      <c r="J64" s="31"/>
      <c r="K64" s="33"/>
      <c r="M64" s="20"/>
    </row>
    <row r="65" spans="1:13" ht="18" customHeight="1" x14ac:dyDescent="0.25">
      <c r="B65" s="34">
        <v>1</v>
      </c>
      <c r="C65" s="45" t="s">
        <v>19</v>
      </c>
      <c r="D65" s="36">
        <f>IFERROR(HLOOKUP($J$1,[1]DB!$C$1:$K$172,65,FALSE),"")</f>
        <v>72</v>
      </c>
      <c r="E65" s="36">
        <f>SUMIFS('[1]Rincian Keluar'!$G:$G,'[1]Rincian Keluar'!$E:$E,'ILALANG 02'!C65,'[1]Rincian Keluar'!$D:$D,'ILALANG 02'!$D$1,'[1]Rincian Keluar'!$H:$H,'ILALANG 02'!$J$1,'[1]Rincian Keluar'!$F:$F,'ILALANG 02'!M65)</f>
        <v>92</v>
      </c>
      <c r="F65" s="46">
        <v>11000</v>
      </c>
      <c r="G65" s="82">
        <f>E65*F65</f>
        <v>1012000</v>
      </c>
      <c r="H65" s="51">
        <v>1715000</v>
      </c>
      <c r="I65" s="39">
        <f>IFERROR(VLOOKUP($C64,[1]HK!$B$5:$C$14,2,FALSE),"")*$J1</f>
        <v>2004000</v>
      </c>
      <c r="J65" s="102">
        <f>I65-H65</f>
        <v>289000</v>
      </c>
      <c r="K65" s="84">
        <v>0.85</v>
      </c>
      <c r="M65" s="20" t="str">
        <f>$C$64</f>
        <v>ATAP</v>
      </c>
    </row>
    <row r="66" spans="1:13" ht="18" customHeight="1" x14ac:dyDescent="0.25">
      <c r="B66" s="34">
        <v>2</v>
      </c>
      <c r="C66" s="45" t="s">
        <v>65</v>
      </c>
      <c r="D66" s="36">
        <f>IFERROR(HLOOKUP($J$1,[1]DB!$C$1:$K$172,66,FALSE),"")</f>
        <v>48</v>
      </c>
      <c r="E66" s="36">
        <f>SUMIFS('[1]Rincian Keluar'!$G:$G,'[1]Rincian Keluar'!$E:$E,'ILALANG 02'!C66,'[1]Rincian Keluar'!$D:$D,'ILALANG 02'!$D$1,'[1]Rincian Keluar'!$H:$H,'ILALANG 02'!$J$1,'[1]Rincian Keluar'!$F:$F,'ILALANG 02'!M66)</f>
        <v>57</v>
      </c>
      <c r="F66" s="85">
        <v>15000</v>
      </c>
      <c r="G66" s="82">
        <f t="shared" ref="G66:G74" si="12">E66*F66</f>
        <v>855000</v>
      </c>
      <c r="H66" s="53"/>
      <c r="I66" s="42"/>
      <c r="J66" s="104"/>
      <c r="K66" s="87"/>
      <c r="M66" s="20" t="str">
        <f t="shared" ref="M66:M74" si="13">$C$64</f>
        <v>ATAP</v>
      </c>
    </row>
    <row r="67" spans="1:13" ht="18" customHeight="1" x14ac:dyDescent="0.25">
      <c r="B67" s="34">
        <v>3</v>
      </c>
      <c r="C67" s="45" t="s">
        <v>66</v>
      </c>
      <c r="D67" s="36">
        <f>IFERROR(HLOOKUP($J$1,[1]DB!$C$1:$K$172,67,FALSE),"")</f>
        <v>35</v>
      </c>
      <c r="E67" s="36">
        <f>SUMIFS('[1]Rincian Keluar'!$G:$G,'[1]Rincian Keluar'!$E:$E,'ILALANG 02'!C67,'[1]Rincian Keluar'!$D:$D,'ILALANG 02'!$D$1,'[1]Rincian Keluar'!$H:$H,'ILALANG 02'!$J$1,'[1]Rincian Keluar'!$F:$F,'ILALANG 02'!M67)</f>
        <v>39</v>
      </c>
      <c r="F67" s="85">
        <v>30000</v>
      </c>
      <c r="G67" s="82">
        <f t="shared" si="12"/>
        <v>1170000</v>
      </c>
      <c r="H67" s="53"/>
      <c r="I67" s="42"/>
      <c r="J67" s="104"/>
      <c r="K67" s="87"/>
      <c r="M67" s="20" t="str">
        <f t="shared" si="13"/>
        <v>ATAP</v>
      </c>
    </row>
    <row r="68" spans="1:13" ht="18" customHeight="1" x14ac:dyDescent="0.25">
      <c r="B68" s="34">
        <v>4</v>
      </c>
      <c r="C68" s="35" t="s">
        <v>67</v>
      </c>
      <c r="D68" s="36">
        <f>IFERROR(HLOOKUP($J$1,[1]DB!$C$1:$K$172,68,FALSE),"")</f>
        <v>11</v>
      </c>
      <c r="E68" s="36">
        <f>SUMIFS('[1]Rincian Keluar'!$G:$G,'[1]Rincian Keluar'!$E:$E,'ILALANG 02'!C68,'[1]Rincian Keluar'!$D:$D,'ILALANG 02'!$D$1,'[1]Rincian Keluar'!$H:$H,'ILALANG 02'!$J$1,'[1]Rincian Keluar'!$F:$F,'ILALANG 02'!M68)</f>
        <v>10</v>
      </c>
      <c r="F68" s="88">
        <v>60000</v>
      </c>
      <c r="G68" s="82">
        <f t="shared" si="12"/>
        <v>600000</v>
      </c>
      <c r="H68" s="53"/>
      <c r="I68" s="42"/>
      <c r="J68" s="104"/>
      <c r="K68" s="87"/>
      <c r="M68" s="20" t="str">
        <f t="shared" si="13"/>
        <v>ATAP</v>
      </c>
    </row>
    <row r="69" spans="1:13" ht="18" customHeight="1" x14ac:dyDescent="0.25">
      <c r="B69" s="34">
        <v>5</v>
      </c>
      <c r="C69" s="35" t="s">
        <v>68</v>
      </c>
      <c r="D69" s="36">
        <f>IFERROR(HLOOKUP($J$1,[1]DB!$C$1:$K$172,69,FALSE),"")</f>
        <v>82</v>
      </c>
      <c r="E69" s="36">
        <f>SUMIFS('[1]Rincian Keluar'!$G:$G,'[1]Rincian Keluar'!$E:$E,'ILALANG 02'!C69,'[1]Rincian Keluar'!$D:$D,'ILALANG 02'!$D$1,'[1]Rincian Keluar'!$H:$H,'ILALANG 02'!$J$1,'[1]Rincian Keluar'!$F:$F,'ILALANG 02'!M69)</f>
        <v>86</v>
      </c>
      <c r="F69" s="88">
        <v>52000</v>
      </c>
      <c r="G69" s="82">
        <f t="shared" si="12"/>
        <v>4472000</v>
      </c>
      <c r="H69" s="53"/>
      <c r="I69" s="42"/>
      <c r="J69" s="104"/>
      <c r="K69" s="87"/>
      <c r="M69" s="20" t="str">
        <f t="shared" si="13"/>
        <v>ATAP</v>
      </c>
    </row>
    <row r="70" spans="1:13" ht="18" customHeight="1" x14ac:dyDescent="0.25">
      <c r="B70" s="34">
        <v>6</v>
      </c>
      <c r="C70" s="35" t="s">
        <v>69</v>
      </c>
      <c r="D70" s="36">
        <f>IFERROR(HLOOKUP($J$1,[1]DB!$C$1:$K$172,70,FALSE),"")</f>
        <v>0</v>
      </c>
      <c r="E70" s="36">
        <f>SUMIFS('[1]Rincian Keluar'!$G:$G,'[1]Rincian Keluar'!$E:$E,'ILALANG 02'!C70,'[1]Rincian Keluar'!$D:$D,'ILALANG 02'!$D$1,'[1]Rincian Keluar'!$H:$H,'ILALANG 02'!$J$1,'[1]Rincian Keluar'!$F:$F,'ILALANG 02'!M70)</f>
        <v>0</v>
      </c>
      <c r="F70" s="88">
        <v>36000</v>
      </c>
      <c r="G70" s="82">
        <f t="shared" si="12"/>
        <v>0</v>
      </c>
      <c r="H70" s="53"/>
      <c r="I70" s="42"/>
      <c r="J70" s="104"/>
      <c r="K70" s="87"/>
      <c r="M70" s="20" t="str">
        <f t="shared" si="13"/>
        <v>ATAP</v>
      </c>
    </row>
    <row r="71" spans="1:13" ht="18" customHeight="1" x14ac:dyDescent="0.25">
      <c r="B71" s="34">
        <v>7</v>
      </c>
      <c r="C71" s="35" t="s">
        <v>70</v>
      </c>
      <c r="D71" s="36">
        <f>IFERROR(HLOOKUP($J$1,[1]DB!$C$1:$K$172,71,FALSE),"")</f>
        <v>0</v>
      </c>
      <c r="E71" s="36">
        <f>SUMIFS('[1]Rincian Keluar'!$G:$G,'[1]Rincian Keluar'!$E:$E,'ILALANG 02'!C71,'[1]Rincian Keluar'!$D:$D,'ILALANG 02'!$D$1,'[1]Rincian Keluar'!$H:$H,'ILALANG 02'!$J$1,'[1]Rincian Keluar'!$F:$F,'ILALANG 02'!M71)</f>
        <v>0</v>
      </c>
      <c r="F71" s="88">
        <v>50000</v>
      </c>
      <c r="G71" s="82">
        <f t="shared" si="12"/>
        <v>0</v>
      </c>
      <c r="H71" s="53"/>
      <c r="I71" s="42"/>
      <c r="J71" s="104"/>
      <c r="K71" s="87"/>
      <c r="M71" s="20" t="str">
        <f t="shared" si="13"/>
        <v>ATAP</v>
      </c>
    </row>
    <row r="72" spans="1:13" ht="18" customHeight="1" x14ac:dyDescent="0.25">
      <c r="B72" s="34">
        <v>8</v>
      </c>
      <c r="C72" s="35" t="s">
        <v>71</v>
      </c>
      <c r="D72" s="36">
        <f>IFERROR(HLOOKUP($J$1,[1]DB!$C$1:$K$172,72,FALSE),"")</f>
        <v>1.5</v>
      </c>
      <c r="E72" s="36">
        <f>SUMIFS('[1]Rincian Keluar'!$G:$G,'[1]Rincian Keluar'!$E:$E,'ILALANG 02'!C72,'[1]Rincian Keluar'!$D:$D,'ILALANG 02'!$D$1,'[1]Rincian Keluar'!$H:$H,'ILALANG 02'!$J$1,'[1]Rincian Keluar'!$F:$F,'ILALANG 02'!M72)</f>
        <v>1</v>
      </c>
      <c r="F72" s="88">
        <v>650000</v>
      </c>
      <c r="G72" s="82">
        <f t="shared" si="12"/>
        <v>650000</v>
      </c>
      <c r="H72" s="53"/>
      <c r="I72" s="42"/>
      <c r="J72" s="104"/>
      <c r="K72" s="87"/>
      <c r="M72" s="20" t="str">
        <f t="shared" si="13"/>
        <v>ATAP</v>
      </c>
    </row>
    <row r="73" spans="1:13" ht="18" customHeight="1" x14ac:dyDescent="0.25">
      <c r="B73" s="34">
        <v>9</v>
      </c>
      <c r="C73" s="35" t="s">
        <v>72</v>
      </c>
      <c r="D73" s="36">
        <f>IFERROR(HLOOKUP($J$1,[1]DB!$C$1:$K$172,73,FALSE),"")</f>
        <v>2</v>
      </c>
      <c r="E73" s="36">
        <f>SUMIFS('[1]Rincian Keluar'!$G:$G,'[1]Rincian Keluar'!$E:$E,'ILALANG 02'!C73,'[1]Rincian Keluar'!$D:$D,'ILALANG 02'!$D$1,'[1]Rincian Keluar'!$H:$H,'ILALANG 02'!$J$1,'[1]Rincian Keluar'!$F:$F,'ILALANG 02'!M73)</f>
        <v>1</v>
      </c>
      <c r="F73" s="88">
        <v>130000</v>
      </c>
      <c r="G73" s="82">
        <f t="shared" si="12"/>
        <v>130000</v>
      </c>
      <c r="H73" s="53"/>
      <c r="I73" s="42"/>
      <c r="J73" s="104"/>
      <c r="K73" s="87"/>
      <c r="M73" s="20" t="str">
        <f t="shared" si="13"/>
        <v>ATAP</v>
      </c>
    </row>
    <row r="74" spans="1:13" ht="18" customHeight="1" x14ac:dyDescent="0.25">
      <c r="B74" s="34">
        <v>10</v>
      </c>
      <c r="C74" s="35" t="s">
        <v>73</v>
      </c>
      <c r="D74" s="36">
        <f>IFERROR(HLOOKUP($J$1,[1]DB!$C$1:$K$172,74,FALSE),"")</f>
        <v>2</v>
      </c>
      <c r="E74" s="36">
        <f>SUMIFS('[1]Rincian Keluar'!$G:$G,'[1]Rincian Keluar'!$E:$E,'ILALANG 02'!C74,'[1]Rincian Keluar'!$D:$D,'ILALANG 02'!$D$1,'[1]Rincian Keluar'!$H:$H,'ILALANG 02'!$J$1,'[1]Rincian Keluar'!$F:$F,'ILALANG 02'!M74)</f>
        <v>1</v>
      </c>
      <c r="F74" s="88">
        <v>130000</v>
      </c>
      <c r="G74" s="82">
        <f t="shared" si="12"/>
        <v>130000</v>
      </c>
      <c r="H74" s="55"/>
      <c r="I74" s="47"/>
      <c r="J74" s="106"/>
      <c r="K74" s="90"/>
      <c r="M74" s="20" t="str">
        <f t="shared" si="13"/>
        <v>ATAP</v>
      </c>
    </row>
    <row r="75" spans="1:13" ht="18" customHeight="1" x14ac:dyDescent="0.25">
      <c r="B75" s="91" t="s">
        <v>74</v>
      </c>
      <c r="C75" s="92" t="s">
        <v>75</v>
      </c>
      <c r="D75" s="93"/>
      <c r="E75" s="93"/>
      <c r="F75" s="93"/>
      <c r="G75" s="93"/>
      <c r="H75" s="93"/>
      <c r="I75" s="94"/>
      <c r="J75" s="93"/>
      <c r="K75" s="95"/>
      <c r="M75" s="20"/>
    </row>
    <row r="76" spans="1:13" ht="18" customHeight="1" x14ac:dyDescent="0.25">
      <c r="B76" s="96">
        <v>1</v>
      </c>
      <c r="C76" s="97" t="s">
        <v>19</v>
      </c>
      <c r="D76" s="36">
        <f>IFERROR(HLOOKUP($J$1,[1]DB!$C$1:$K$172,76,FALSE),"")</f>
        <v>104</v>
      </c>
      <c r="E76" s="36">
        <f>SUMIFS('[1]Rincian Keluar'!$G:$G,'[1]Rincian Keluar'!$E:$E,'ILALANG 02'!C76,'[1]Rincian Keluar'!$D:$D,'ILALANG 02'!$D$1,'[1]Rincian Keluar'!$H:$H,'ILALANG 02'!$J$1,'[1]Rincian Keluar'!$F:$F,'ILALANG 02'!M76)</f>
        <v>120</v>
      </c>
      <c r="F76" s="46">
        <v>11000</v>
      </c>
      <c r="G76" s="98">
        <f>E76*F76</f>
        <v>1320000</v>
      </c>
      <c r="H76" s="108">
        <v>1400000</v>
      </c>
      <c r="I76" s="39">
        <f>IFERROR(VLOOKUP($C75,[1]HK!$B$5:$C$14,2,FALSE),"")*$J1</f>
        <v>1170000</v>
      </c>
      <c r="J76" s="109">
        <f>I76-H76</f>
        <v>-230000</v>
      </c>
      <c r="K76" s="103">
        <v>0.8</v>
      </c>
      <c r="M76" s="20" t="str">
        <f>$C$75</f>
        <v>DEK</v>
      </c>
    </row>
    <row r="77" spans="1:13" ht="18" customHeight="1" x14ac:dyDescent="0.25">
      <c r="B77" s="96">
        <v>2</v>
      </c>
      <c r="C77" s="97" t="s">
        <v>76</v>
      </c>
      <c r="D77" s="36">
        <f>IFERROR(HLOOKUP($J$1,[1]DB!$C$1:$K$172,77,FALSE),"")</f>
        <v>28</v>
      </c>
      <c r="E77" s="36">
        <f>SUMIFS('[1]Rincian Keluar'!$G:$G,'[1]Rincian Keluar'!$E:$E,'ILALANG 02'!C77,'[1]Rincian Keluar'!$D:$D,'ILALANG 02'!$D$1,'[1]Rincian Keluar'!$H:$H,'ILALANG 02'!$J$1,'[1]Rincian Keluar'!$F:$F,'ILALANG 02'!M77)</f>
        <v>20</v>
      </c>
      <c r="F77" s="57">
        <v>60000</v>
      </c>
      <c r="G77" s="98">
        <f t="shared" ref="G77:G81" si="14">E77*F77</f>
        <v>1200000</v>
      </c>
      <c r="H77" s="110"/>
      <c r="I77" s="42"/>
      <c r="J77" s="111"/>
      <c r="K77" s="105"/>
      <c r="M77" s="20" t="str">
        <f t="shared" ref="M77:M81" si="15">$C$75</f>
        <v>DEK</v>
      </c>
    </row>
    <row r="78" spans="1:13" ht="18" customHeight="1" x14ac:dyDescent="0.25">
      <c r="B78" s="96">
        <v>3</v>
      </c>
      <c r="C78" s="97" t="s">
        <v>77</v>
      </c>
      <c r="D78" s="36">
        <f>IFERROR(HLOOKUP($J$1,[1]DB!$C$1:$K$172,78,FALSE),"")</f>
        <v>5</v>
      </c>
      <c r="E78" s="36">
        <f>SUMIFS('[1]Rincian Keluar'!$G:$G,'[1]Rincian Keluar'!$E:$E,'ILALANG 02'!C78,'[1]Rincian Keluar'!$D:$D,'ILALANG 02'!$D$1,'[1]Rincian Keluar'!$H:$H,'ILALANG 02'!$J$1,'[1]Rincian Keluar'!$F:$F,'ILALANG 02'!M78)</f>
        <v>4</v>
      </c>
      <c r="F78" s="57">
        <v>37000</v>
      </c>
      <c r="G78" s="98">
        <f t="shared" si="14"/>
        <v>148000</v>
      </c>
      <c r="H78" s="110"/>
      <c r="I78" s="42"/>
      <c r="J78" s="111"/>
      <c r="K78" s="105"/>
      <c r="M78" s="20" t="str">
        <f t="shared" si="15"/>
        <v>DEK</v>
      </c>
    </row>
    <row r="79" spans="1:13" s="20" customFormat="1" ht="18" customHeight="1" x14ac:dyDescent="0.25">
      <c r="A79" s="1"/>
      <c r="B79" s="96">
        <v>4</v>
      </c>
      <c r="C79" s="97" t="s">
        <v>78</v>
      </c>
      <c r="D79" s="36">
        <f>IFERROR(HLOOKUP($J$1,[1]DB!$C$1:$K$172,79,FALSE),"")</f>
        <v>2</v>
      </c>
      <c r="E79" s="36">
        <f>SUMIFS('[1]Rincian Keluar'!$G:$G,'[1]Rincian Keluar'!$E:$E,'ILALANG 02'!C79,'[1]Rincian Keluar'!$D:$D,'ILALANG 02'!$D$1,'[1]Rincian Keluar'!$H:$H,'ILALANG 02'!$J$1,'[1]Rincian Keluar'!$F:$F,'ILALANG 02'!M79)</f>
        <v>1</v>
      </c>
      <c r="F79" s="57">
        <v>5000</v>
      </c>
      <c r="G79" s="98">
        <f t="shared" si="14"/>
        <v>5000</v>
      </c>
      <c r="H79" s="110"/>
      <c r="I79" s="42"/>
      <c r="J79" s="111"/>
      <c r="K79" s="105"/>
      <c r="M79" s="20" t="str">
        <f t="shared" si="15"/>
        <v>DEK</v>
      </c>
    </row>
    <row r="80" spans="1:13" s="20" customFormat="1" ht="18" customHeight="1" x14ac:dyDescent="0.25">
      <c r="A80" s="1"/>
      <c r="B80" s="96">
        <v>5</v>
      </c>
      <c r="C80" s="97" t="s">
        <v>79</v>
      </c>
      <c r="D80" s="36">
        <f>IFERROR(HLOOKUP($J$1,[1]DB!$C$1:$K$172,80,FALSE),"")</f>
        <v>2</v>
      </c>
      <c r="E80" s="36">
        <f>SUMIFS('[1]Rincian Keluar'!$G:$G,'[1]Rincian Keluar'!$E:$E,'ILALANG 02'!C80,'[1]Rincian Keluar'!$D:$D,'ILALANG 02'!$D$1,'[1]Rincian Keluar'!$H:$H,'ILALANG 02'!$J$1,'[1]Rincian Keluar'!$F:$F,'ILALANG 02'!M80)</f>
        <v>1</v>
      </c>
      <c r="F80" s="57">
        <v>130000</v>
      </c>
      <c r="G80" s="98">
        <f t="shared" si="14"/>
        <v>130000</v>
      </c>
      <c r="H80" s="110"/>
      <c r="I80" s="42"/>
      <c r="J80" s="111"/>
      <c r="K80" s="105"/>
      <c r="M80" s="20" t="str">
        <f t="shared" si="15"/>
        <v>DEK</v>
      </c>
    </row>
    <row r="81" spans="1:13" s="20" customFormat="1" ht="18" customHeight="1" x14ac:dyDescent="0.25">
      <c r="A81" s="1"/>
      <c r="B81" s="96">
        <v>6</v>
      </c>
      <c r="C81" s="97" t="s">
        <v>80</v>
      </c>
      <c r="D81" s="36">
        <f>IFERROR(HLOOKUP($J$1,[1]DB!$C$1:$K$172,81,FALSE),"")</f>
        <v>2</v>
      </c>
      <c r="E81" s="36">
        <f>SUMIFS('[1]Rincian Keluar'!$G:$G,'[1]Rincian Keluar'!$E:$E,'ILALANG 02'!C81,'[1]Rincian Keluar'!$D:$D,'ILALANG 02'!$D$1,'[1]Rincian Keluar'!$H:$H,'ILALANG 02'!$J$1,'[1]Rincian Keluar'!$F:$F,'ILALANG 02'!M81)</f>
        <v>1</v>
      </c>
      <c r="F81" s="57">
        <v>130000</v>
      </c>
      <c r="G81" s="98">
        <f t="shared" si="14"/>
        <v>130000</v>
      </c>
      <c r="H81" s="112"/>
      <c r="I81" s="47"/>
      <c r="J81" s="113"/>
      <c r="K81" s="107"/>
      <c r="M81" s="20" t="str">
        <f t="shared" si="15"/>
        <v>DEK</v>
      </c>
    </row>
    <row r="82" spans="1:13" s="20" customFormat="1" ht="18" customHeight="1" x14ac:dyDescent="0.25">
      <c r="A82" s="1"/>
      <c r="B82" s="29" t="s">
        <v>81</v>
      </c>
      <c r="C82" s="50" t="s">
        <v>82</v>
      </c>
      <c r="D82" s="31"/>
      <c r="E82" s="31"/>
      <c r="F82" s="31"/>
      <c r="G82" s="31"/>
      <c r="H82" s="31"/>
      <c r="I82" s="32"/>
      <c r="J82" s="31"/>
      <c r="K82" s="33"/>
    </row>
    <row r="83" spans="1:13" s="20" customFormat="1" ht="18" customHeight="1" x14ac:dyDescent="0.25">
      <c r="A83" s="1"/>
      <c r="B83" s="96">
        <v>1</v>
      </c>
      <c r="C83" s="97" t="s">
        <v>54</v>
      </c>
      <c r="D83" s="36">
        <f>IFERROR(HLOOKUP($J$1,[1]DB!$C$1:$K$172,83,FALSE),"")</f>
        <v>131</v>
      </c>
      <c r="E83" s="36">
        <f>SUMIFS('[1]Rincian Keluar'!$G:$G,'[1]Rincian Keluar'!$E:$E,'ILALANG 02'!C83,'[1]Rincian Keluar'!$D:$D,'ILALANG 02'!$D$1,'[1]Rincian Keluar'!$H:$H,'ILALANG 02'!$J$1,'[1]Rincian Keluar'!$F:$F,'ILALANG 02'!M83)</f>
        <v>0</v>
      </c>
      <c r="F83" s="37">
        <v>1850</v>
      </c>
      <c r="G83" s="98">
        <f>E83*F83</f>
        <v>0</v>
      </c>
      <c r="H83" s="108"/>
      <c r="I83" s="39">
        <f>IFERROR(VLOOKUP($C82,[1]HK!$B$5:$C$20,2,FALSE),"")*$J1+504000</f>
        <v>1260000</v>
      </c>
      <c r="J83" s="129"/>
      <c r="K83" s="103"/>
      <c r="M83" s="20" t="str">
        <f>$C$82</f>
        <v>MINIMALIS</v>
      </c>
    </row>
    <row r="84" spans="1:13" s="20" customFormat="1" ht="18" customHeight="1" x14ac:dyDescent="0.25">
      <c r="A84" s="1"/>
      <c r="B84" s="96">
        <v>2</v>
      </c>
      <c r="C84" s="97" t="s">
        <v>31</v>
      </c>
      <c r="D84" s="36">
        <f>IFERROR(HLOOKUP($J$1,[1]DB!$C$1:$K$172,84,FALSE),"")</f>
        <v>4</v>
      </c>
      <c r="E84" s="36">
        <f>SUMIFS('[1]Rincian Keluar'!$G:$G,'[1]Rincian Keluar'!$E:$E,'ILALANG 02'!C84,'[1]Rincian Keluar'!$D:$D,'ILALANG 02'!$D$1,'[1]Rincian Keluar'!$H:$H,'ILALANG 02'!$J$1,'[1]Rincian Keluar'!$F:$F,'ILALANG 02'!M84)</f>
        <v>0</v>
      </c>
      <c r="F84" s="37">
        <v>150000</v>
      </c>
      <c r="G84" s="98">
        <f t="shared" ref="G84:G86" si="16">E84*F84</f>
        <v>0</v>
      </c>
      <c r="H84" s="110"/>
      <c r="I84" s="42"/>
      <c r="J84" s="130"/>
      <c r="K84" s="105"/>
      <c r="M84" s="20" t="str">
        <f t="shared" ref="M84:M86" si="17">$C$82</f>
        <v>MINIMALIS</v>
      </c>
    </row>
    <row r="85" spans="1:13" s="20" customFormat="1" ht="18" customHeight="1" x14ac:dyDescent="0.25">
      <c r="A85" s="1"/>
      <c r="B85" s="96">
        <v>3</v>
      </c>
      <c r="C85" s="45" t="s">
        <v>24</v>
      </c>
      <c r="D85" s="36">
        <f>IFERROR(HLOOKUP($J$1,[1]DB!$C$1:$K$172,85,FALSE),"")</f>
        <v>11</v>
      </c>
      <c r="E85" s="36">
        <f>SUMIFS('[1]Rincian Keluar'!$G:$G,'[1]Rincian Keluar'!$E:$E,'ILALANG 02'!C85,'[1]Rincian Keluar'!$D:$D,'ILALANG 02'!$D$1,'[1]Rincian Keluar'!$H:$H,'ILALANG 02'!$J$1,'[1]Rincian Keluar'!$F:$F,'ILALANG 02'!M85)</f>
        <v>0</v>
      </c>
      <c r="F85" s="37">
        <v>60700</v>
      </c>
      <c r="G85" s="98">
        <f t="shared" si="16"/>
        <v>0</v>
      </c>
      <c r="H85" s="110"/>
      <c r="I85" s="42"/>
      <c r="J85" s="130"/>
      <c r="K85" s="105"/>
      <c r="M85" s="20" t="str">
        <f t="shared" si="17"/>
        <v>MINIMALIS</v>
      </c>
    </row>
    <row r="86" spans="1:13" s="20" customFormat="1" ht="18" customHeight="1" x14ac:dyDescent="0.25">
      <c r="A86" s="1"/>
      <c r="B86" s="96">
        <v>4</v>
      </c>
      <c r="C86" s="45" t="s">
        <v>83</v>
      </c>
      <c r="D86" s="36">
        <f>IFERROR(HLOOKUP($J$1,[1]DB!$C$1:$K$172,86,FALSE),"")</f>
        <v>7</v>
      </c>
      <c r="E86" s="36">
        <f>SUMIFS('[1]Rincian Keluar'!$G:$G,'[1]Rincian Keluar'!$E:$E,'ILALANG 02'!C86,'[1]Rincian Keluar'!$D:$D,'ILALANG 02'!$D$1,'[1]Rincian Keluar'!$H:$H,'ILALANG 02'!$J$1,'[1]Rincian Keluar'!$F:$F,'ILALANG 02'!M86)</f>
        <v>0</v>
      </c>
      <c r="F86" s="37">
        <v>165000</v>
      </c>
      <c r="G86" s="98">
        <f t="shared" si="16"/>
        <v>0</v>
      </c>
      <c r="H86" s="112"/>
      <c r="I86" s="47"/>
      <c r="J86" s="131"/>
      <c r="K86" s="107"/>
      <c r="M86" s="20" t="str">
        <f t="shared" si="17"/>
        <v>MINIMALIS</v>
      </c>
    </row>
    <row r="87" spans="1:13" s="20" customFormat="1" ht="18" customHeight="1" x14ac:dyDescent="0.25">
      <c r="A87" s="1"/>
      <c r="B87" s="29" t="s">
        <v>84</v>
      </c>
      <c r="C87" s="50" t="s">
        <v>85</v>
      </c>
      <c r="D87" s="31"/>
      <c r="E87" s="31"/>
      <c r="F87" s="31"/>
      <c r="G87" s="31"/>
      <c r="H87" s="31"/>
      <c r="I87" s="32"/>
      <c r="J87" s="31"/>
      <c r="K87" s="33"/>
    </row>
    <row r="88" spans="1:13" s="20" customFormat="1" ht="18" customHeight="1" x14ac:dyDescent="0.25">
      <c r="A88" s="1"/>
      <c r="B88" s="34">
        <v>1</v>
      </c>
      <c r="C88" s="45" t="s">
        <v>24</v>
      </c>
      <c r="D88" s="36">
        <f>IFERROR(HLOOKUP($J$1,[1]DB!$C$1:$K$172,88,FALSE),"")</f>
        <v>22</v>
      </c>
      <c r="E88" s="36">
        <f>SUMIFS('[1]Rincian Keluar'!$G:$G,'[1]Rincian Keluar'!$E:$E,'ILALANG 02'!C88,'[1]Rincian Keluar'!$D:$D,'ILALANG 02'!$D$1,'[1]Rincian Keluar'!$H:$H,'ILALANG 02'!$J$1,'[1]Rincian Keluar'!$F:$F,'ILALANG 02'!M88)</f>
        <v>13</v>
      </c>
      <c r="F88" s="37">
        <v>60700</v>
      </c>
      <c r="G88" s="98">
        <f>E88*F88</f>
        <v>789100</v>
      </c>
      <c r="H88" s="108">
        <v>504000</v>
      </c>
      <c r="I88" s="39">
        <f>IFERROR(VLOOKUP($C87,[1]HK!$B$5:$C$20,2,FALSE),"")*$J1-173900</f>
        <v>828100</v>
      </c>
      <c r="J88" s="109">
        <f>I88-H88</f>
        <v>324100</v>
      </c>
      <c r="K88" s="103">
        <v>0.7</v>
      </c>
      <c r="M88" s="20" t="str">
        <f>$C$87</f>
        <v>CARPORT</v>
      </c>
    </row>
    <row r="89" spans="1:13" s="20" customFormat="1" ht="18" customHeight="1" x14ac:dyDescent="0.25">
      <c r="A89" s="1"/>
      <c r="B89" s="34">
        <v>2</v>
      </c>
      <c r="C89" s="35" t="s">
        <v>19</v>
      </c>
      <c r="D89" s="36">
        <f>IFERROR(HLOOKUP($J$1,[1]DB!$C$1:$K$172,89,FALSE),"")</f>
        <v>8</v>
      </c>
      <c r="E89" s="36">
        <f>SUMIFS('[1]Rincian Keluar'!$G:$G,'[1]Rincian Keluar'!$E:$E,'ILALANG 02'!C89,'[1]Rincian Keluar'!$D:$D,'ILALANG 02'!$D$1,'[1]Rincian Keluar'!$H:$H,'ILALANG 02'!$J$1,'[1]Rincian Keluar'!$F:$F,'ILALANG 02'!M89)</f>
        <v>0</v>
      </c>
      <c r="F89" s="46">
        <v>11000</v>
      </c>
      <c r="G89" s="98">
        <f t="shared" ref="G89:G95" si="18">E89*F89</f>
        <v>0</v>
      </c>
      <c r="H89" s="110"/>
      <c r="I89" s="42"/>
      <c r="J89" s="111"/>
      <c r="K89" s="105"/>
      <c r="M89" s="20" t="str">
        <f t="shared" ref="M89:M96" si="19">$C$87</f>
        <v>CARPORT</v>
      </c>
    </row>
    <row r="90" spans="1:13" s="20" customFormat="1" ht="18" customHeight="1" x14ac:dyDescent="0.25">
      <c r="A90" s="1"/>
      <c r="B90" s="34">
        <v>3</v>
      </c>
      <c r="C90" s="35" t="s">
        <v>20</v>
      </c>
      <c r="D90" s="36">
        <f>IFERROR(HLOOKUP($J$1,[1]DB!$C$1:$K$172,90,FALSE),"")</f>
        <v>5</v>
      </c>
      <c r="E90" s="36">
        <f>SUMIFS('[1]Rincian Keluar'!$G:$G,'[1]Rincian Keluar'!$E:$E,'ILALANG 02'!C90,'[1]Rincian Keluar'!$D:$D,'ILALANG 02'!$D$1,'[1]Rincian Keluar'!$H:$H,'ILALANG 02'!$J$1,'[1]Rincian Keluar'!$F:$F,'ILALANG 02'!M90)</f>
        <v>14</v>
      </c>
      <c r="F90" s="37">
        <v>8000</v>
      </c>
      <c r="G90" s="98">
        <f t="shared" si="18"/>
        <v>112000</v>
      </c>
      <c r="H90" s="110"/>
      <c r="I90" s="42"/>
      <c r="J90" s="111"/>
      <c r="K90" s="105"/>
      <c r="M90" s="20" t="str">
        <f t="shared" si="19"/>
        <v>CARPORT</v>
      </c>
    </row>
    <row r="91" spans="1:13" s="20" customFormat="1" ht="18" customHeight="1" x14ac:dyDescent="0.25">
      <c r="A91" s="1"/>
      <c r="B91" s="34">
        <v>4</v>
      </c>
      <c r="C91" s="35" t="s">
        <v>21</v>
      </c>
      <c r="D91" s="36">
        <f>IFERROR(HLOOKUP($J$1,[1]DB!$C$1:$K$172,91,FALSE),"")</f>
        <v>10</v>
      </c>
      <c r="E91" s="36">
        <f>SUMIFS('[1]Rincian Keluar'!$G:$G,'[1]Rincian Keluar'!$E:$E,'ILALANG 02'!C91,'[1]Rincian Keluar'!$D:$D,'ILALANG 02'!$D$1,'[1]Rincian Keluar'!$H:$H,'ILALANG 02'!$J$1,'[1]Rincian Keluar'!$F:$F,'ILALANG 02'!M91)</f>
        <v>0</v>
      </c>
      <c r="F91" s="37">
        <v>11000</v>
      </c>
      <c r="G91" s="98">
        <f t="shared" si="18"/>
        <v>0</v>
      </c>
      <c r="H91" s="110"/>
      <c r="I91" s="42"/>
      <c r="J91" s="111"/>
      <c r="K91" s="105"/>
      <c r="M91" s="20" t="str">
        <f t="shared" si="19"/>
        <v>CARPORT</v>
      </c>
    </row>
    <row r="92" spans="1:13" s="20" customFormat="1" ht="18" customHeight="1" x14ac:dyDescent="0.25">
      <c r="A92" s="1"/>
      <c r="B92" s="34">
        <v>5</v>
      </c>
      <c r="C92" s="35" t="s">
        <v>32</v>
      </c>
      <c r="D92" s="36">
        <f>IFERROR(HLOOKUP($J$1,[1]DB!$C$1:$K$172,92,FALSE),"")</f>
        <v>7</v>
      </c>
      <c r="E92" s="36">
        <f>SUMIFS('[1]Rincian Keluar'!$G:$G,'[1]Rincian Keluar'!$E:$E,'ILALANG 02'!C92,'[1]Rincian Keluar'!$D:$D,'ILALANG 02'!$D$1,'[1]Rincian Keluar'!$H:$H,'ILALANG 02'!$J$1,'[1]Rincian Keluar'!$F:$F,'ILALANG 02'!M92)</f>
        <v>7</v>
      </c>
      <c r="F92" s="57">
        <v>15000</v>
      </c>
      <c r="G92" s="98">
        <f t="shared" si="18"/>
        <v>105000</v>
      </c>
      <c r="H92" s="110"/>
      <c r="I92" s="42"/>
      <c r="J92" s="111"/>
      <c r="K92" s="105"/>
      <c r="M92" s="20" t="str">
        <f t="shared" si="19"/>
        <v>CARPORT</v>
      </c>
    </row>
    <row r="93" spans="1:13" s="20" customFormat="1" ht="18" customHeight="1" x14ac:dyDescent="0.25">
      <c r="A93" s="1"/>
      <c r="B93" s="34">
        <v>6</v>
      </c>
      <c r="C93" s="45" t="s">
        <v>17</v>
      </c>
      <c r="D93" s="36">
        <f>IFERROR(HLOOKUP($J$1,[1]DB!$C$1:$K$172,93,FALSE),"")</f>
        <v>2</v>
      </c>
      <c r="E93" s="36">
        <f>SUMIFS('[1]Rincian Keluar'!$G:$G,'[1]Rincian Keluar'!$E:$E,'ILALANG 02'!C93,'[1]Rincian Keluar'!$D:$D,'ILALANG 02'!$D$1,'[1]Rincian Keluar'!$H:$H,'ILALANG 02'!$J$1,'[1]Rincian Keluar'!$F:$F,'ILALANG 02'!M93)</f>
        <v>2</v>
      </c>
      <c r="F93" s="37">
        <v>22000</v>
      </c>
      <c r="G93" s="98">
        <f t="shared" si="18"/>
        <v>44000</v>
      </c>
      <c r="H93" s="110"/>
      <c r="I93" s="42"/>
      <c r="J93" s="111"/>
      <c r="K93" s="105"/>
      <c r="M93" s="20" t="str">
        <f t="shared" si="19"/>
        <v>CARPORT</v>
      </c>
    </row>
    <row r="94" spans="1:13" s="20" customFormat="1" ht="18" customHeight="1" x14ac:dyDescent="0.25">
      <c r="A94" s="1"/>
      <c r="B94" s="34">
        <v>7</v>
      </c>
      <c r="C94" s="45" t="s">
        <v>57</v>
      </c>
      <c r="D94" s="36">
        <f>IFERROR(HLOOKUP($J$1,[1]DB!$C$1:$K$172,94,FALSE),"")</f>
        <v>15</v>
      </c>
      <c r="E94" s="36">
        <f>SUMIFS('[1]Rincian Keluar'!$G:$G,'[1]Rincian Keluar'!$E:$E,'ILALANG 02'!C94,'[1]Rincian Keluar'!$D:$D,'ILALANG 02'!$D$1,'[1]Rincian Keluar'!$H:$H,'ILALANG 02'!$J$1,'[1]Rincian Keluar'!$F:$F,'ILALANG 02'!M94)</f>
        <v>4</v>
      </c>
      <c r="F94" s="37">
        <v>35000</v>
      </c>
      <c r="G94" s="98">
        <f t="shared" si="18"/>
        <v>140000</v>
      </c>
      <c r="H94" s="110"/>
      <c r="I94" s="42"/>
      <c r="J94" s="111"/>
      <c r="K94" s="105"/>
      <c r="M94" s="20" t="str">
        <f t="shared" si="19"/>
        <v>CARPORT</v>
      </c>
    </row>
    <row r="95" spans="1:13" s="20" customFormat="1" ht="18" customHeight="1" x14ac:dyDescent="0.25">
      <c r="A95" s="1"/>
      <c r="B95" s="34">
        <v>8</v>
      </c>
      <c r="C95" s="45" t="s">
        <v>23</v>
      </c>
      <c r="D95" s="36">
        <f>IFERROR(HLOOKUP($J$1,[1]DB!$C$1:$K$172,95,FALSE),"")</f>
        <v>1</v>
      </c>
      <c r="E95" s="36">
        <f>SUMIFS('[1]Rincian Keluar'!$G:$G,'[1]Rincian Keluar'!$E:$E,'ILALANG 02'!C95,'[1]Rincian Keluar'!$D:$D,'ILALANG 02'!$D$1,'[1]Rincian Keluar'!$H:$H,'ILALANG 02'!$J$1,'[1]Rincian Keluar'!$F:$F,'ILALANG 02'!M95)</f>
        <v>0.5</v>
      </c>
      <c r="F95" s="37">
        <v>500000</v>
      </c>
      <c r="G95" s="98">
        <f t="shared" si="18"/>
        <v>250000</v>
      </c>
      <c r="H95" s="110"/>
      <c r="I95" s="42"/>
      <c r="J95" s="111"/>
      <c r="K95" s="105"/>
      <c r="M95" s="20" t="str">
        <f t="shared" si="19"/>
        <v>CARPORT</v>
      </c>
    </row>
    <row r="96" spans="1:13" s="20" customFormat="1" ht="18" customHeight="1" x14ac:dyDescent="0.25">
      <c r="A96" s="1"/>
      <c r="B96" s="34">
        <v>9</v>
      </c>
      <c r="C96" s="45" t="s">
        <v>31</v>
      </c>
      <c r="D96" s="36">
        <f>IFERROR(HLOOKUP($J$1,[1]DB!$C$1:$K$172,96,FALSE),"")</f>
        <v>6</v>
      </c>
      <c r="E96" s="36">
        <f>SUMIFS('[1]Rincian Keluar'!$G:$G,'[1]Rincian Keluar'!$E:$E,'ILALANG 02'!C96,'[1]Rincian Keluar'!$D:$D,'ILALANG 02'!$D$1,'[1]Rincian Keluar'!$H:$H,'ILALANG 02'!$J$1,'[1]Rincian Keluar'!$F:$F,'ILALANG 02'!M96)</f>
        <v>6</v>
      </c>
      <c r="F96" s="37">
        <v>150000</v>
      </c>
      <c r="G96" s="98">
        <f>E96*F96</f>
        <v>900000</v>
      </c>
      <c r="H96" s="112"/>
      <c r="I96" s="47"/>
      <c r="J96" s="113"/>
      <c r="K96" s="107"/>
      <c r="M96" s="20" t="str">
        <f t="shared" si="19"/>
        <v>CARPORT</v>
      </c>
    </row>
    <row r="97" spans="1:13" s="20" customFormat="1" ht="18" customHeight="1" x14ac:dyDescent="0.25">
      <c r="A97" s="1"/>
      <c r="B97" s="34">
        <v>10</v>
      </c>
      <c r="C97" s="45" t="s">
        <v>83</v>
      </c>
      <c r="D97" s="36">
        <f>IFERROR(HLOOKUP($J$1,[1]DB!$C$1:$K$172,97,FALSE),"")</f>
        <v>31</v>
      </c>
      <c r="E97" s="36">
        <f>SUMIFS('[1]Rincian Keluar'!$G:$G,'[1]Rincian Keluar'!$E:$E,'ILALANG 02'!C97,'[1]Rincian Keluar'!$D:$D,'ILALANG 02'!$D$1,'[1]Rincian Keluar'!$H:$H,'ILALANG 02'!$J$1,'[1]Rincian Keluar'!$F:$F,'ILALANG 02'!M97)</f>
        <v>0</v>
      </c>
      <c r="F97" s="37">
        <v>165000</v>
      </c>
      <c r="G97" s="98">
        <f>E97*F97</f>
        <v>0</v>
      </c>
      <c r="H97" s="114"/>
      <c r="I97" s="115"/>
      <c r="J97" s="116"/>
      <c r="K97" s="117"/>
    </row>
    <row r="98" spans="1:13" s="20" customFormat="1" ht="18" customHeight="1" x14ac:dyDescent="0.25">
      <c r="A98" s="1"/>
      <c r="B98" s="29" t="s">
        <v>86</v>
      </c>
      <c r="C98" s="50" t="s">
        <v>87</v>
      </c>
      <c r="D98" s="31"/>
      <c r="E98" s="31"/>
      <c r="F98" s="31"/>
      <c r="G98" s="31"/>
      <c r="H98" s="31"/>
      <c r="I98" s="32"/>
      <c r="J98" s="31"/>
      <c r="K98" s="33"/>
    </row>
    <row r="99" spans="1:13" s="20" customFormat="1" ht="18" customHeight="1" x14ac:dyDescent="0.25">
      <c r="A99" s="1"/>
      <c r="B99" s="34">
        <v>1</v>
      </c>
      <c r="C99" s="45" t="s">
        <v>88</v>
      </c>
      <c r="D99" s="36">
        <f>IFERROR(HLOOKUP($J$1,[1]DB!$C$1:$K$172,99,FALSE),"")</f>
        <v>39</v>
      </c>
      <c r="E99" s="36">
        <f>SUMIFS('[1]Rincian Keluar'!$G:$G,'[1]Rincian Keluar'!$E:$E,'ILALANG 02'!C99,'[1]Rincian Keluar'!$D:$D,'ILALANG 02'!$D$1,'[1]Rincian Keluar'!$H:$H,'ILALANG 02'!$J$1,'[1]Rincian Keluar'!$F:$F,'ILALANG 02'!M99)</f>
        <v>0</v>
      </c>
      <c r="F99" s="37">
        <v>118000</v>
      </c>
      <c r="G99" s="98">
        <f>E99*F99</f>
        <v>0</v>
      </c>
      <c r="H99" s="172"/>
      <c r="I99" s="39">
        <f>IFERROR(VLOOKUP($C98,[1]HK!$B$5:$C$20,2,FALSE),"")*$J1</f>
        <v>1668000</v>
      </c>
      <c r="J99" s="172"/>
      <c r="K99" s="174"/>
      <c r="M99" s="20" t="str">
        <f>$C$98</f>
        <v>KERAMIK</v>
      </c>
    </row>
    <row r="100" spans="1:13" s="20" customFormat="1" ht="18" customHeight="1" x14ac:dyDescent="0.25">
      <c r="A100" s="1"/>
      <c r="B100" s="34">
        <v>2</v>
      </c>
      <c r="C100" s="45" t="s">
        <v>83</v>
      </c>
      <c r="D100" s="36">
        <f>IFERROR(HLOOKUP($J$1,[1]DB!$C$1:$K$172,100,FALSE),"")</f>
        <v>16</v>
      </c>
      <c r="E100" s="36">
        <f>SUMIFS('[1]Rincian Keluar'!$G:$G,'[1]Rincian Keluar'!$E:$E,'ILALANG 02'!C100,'[1]Rincian Keluar'!$D:$D,'ILALANG 02'!$D$1,'[1]Rincian Keluar'!$H:$H,'ILALANG 02'!$J$1,'[1]Rincian Keluar'!$F:$F,'ILALANG 02'!M100)</f>
        <v>0</v>
      </c>
      <c r="F100" s="37">
        <v>165000</v>
      </c>
      <c r="G100" s="98">
        <f t="shared" ref="G100:G103" si="20">E100*F100</f>
        <v>0</v>
      </c>
      <c r="H100" s="119"/>
      <c r="I100" s="42"/>
      <c r="J100" s="119"/>
      <c r="K100" s="175"/>
      <c r="M100" s="20" t="str">
        <f t="shared" ref="M100:M103" si="21">$C$98</f>
        <v>KERAMIK</v>
      </c>
    </row>
    <row r="101" spans="1:13" s="20" customFormat="1" ht="18" customHeight="1" x14ac:dyDescent="0.25">
      <c r="A101" s="1"/>
      <c r="B101" s="34">
        <v>3</v>
      </c>
      <c r="C101" s="45" t="s">
        <v>31</v>
      </c>
      <c r="D101" s="36">
        <f>IFERROR(HLOOKUP($J$1,[1]DB!$C$1:$K$172,101,FALSE),"")</f>
        <v>6</v>
      </c>
      <c r="E101" s="36">
        <f>SUMIFS('[1]Rincian Keluar'!$G:$G,'[1]Rincian Keluar'!$E:$E,'ILALANG 02'!C101,'[1]Rincian Keluar'!$D:$D,'ILALANG 02'!$D$1,'[1]Rincian Keluar'!$H:$H,'ILALANG 02'!$J$1,'[1]Rincian Keluar'!$F:$F,'ILALANG 02'!M101)</f>
        <v>0</v>
      </c>
      <c r="F101" s="37">
        <v>150000</v>
      </c>
      <c r="G101" s="98">
        <f t="shared" si="20"/>
        <v>0</v>
      </c>
      <c r="H101" s="119"/>
      <c r="I101" s="42"/>
      <c r="J101" s="119"/>
      <c r="K101" s="175"/>
      <c r="M101" s="20" t="str">
        <f t="shared" si="21"/>
        <v>KERAMIK</v>
      </c>
    </row>
    <row r="102" spans="1:13" s="20" customFormat="1" ht="18" customHeight="1" x14ac:dyDescent="0.25">
      <c r="A102" s="1"/>
      <c r="B102" s="34">
        <v>4</v>
      </c>
      <c r="C102" s="45" t="s">
        <v>24</v>
      </c>
      <c r="D102" s="36">
        <f>IFERROR(HLOOKUP($J$1,[1]DB!$C$1:$K$172,102,FALSE),"")</f>
        <v>27</v>
      </c>
      <c r="E102" s="36">
        <f>SUMIFS('[1]Rincian Keluar'!$G:$G,'[1]Rincian Keluar'!$E:$E,'ILALANG 02'!C102,'[1]Rincian Keluar'!$D:$D,'ILALANG 02'!$D$1,'[1]Rincian Keluar'!$H:$H,'ILALANG 02'!$J$1,'[1]Rincian Keluar'!$F:$F,'ILALANG 02'!M102)</f>
        <v>0</v>
      </c>
      <c r="F102" s="37">
        <v>60700</v>
      </c>
      <c r="G102" s="98">
        <f t="shared" si="20"/>
        <v>0</v>
      </c>
      <c r="H102" s="119"/>
      <c r="I102" s="42"/>
      <c r="J102" s="119"/>
      <c r="K102" s="175"/>
      <c r="M102" s="20" t="str">
        <f t="shared" si="21"/>
        <v>KERAMIK</v>
      </c>
    </row>
    <row r="103" spans="1:13" s="20" customFormat="1" ht="18" customHeight="1" x14ac:dyDescent="0.25">
      <c r="A103" s="1"/>
      <c r="B103" s="34">
        <v>5</v>
      </c>
      <c r="C103" s="45" t="s">
        <v>89</v>
      </c>
      <c r="D103" s="36">
        <f>IFERROR(HLOOKUP($J$1,[1]DB!$C$1:$K$172,103,FALSE),"")</f>
        <v>5</v>
      </c>
      <c r="E103" s="36">
        <v>0</v>
      </c>
      <c r="F103" s="121">
        <v>15000</v>
      </c>
      <c r="G103" s="98">
        <f t="shared" si="20"/>
        <v>0</v>
      </c>
      <c r="H103" s="176"/>
      <c r="I103" s="47"/>
      <c r="J103" s="122"/>
      <c r="K103" s="177"/>
      <c r="M103" s="20" t="str">
        <f t="shared" si="21"/>
        <v>KERAMIK</v>
      </c>
    </row>
    <row r="104" spans="1:13" s="20" customFormat="1" ht="18" customHeight="1" x14ac:dyDescent="0.25">
      <c r="A104" s="1"/>
      <c r="B104" s="29" t="s">
        <v>90</v>
      </c>
      <c r="C104" s="50" t="s">
        <v>91</v>
      </c>
      <c r="D104" s="31"/>
      <c r="E104" s="31"/>
      <c r="F104" s="31"/>
      <c r="G104" s="31"/>
      <c r="H104" s="31"/>
      <c r="I104" s="32"/>
      <c r="J104" s="31"/>
      <c r="K104" s="33"/>
    </row>
    <row r="105" spans="1:13" s="20" customFormat="1" ht="18" customHeight="1" x14ac:dyDescent="0.25">
      <c r="A105" s="1"/>
      <c r="B105" s="34">
        <v>1</v>
      </c>
      <c r="C105" s="45" t="s">
        <v>92</v>
      </c>
      <c r="D105" s="36">
        <f>IFERROR(HLOOKUP($J$1,[1]DB!$C$1:$K$172,105,FALSE),"")</f>
        <v>6</v>
      </c>
      <c r="E105" s="36">
        <f>SUMIFS('[1]Rincian Keluar'!$G:$G,'[1]Rincian Keluar'!$E:$E,'ILALANG 02'!C105,'[1]Rincian Keluar'!$D:$D,'ILALANG 02'!$D$1,'[1]Rincian Keluar'!$H:$H,'ILALANG 02'!$J$1,'[1]Rincian Keluar'!$F:$F,'ILALANG 02'!M105)</f>
        <v>0</v>
      </c>
      <c r="F105" s="57">
        <v>60000</v>
      </c>
      <c r="G105" s="98">
        <f>E105*F105</f>
        <v>0</v>
      </c>
      <c r="H105" s="108"/>
      <c r="I105" s="39">
        <f>IFERROR(VLOOKUP($C104,[1]HK!$B$5:$C$27,2,FALSE),"")*$J1+630000</f>
        <v>900000</v>
      </c>
      <c r="J105" s="109"/>
      <c r="K105" s="103"/>
      <c r="M105" s="20" t="str">
        <f t="shared" ref="M105:M116" si="22">$C$104</f>
        <v>WC</v>
      </c>
    </row>
    <row r="106" spans="1:13" s="20" customFormat="1" ht="18" customHeight="1" x14ac:dyDescent="0.25">
      <c r="A106" s="1"/>
      <c r="B106" s="34">
        <v>2</v>
      </c>
      <c r="C106" s="45" t="s">
        <v>93</v>
      </c>
      <c r="D106" s="36">
        <f>IFERROR(HLOOKUP($J$1,[1]DB!$C$1:$K$172,106,FALSE),"")</f>
        <v>22</v>
      </c>
      <c r="E106" s="36">
        <f>SUMIFS('[1]Rincian Keluar'!$G:$G,'[1]Rincian Keluar'!$E:$E,'ILALANG 02'!C106,'[1]Rincian Keluar'!$D:$D,'ILALANG 02'!$D$1,'[1]Rincian Keluar'!$H:$H,'ILALANG 02'!$J$1,'[1]Rincian Keluar'!$F:$F,'ILALANG 02'!M106)</f>
        <v>0</v>
      </c>
      <c r="F106" s="57">
        <v>60000</v>
      </c>
      <c r="G106" s="98">
        <f t="shared" ref="G106:G116" si="23">E106*F106</f>
        <v>0</v>
      </c>
      <c r="H106" s="110"/>
      <c r="I106" s="42"/>
      <c r="J106" s="111"/>
      <c r="K106" s="105"/>
      <c r="M106" s="20" t="str">
        <f t="shared" si="22"/>
        <v>WC</v>
      </c>
    </row>
    <row r="107" spans="1:13" s="20" customFormat="1" ht="18" customHeight="1" x14ac:dyDescent="0.25">
      <c r="A107" s="1"/>
      <c r="B107" s="34">
        <v>3</v>
      </c>
      <c r="C107" s="45" t="s">
        <v>94</v>
      </c>
      <c r="D107" s="36">
        <f>IFERROR(HLOOKUP($J$1,[1]DB!$C$1:$K$172,107,FALSE),"")</f>
        <v>2</v>
      </c>
      <c r="E107" s="36">
        <f>SUMIFS('[1]Rincian Keluar'!$G:$G,'[1]Rincian Keluar'!$E:$E,'ILALANG 02'!C107,'[1]Rincian Keluar'!$D:$D,'ILALANG 02'!$D$1,'[1]Rincian Keluar'!$H:$H,'ILALANG 02'!$J$1,'[1]Rincian Keluar'!$F:$F,'ILALANG 02'!M107)</f>
        <v>0</v>
      </c>
      <c r="F107" s="57">
        <v>270000</v>
      </c>
      <c r="G107" s="98">
        <f t="shared" si="23"/>
        <v>0</v>
      </c>
      <c r="H107" s="110"/>
      <c r="I107" s="42"/>
      <c r="J107" s="111"/>
      <c r="K107" s="105"/>
      <c r="M107" s="20" t="str">
        <f t="shared" si="22"/>
        <v>WC</v>
      </c>
    </row>
    <row r="108" spans="1:13" s="20" customFormat="1" ht="18" customHeight="1" x14ac:dyDescent="0.25">
      <c r="A108" s="1"/>
      <c r="B108" s="34">
        <v>4</v>
      </c>
      <c r="C108" s="45" t="s">
        <v>95</v>
      </c>
      <c r="D108" s="36">
        <f>IFERROR(HLOOKUP($J$1,[1]DB!$C$1:$K$172,108,FALSE),"")</f>
        <v>1</v>
      </c>
      <c r="E108" s="36">
        <f>SUMIFS('[1]Rincian Keluar'!$G:$G,'[1]Rincian Keluar'!$E:$E,'ILALANG 02'!C108,'[1]Rincian Keluar'!$D:$D,'ILALANG 02'!$D$1,'[1]Rincian Keluar'!$H:$H,'ILALANG 02'!$J$1,'[1]Rincian Keluar'!$F:$F,'ILALANG 02'!M108)</f>
        <v>0</v>
      </c>
      <c r="F108" s="57">
        <v>780000</v>
      </c>
      <c r="G108" s="98">
        <f t="shared" si="23"/>
        <v>0</v>
      </c>
      <c r="H108" s="110"/>
      <c r="I108" s="42"/>
      <c r="J108" s="111"/>
      <c r="K108" s="105"/>
      <c r="M108" s="20" t="str">
        <f t="shared" si="22"/>
        <v>WC</v>
      </c>
    </row>
    <row r="109" spans="1:13" s="20" customFormat="1" ht="18" customHeight="1" x14ac:dyDescent="0.25">
      <c r="A109" s="1"/>
      <c r="B109" s="34">
        <v>5</v>
      </c>
      <c r="C109" s="45" t="s">
        <v>96</v>
      </c>
      <c r="D109" s="36">
        <f>IFERROR(HLOOKUP($J$1,[1]DB!$C$1:$K$172,109,FALSE),"")</f>
        <v>2</v>
      </c>
      <c r="E109" s="36">
        <f>SUMIFS('[1]Rincian Keluar'!$G:$G,'[1]Rincian Keluar'!$E:$E,'ILALANG 02'!C109,'[1]Rincian Keluar'!$D:$D,'ILALANG 02'!$D$1,'[1]Rincian Keluar'!$H:$H,'ILALANG 02'!$J$1,'[1]Rincian Keluar'!$F:$F,'ILALANG 02'!M109)</f>
        <v>0</v>
      </c>
      <c r="F109" s="57">
        <v>5000</v>
      </c>
      <c r="G109" s="98">
        <f t="shared" si="23"/>
        <v>0</v>
      </c>
      <c r="H109" s="110"/>
      <c r="I109" s="42"/>
      <c r="J109" s="111"/>
      <c r="K109" s="105"/>
      <c r="M109" s="20" t="str">
        <f t="shared" si="22"/>
        <v>WC</v>
      </c>
    </row>
    <row r="110" spans="1:13" s="20" customFormat="1" ht="18" customHeight="1" x14ac:dyDescent="0.25">
      <c r="A110" s="1"/>
      <c r="B110" s="34">
        <v>6</v>
      </c>
      <c r="C110" s="45" t="s">
        <v>31</v>
      </c>
      <c r="D110" s="36">
        <f>IFERROR(HLOOKUP($J$1,[1]DB!$C$1:$K$172,110,FALSE),"")</f>
        <v>1</v>
      </c>
      <c r="E110" s="36">
        <f>SUMIFS('[1]Rincian Keluar'!$G:$G,'[1]Rincian Keluar'!$E:$E,'ILALANG 02'!C110,'[1]Rincian Keluar'!$D:$D,'ILALANG 02'!$D$1,'[1]Rincian Keluar'!$H:$H,'ILALANG 02'!$J$1,'[1]Rincian Keluar'!$F:$F,'ILALANG 02'!M110)</f>
        <v>0</v>
      </c>
      <c r="F110" s="57">
        <v>150000</v>
      </c>
      <c r="G110" s="98">
        <f t="shared" si="23"/>
        <v>0</v>
      </c>
      <c r="H110" s="110"/>
      <c r="I110" s="42"/>
      <c r="J110" s="111"/>
      <c r="K110" s="105"/>
      <c r="M110" s="20" t="str">
        <f t="shared" si="22"/>
        <v>WC</v>
      </c>
    </row>
    <row r="111" spans="1:13" s="20" customFormat="1" ht="18" customHeight="1" x14ac:dyDescent="0.25">
      <c r="A111" s="1"/>
      <c r="B111" s="34">
        <v>7</v>
      </c>
      <c r="C111" s="45" t="s">
        <v>24</v>
      </c>
      <c r="D111" s="36">
        <f>IFERROR(HLOOKUP($J$1,[1]DB!$C$1:$K$172,111,FALSE),"")</f>
        <v>4</v>
      </c>
      <c r="E111" s="36">
        <f>SUMIFS('[1]Rincian Keluar'!$G:$G,'[1]Rincian Keluar'!$E:$E,'ILALANG 02'!C111,'[1]Rincian Keluar'!$D:$D,'ILALANG 02'!$D$1,'[1]Rincian Keluar'!$H:$H,'ILALANG 02'!$J$1,'[1]Rincian Keluar'!$F:$F,'ILALANG 02'!M111)</f>
        <v>0</v>
      </c>
      <c r="F111" s="37">
        <v>60700</v>
      </c>
      <c r="G111" s="98">
        <f t="shared" si="23"/>
        <v>0</v>
      </c>
      <c r="H111" s="110"/>
      <c r="I111" s="42"/>
      <c r="J111" s="111"/>
      <c r="K111" s="105"/>
      <c r="M111" s="20" t="str">
        <f t="shared" si="22"/>
        <v>WC</v>
      </c>
    </row>
    <row r="112" spans="1:13" s="20" customFormat="1" ht="18" customHeight="1" x14ac:dyDescent="0.25">
      <c r="A112" s="1"/>
      <c r="B112" s="34">
        <v>8</v>
      </c>
      <c r="C112" s="45" t="s">
        <v>97</v>
      </c>
      <c r="D112" s="36">
        <f>IFERROR(HLOOKUP($J$1,[1]DB!$C$1:$K$172,112,FALSE),"")</f>
        <v>2</v>
      </c>
      <c r="E112" s="36">
        <f>SUMIFS('[1]Rincian Keluar'!$G:$G,'[1]Rincian Keluar'!$E:$E,'ILALANG 02'!C112,'[1]Rincian Keluar'!$D:$D,'ILALANG 02'!$D$1,'[1]Rincian Keluar'!$H:$H,'ILALANG 02'!$J$1,'[1]Rincian Keluar'!$F:$F,'ILALANG 02'!M112)</f>
        <v>0</v>
      </c>
      <c r="F112" s="57">
        <v>140000</v>
      </c>
      <c r="G112" s="98">
        <f t="shared" si="23"/>
        <v>0</v>
      </c>
      <c r="H112" s="110"/>
      <c r="I112" s="42"/>
      <c r="J112" s="111"/>
      <c r="K112" s="105"/>
      <c r="M112" s="20" t="str">
        <f t="shared" si="22"/>
        <v>WC</v>
      </c>
    </row>
    <row r="113" spans="1:13" s="20" customFormat="1" ht="18" customHeight="1" x14ac:dyDescent="0.25">
      <c r="A113" s="1"/>
      <c r="B113" s="34">
        <v>9</v>
      </c>
      <c r="C113" s="45" t="s">
        <v>98</v>
      </c>
      <c r="D113" s="36">
        <f>IFERROR(HLOOKUP($J$1,[1]DB!$C$1:$K$172,113,FALSE),"")</f>
        <v>2</v>
      </c>
      <c r="E113" s="36">
        <f>SUMIFS('[1]Rincian Keluar'!$G:$G,'[1]Rincian Keluar'!$E:$E,'ILALANG 02'!C113,'[1]Rincian Keluar'!$D:$D,'ILALANG 02'!$D$1,'[1]Rincian Keluar'!$H:$H,'ILALANG 02'!$J$1,'[1]Rincian Keluar'!$F:$F,'ILALANG 02'!M113)</f>
        <v>0</v>
      </c>
      <c r="F113" s="57">
        <v>18000</v>
      </c>
      <c r="G113" s="98">
        <f t="shared" si="23"/>
        <v>0</v>
      </c>
      <c r="H113" s="110"/>
      <c r="I113" s="42"/>
      <c r="J113" s="111"/>
      <c r="K113" s="105"/>
      <c r="M113" s="20" t="str">
        <f t="shared" si="22"/>
        <v>WC</v>
      </c>
    </row>
    <row r="114" spans="1:13" s="20" customFormat="1" ht="18" customHeight="1" x14ac:dyDescent="0.25">
      <c r="A114" s="1"/>
      <c r="B114" s="34">
        <v>10</v>
      </c>
      <c r="C114" s="45" t="s">
        <v>99</v>
      </c>
      <c r="D114" s="36">
        <f>IFERROR(HLOOKUP($J$1,[1]DB!$C$1:$K$172,114,FALSE),"")</f>
        <v>6</v>
      </c>
      <c r="E114" s="36">
        <f>SUMIFS('[1]Rincian Keluar'!$G:$G,'[1]Rincian Keluar'!$E:$E,'ILALANG 02'!C114,'[1]Rincian Keluar'!$D:$D,'ILALANG 02'!$D$1,'[1]Rincian Keluar'!$H:$H,'ILALANG 02'!$J$1,'[1]Rincian Keluar'!$F:$F,'ILALANG 02'!M114)</f>
        <v>0</v>
      </c>
      <c r="F114" s="57">
        <v>2500</v>
      </c>
      <c r="G114" s="98">
        <f t="shared" si="23"/>
        <v>0</v>
      </c>
      <c r="H114" s="110"/>
      <c r="I114" s="42"/>
      <c r="J114" s="111"/>
      <c r="K114" s="105"/>
      <c r="M114" s="20" t="str">
        <f t="shared" si="22"/>
        <v>WC</v>
      </c>
    </row>
    <row r="115" spans="1:13" s="20" customFormat="1" ht="18" customHeight="1" x14ac:dyDescent="0.25">
      <c r="A115" s="1"/>
      <c r="B115" s="34">
        <v>11</v>
      </c>
      <c r="C115" s="45" t="s">
        <v>100</v>
      </c>
      <c r="D115" s="36">
        <f>IFERROR(HLOOKUP($J$1,[1]DB!$C$1:$K$172,115,FALSE),"")</f>
        <v>3</v>
      </c>
      <c r="E115" s="36">
        <f>SUMIFS('[1]Rincian Keluar'!$G:$G,'[1]Rincian Keluar'!$E:$E,'ILALANG 02'!C115,'[1]Rincian Keluar'!$D:$D,'ILALANG 02'!$D$1,'[1]Rincian Keluar'!$H:$H,'ILALANG 02'!$J$1,'[1]Rincian Keluar'!$F:$F,'ILALANG 02'!M115)</f>
        <v>0</v>
      </c>
      <c r="F115" s="57">
        <v>10000</v>
      </c>
      <c r="G115" s="98">
        <f t="shared" si="23"/>
        <v>0</v>
      </c>
      <c r="H115" s="110"/>
      <c r="I115" s="42"/>
      <c r="J115" s="111"/>
      <c r="K115" s="105"/>
      <c r="M115" s="20" t="str">
        <f t="shared" si="22"/>
        <v>WC</v>
      </c>
    </row>
    <row r="116" spans="1:13" ht="18" customHeight="1" x14ac:dyDescent="0.25">
      <c r="B116" s="34">
        <v>12</v>
      </c>
      <c r="C116" s="45" t="s">
        <v>101</v>
      </c>
      <c r="D116" s="36">
        <f>IFERROR(HLOOKUP($J$1,[1]DB!$C$1:$K$172,116,FALSE),"")</f>
        <v>1</v>
      </c>
      <c r="E116" s="36">
        <f>SUMIFS('[1]Rincian Keluar'!$G:$G,'[1]Rincian Keluar'!$E:$E,'ILALANG 02'!C116,'[1]Rincian Keluar'!$D:$D,'ILALANG 02'!$D$1,'[1]Rincian Keluar'!$H:$H,'ILALANG 02'!$J$1,'[1]Rincian Keluar'!$F:$F,'ILALANG 02'!M116)</f>
        <v>0</v>
      </c>
      <c r="F116" s="57">
        <v>5000</v>
      </c>
      <c r="G116" s="98">
        <f t="shared" si="23"/>
        <v>0</v>
      </c>
      <c r="H116" s="112"/>
      <c r="I116" s="47"/>
      <c r="J116" s="113"/>
      <c r="K116" s="107"/>
      <c r="M116" s="20" t="str">
        <f t="shared" si="22"/>
        <v>WC</v>
      </c>
    </row>
    <row r="117" spans="1:13" ht="18" customHeight="1" x14ac:dyDescent="0.25">
      <c r="B117" s="29" t="s">
        <v>102</v>
      </c>
      <c r="C117" s="124" t="s">
        <v>103</v>
      </c>
      <c r="D117" s="31"/>
      <c r="E117" s="31"/>
      <c r="F117" s="31"/>
      <c r="G117" s="31"/>
      <c r="H117" s="31"/>
      <c r="I117" s="32"/>
      <c r="J117" s="31"/>
      <c r="K117" s="33"/>
      <c r="M117" s="20"/>
    </row>
    <row r="118" spans="1:13" ht="18" customHeight="1" x14ac:dyDescent="0.25">
      <c r="B118" s="34">
        <v>1</v>
      </c>
      <c r="C118" s="72" t="s">
        <v>104</v>
      </c>
      <c r="D118" s="36">
        <f>IFERROR(HLOOKUP($J$1,[1]DB!$C$1:$K$172,118,FALSE),"")</f>
        <v>4</v>
      </c>
      <c r="E118" s="36">
        <f>SUMIFS('[1]Rincian Keluar'!$G:$G,'[1]Rincian Keluar'!$E:$E,'ILALANG 02'!C118,'[1]Rincian Keluar'!$D:$D,'ILALANG 02'!$D$1,'[1]Rincian Keluar'!$H:$H,'ILALANG 02'!$J$1,'[1]Rincian Keluar'!$F:$F,'ILALANG 02'!M118)</f>
        <v>0</v>
      </c>
      <c r="F118" s="57">
        <v>124500</v>
      </c>
      <c r="G118" s="98">
        <f>E118*F118</f>
        <v>0</v>
      </c>
      <c r="H118" s="194"/>
      <c r="I118" s="126">
        <f>IFERROR(VLOOKUP($C117,[1]HK!$B$5:$C$20,2,FALSE),"")*$J1+434000</f>
        <v>1085000</v>
      </c>
      <c r="J118" s="127"/>
      <c r="K118" s="195"/>
      <c r="M118" s="20" t="str">
        <f>$C$117</f>
        <v>ACI MINIMALIS</v>
      </c>
    </row>
    <row r="119" spans="1:13" ht="18" customHeight="1" x14ac:dyDescent="0.25">
      <c r="B119" s="29" t="s">
        <v>105</v>
      </c>
      <c r="C119" s="124" t="s">
        <v>106</v>
      </c>
      <c r="D119" s="31"/>
      <c r="E119" s="31"/>
      <c r="F119" s="31"/>
      <c r="G119" s="31"/>
      <c r="H119" s="31"/>
      <c r="I119" s="32"/>
      <c r="J119" s="31"/>
      <c r="K119" s="33"/>
      <c r="M119" s="20"/>
    </row>
    <row r="120" spans="1:13" ht="18" customHeight="1" x14ac:dyDescent="0.25">
      <c r="B120" s="34">
        <v>1</v>
      </c>
      <c r="C120" s="35" t="s">
        <v>107</v>
      </c>
      <c r="D120" s="36">
        <f>IFERROR(HLOOKUP($J$1,[1]DB!$C$1:$K$172,120,FALSE),"")</f>
        <v>2</v>
      </c>
      <c r="E120" s="36">
        <f>SUMIFS('[1]Rincian Keluar'!$G:$G,'[1]Rincian Keluar'!$E:$E,'ILALANG 02'!C120,'[1]Rincian Keluar'!$D:$D,'ILALANG 02'!$D$1,'[1]Rincian Keluar'!$H:$H,'ILALANG 02'!$J$1,'[1]Rincian Keluar'!$F:$F,'ILALANG 02'!M120)</f>
        <v>0</v>
      </c>
      <c r="F120" s="64">
        <v>2434900</v>
      </c>
      <c r="G120" s="98">
        <f>E120*F120</f>
        <v>0</v>
      </c>
      <c r="H120" s="108"/>
      <c r="I120" s="39">
        <f>IFERROR(VLOOKUP($C119,[1]HK!$B$5:$C$20,2,FALSE),"")*$J1</f>
        <v>2085000</v>
      </c>
      <c r="J120" s="109"/>
      <c r="K120" s="103"/>
      <c r="M120" s="20" t="str">
        <f>$C$119</f>
        <v>CAT</v>
      </c>
    </row>
    <row r="121" spans="1:13" ht="18" customHeight="1" x14ac:dyDescent="0.25">
      <c r="B121" s="34">
        <v>2</v>
      </c>
      <c r="C121" s="35" t="s">
        <v>108</v>
      </c>
      <c r="D121" s="36">
        <f>IFERROR(HLOOKUP($J$1,[1]DB!$C$1:$K$172,121,FALSE),"")</f>
        <v>4</v>
      </c>
      <c r="E121" s="36">
        <f>SUMIFS('[1]Rincian Keluar'!$G:$G,'[1]Rincian Keluar'!$E:$E,'ILALANG 02'!C121,'[1]Rincian Keluar'!$D:$D,'ILALANG 02'!$D$1,'[1]Rincian Keluar'!$H:$H,'ILALANG 02'!$J$1,'[1]Rincian Keluar'!$F:$F,'ILALANG 02'!M121)</f>
        <v>0</v>
      </c>
      <c r="F121" s="64">
        <v>275000</v>
      </c>
      <c r="G121" s="98">
        <f t="shared" ref="G121:G123" si="24">E121*F121</f>
        <v>0</v>
      </c>
      <c r="H121" s="110"/>
      <c r="I121" s="42"/>
      <c r="J121" s="111"/>
      <c r="K121" s="105"/>
      <c r="M121" s="20" t="str">
        <f>$C$119</f>
        <v>CAT</v>
      </c>
    </row>
    <row r="122" spans="1:13" ht="18" customHeight="1" x14ac:dyDescent="0.25">
      <c r="B122" s="34">
        <v>3</v>
      </c>
      <c r="C122" s="72" t="s">
        <v>104</v>
      </c>
      <c r="D122" s="36">
        <f>IFERROR(HLOOKUP($J$1,[1]DB!$C$1:$K$172,122,FALSE),"")</f>
        <v>15</v>
      </c>
      <c r="E122" s="36">
        <f>SUMIFS('[1]Rincian Keluar'!$G:$G,'[1]Rincian Keluar'!$E:$E,'ILALANG 02'!C122,'[1]Rincian Keluar'!$D:$D,'ILALANG 02'!$D$1,'[1]Rincian Keluar'!$H:$H,'ILALANG 02'!$J$1,'[1]Rincian Keluar'!$F:$F,'ILALANG 02'!M122)</f>
        <v>0</v>
      </c>
      <c r="F122" s="57">
        <v>124500</v>
      </c>
      <c r="G122" s="98">
        <f t="shared" si="24"/>
        <v>0</v>
      </c>
      <c r="H122" s="110"/>
      <c r="I122" s="42"/>
      <c r="J122" s="111"/>
      <c r="K122" s="105"/>
      <c r="M122" s="20" t="str">
        <f>$C$119</f>
        <v>CAT</v>
      </c>
    </row>
    <row r="123" spans="1:13" ht="18" customHeight="1" x14ac:dyDescent="0.25">
      <c r="B123" s="34">
        <v>4</v>
      </c>
      <c r="C123" s="72" t="s">
        <v>109</v>
      </c>
      <c r="D123" s="36">
        <f>IFERROR(HLOOKUP($J$1,[1]DB!$C$1:$K$172,123,FALSE),"")</f>
        <v>2</v>
      </c>
      <c r="E123" s="36">
        <f>SUMIFS('[1]Rincian Keluar'!$G:$G,'[1]Rincian Keluar'!$E:$E,'ILALANG 02'!C123,'[1]Rincian Keluar'!$D:$D,'ILALANG 02'!$D$1,'[1]Rincian Keluar'!$H:$H,'ILALANG 02'!$J$1,'[1]Rincian Keluar'!$F:$F,'ILALANG 02'!M123)</f>
        <v>0</v>
      </c>
      <c r="F123" s="57">
        <v>115000</v>
      </c>
      <c r="G123" s="98">
        <f t="shared" si="24"/>
        <v>0</v>
      </c>
      <c r="H123" s="112"/>
      <c r="I123" s="47"/>
      <c r="J123" s="113"/>
      <c r="K123" s="107"/>
      <c r="M123" s="20" t="str">
        <f>$C$119</f>
        <v>CAT</v>
      </c>
    </row>
    <row r="124" spans="1:13" ht="18" customHeight="1" x14ac:dyDescent="0.25">
      <c r="B124" s="29" t="s">
        <v>110</v>
      </c>
      <c r="C124" s="124" t="s">
        <v>111</v>
      </c>
      <c r="D124" s="132"/>
      <c r="E124" s="132"/>
      <c r="F124" s="132"/>
      <c r="G124" s="132"/>
      <c r="H124" s="132"/>
      <c r="I124" s="133"/>
      <c r="J124" s="132"/>
      <c r="K124" s="134"/>
      <c r="M124" s="20"/>
    </row>
    <row r="125" spans="1:13" ht="18" customHeight="1" x14ac:dyDescent="0.25">
      <c r="B125" s="34">
        <v>1</v>
      </c>
      <c r="C125" s="35" t="s">
        <v>54</v>
      </c>
      <c r="D125" s="36">
        <f>IFERROR(HLOOKUP($J$1,[1]DB!$C$1:$K$172,125,FALSE),"")</f>
        <v>100</v>
      </c>
      <c r="E125" s="36">
        <f>SUMIFS('[1]Rincian Keluar'!$G:$G,'[1]Rincian Keluar'!$E:$E,'ILALANG 02'!C125,'[1]Rincian Keluar'!$D:$D,'ILALANG 02'!$D$1,'[1]Rincian Keluar'!$H:$H,'ILALANG 02'!$J$1,'[1]Rincian Keluar'!$F:$F,'ILALANG 02'!M125)</f>
        <v>0</v>
      </c>
      <c r="F125" s="37">
        <v>1850</v>
      </c>
      <c r="G125" s="135">
        <f>E125*F125</f>
        <v>0</v>
      </c>
      <c r="H125" s="108"/>
      <c r="I125" s="39">
        <f>IFERROR(VLOOKUP($C124,[1]HK!$B$5:$C$20,2,FALSE),"")*$J1+178000</f>
        <v>445000</v>
      </c>
      <c r="J125" s="129"/>
      <c r="K125" s="103"/>
      <c r="M125" s="20" t="str">
        <f>$C$124</f>
        <v>PAGAR</v>
      </c>
    </row>
    <row r="126" spans="1:13" ht="18" customHeight="1" x14ac:dyDescent="0.25">
      <c r="B126" s="34">
        <v>2</v>
      </c>
      <c r="C126" s="35" t="s">
        <v>31</v>
      </c>
      <c r="D126" s="36">
        <f>IFERROR(HLOOKUP($J$1,[1]DB!$C$1:$K$172,126,FALSE),"")</f>
        <v>1</v>
      </c>
      <c r="E126" s="36">
        <f>SUMIFS('[1]Rincian Keluar'!$G:$G,'[1]Rincian Keluar'!$E:$E,'ILALANG 02'!C126,'[1]Rincian Keluar'!$D:$D,'ILALANG 02'!$D$1,'[1]Rincian Keluar'!$H:$H,'ILALANG 02'!$J$1,'[1]Rincian Keluar'!$F:$F,'ILALANG 02'!M126)</f>
        <v>0</v>
      </c>
      <c r="F126" s="37">
        <v>150000</v>
      </c>
      <c r="G126" s="135">
        <f t="shared" ref="G126:G129" si="25">E126*F126</f>
        <v>0</v>
      </c>
      <c r="H126" s="110"/>
      <c r="I126" s="42"/>
      <c r="J126" s="130"/>
      <c r="K126" s="105"/>
      <c r="M126" s="20" t="str">
        <f>$C$124</f>
        <v>PAGAR</v>
      </c>
    </row>
    <row r="127" spans="1:13" ht="18" customHeight="1" x14ac:dyDescent="0.25">
      <c r="B127" s="34">
        <v>3</v>
      </c>
      <c r="C127" s="45" t="s">
        <v>24</v>
      </c>
      <c r="D127" s="36">
        <f>IFERROR(HLOOKUP($J$1,[1]DB!$C$1:$K$172,127,FALSE),"")</f>
        <v>3</v>
      </c>
      <c r="E127" s="36">
        <f>SUMIFS('[1]Rincian Keluar'!$G:$G,'[1]Rincian Keluar'!$E:$E,'ILALANG 02'!C127,'[1]Rincian Keluar'!$D:$D,'ILALANG 02'!$D$1,'[1]Rincian Keluar'!$H:$H,'ILALANG 02'!$J$1,'[1]Rincian Keluar'!$F:$F,'ILALANG 02'!M127)</f>
        <v>0</v>
      </c>
      <c r="F127" s="37">
        <v>60700</v>
      </c>
      <c r="G127" s="135">
        <f t="shared" si="25"/>
        <v>0</v>
      </c>
      <c r="H127" s="110"/>
      <c r="I127" s="42"/>
      <c r="J127" s="130"/>
      <c r="K127" s="105"/>
      <c r="M127" s="20" t="str">
        <f>$C$124</f>
        <v>PAGAR</v>
      </c>
    </row>
    <row r="128" spans="1:13" ht="18" customHeight="1" x14ac:dyDescent="0.25">
      <c r="B128" s="34">
        <v>4</v>
      </c>
      <c r="C128" s="45" t="s">
        <v>51</v>
      </c>
      <c r="D128" s="36">
        <f>IFERROR(HLOOKUP($J$1,[1]DB!$C$1:$K$172,128,FALSE),"")</f>
        <v>2</v>
      </c>
      <c r="E128" s="36">
        <f>SUMIFS('[1]Rincian Keluar'!$G:$G,'[1]Rincian Keluar'!$E:$E,'ILALANG 02'!C128,'[1]Rincian Keluar'!$D:$D,'ILALANG 02'!$D$1,'[1]Rincian Keluar'!$H:$H,'ILALANG 02'!$J$1,'[1]Rincian Keluar'!$F:$F,'ILALANG 02'!M128)</f>
        <v>0</v>
      </c>
      <c r="F128" s="37">
        <v>22000</v>
      </c>
      <c r="G128" s="135">
        <f t="shared" si="25"/>
        <v>0</v>
      </c>
      <c r="H128" s="110"/>
      <c r="I128" s="42"/>
      <c r="J128" s="130"/>
      <c r="K128" s="105"/>
      <c r="M128" s="20" t="str">
        <f>$C$124</f>
        <v>PAGAR</v>
      </c>
    </row>
    <row r="129" spans="2:13" ht="18" customHeight="1" x14ac:dyDescent="0.25">
      <c r="B129" s="29">
        <v>5</v>
      </c>
      <c r="C129" s="45" t="s">
        <v>57</v>
      </c>
      <c r="D129" s="36">
        <f>IFERROR(HLOOKUP($J$1,[1]DB!$C$1:$K$172,129,FALSE),"")</f>
        <v>4</v>
      </c>
      <c r="E129" s="36">
        <f>SUMIFS('[1]Rincian Keluar'!$G:$G,'[1]Rincian Keluar'!$E:$E,'ILALANG 02'!C129,'[1]Rincian Keluar'!$D:$D,'ILALANG 02'!$D$1,'[1]Rincian Keluar'!$H:$H,'ILALANG 02'!$J$1,'[1]Rincian Keluar'!$F:$F,'ILALANG 02'!M129)</f>
        <v>0</v>
      </c>
      <c r="F129" s="37">
        <v>35000</v>
      </c>
      <c r="G129" s="135">
        <f t="shared" si="25"/>
        <v>0</v>
      </c>
      <c r="H129" s="112"/>
      <c r="I129" s="47"/>
      <c r="J129" s="131"/>
      <c r="K129" s="107"/>
      <c r="M129" s="20" t="str">
        <f>$C$124</f>
        <v>PAGAR</v>
      </c>
    </row>
    <row r="130" spans="2:13" ht="18" customHeight="1" x14ac:dyDescent="0.25">
      <c r="B130" s="29" t="s">
        <v>112</v>
      </c>
      <c r="C130" s="124" t="s">
        <v>113</v>
      </c>
      <c r="D130" s="132"/>
      <c r="E130" s="132"/>
      <c r="F130" s="132"/>
      <c r="G130" s="132"/>
      <c r="H130" s="132"/>
      <c r="I130" s="133"/>
      <c r="J130" s="132"/>
      <c r="K130" s="134"/>
      <c r="M130" s="20"/>
    </row>
    <row r="131" spans="2:13" ht="18" customHeight="1" x14ac:dyDescent="0.25">
      <c r="B131" s="34">
        <v>1</v>
      </c>
      <c r="C131" s="45" t="s">
        <v>24</v>
      </c>
      <c r="D131" s="36">
        <f>IFERROR(HLOOKUP($J$1,[1]DB!$C$1:$K$172,131,FALSE),"")</f>
        <v>9</v>
      </c>
      <c r="E131" s="36">
        <f>SUMIFS('[1]Rincian Keluar'!$G:$G,'[1]Rincian Keluar'!$E:$E,'ILALANG 02'!C131,'[1]Rincian Keluar'!$D:$D,'ILALANG 02'!$D$1,'[1]Rincian Keluar'!$H:$H,'ILALANG 02'!$J$1,'[1]Rincian Keluar'!$F:$F,'ILALANG 02'!M131)</f>
        <v>0</v>
      </c>
      <c r="F131" s="37">
        <v>60700</v>
      </c>
      <c r="G131" s="135">
        <f>E131*F131</f>
        <v>0</v>
      </c>
      <c r="H131" s="172"/>
      <c r="I131" s="39">
        <f>IFERROR(VLOOKUP($C130,[1]HK!$B$5:$C$20,2,FALSE),"")*$J1+221000</f>
        <v>552500</v>
      </c>
      <c r="J131" s="173"/>
      <c r="K131" s="103"/>
      <c r="M131" s="20" t="str">
        <f>$C$130</f>
        <v>MINIMALIS CARPORT</v>
      </c>
    </row>
    <row r="132" spans="2:13" ht="18" customHeight="1" x14ac:dyDescent="0.25">
      <c r="B132" s="34">
        <v>2</v>
      </c>
      <c r="C132" s="35" t="s">
        <v>31</v>
      </c>
      <c r="D132" s="36">
        <f>IFERROR(HLOOKUP($J$1,[1]DB!$C$1:$K$172,132,FALSE),"")</f>
        <v>2</v>
      </c>
      <c r="E132" s="36">
        <f>SUMIFS('[1]Rincian Keluar'!$G:$G,'[1]Rincian Keluar'!$E:$E,'ILALANG 02'!C132,'[1]Rincian Keluar'!$D:$D,'ILALANG 02'!$D$1,'[1]Rincian Keluar'!$H:$H,'ILALANG 02'!$J$1,'[1]Rincian Keluar'!$F:$F,'ILALANG 02'!M132)</f>
        <v>0</v>
      </c>
      <c r="F132" s="37">
        <v>150000</v>
      </c>
      <c r="G132" s="135">
        <f>E132*F132</f>
        <v>0</v>
      </c>
      <c r="H132" s="122"/>
      <c r="I132" s="47"/>
      <c r="J132" s="113"/>
      <c r="K132" s="107"/>
      <c r="M132" s="20" t="str">
        <f>$C$130</f>
        <v>MINIMALIS CARPORT</v>
      </c>
    </row>
    <row r="133" spans="2:13" ht="18" customHeight="1" x14ac:dyDescent="0.25">
      <c r="B133" s="29" t="s">
        <v>114</v>
      </c>
      <c r="C133" s="124" t="s">
        <v>115</v>
      </c>
      <c r="D133" s="132"/>
      <c r="E133" s="132"/>
      <c r="F133" s="132"/>
      <c r="G133" s="132"/>
      <c r="H133" s="132"/>
      <c r="I133" s="133"/>
      <c r="J133" s="132"/>
      <c r="K133" s="134"/>
      <c r="M133" s="20"/>
    </row>
    <row r="134" spans="2:13" s="66" customFormat="1" ht="18" customHeight="1" x14ac:dyDescent="0.25">
      <c r="B134" s="34">
        <v>1</v>
      </c>
      <c r="C134" s="35" t="s">
        <v>116</v>
      </c>
      <c r="D134" s="36" t="str">
        <f>IFERROR(HLOOKUP($J$1,[1]DB!$C$1:$K$172,1334,FALSE),"")</f>
        <v/>
      </c>
      <c r="E134" s="36">
        <f>SUMIFS('[1]Rincian Keluar'!$G:$G,'[1]Rincian Keluar'!$E:$E,'ILALANG 02'!C134,'[1]Rincian Keluar'!$D:$D,'ILALANG 02'!$D$1,'[1]Rincian Keluar'!$H:$H,'ILALANG 02'!$J$1,'[1]Rincian Keluar'!$F:$F,'ILALANG 02'!M134)</f>
        <v>0</v>
      </c>
      <c r="F134" s="37">
        <v>82000</v>
      </c>
      <c r="G134" s="135">
        <f>E134*F134</f>
        <v>0</v>
      </c>
      <c r="H134" s="136"/>
      <c r="I134" s="39"/>
      <c r="J134" s="137"/>
      <c r="K134" s="84"/>
      <c r="M134" s="20" t="str">
        <f t="shared" ref="M134:M141" si="26">$C$133</f>
        <v>TALANG AIR</v>
      </c>
    </row>
    <row r="135" spans="2:13" s="66" customFormat="1" ht="18" customHeight="1" x14ac:dyDescent="0.25">
      <c r="B135" s="34">
        <v>2</v>
      </c>
      <c r="C135" s="35" t="s">
        <v>117</v>
      </c>
      <c r="D135" s="36">
        <f>IFERROR(HLOOKUP($J$1,[1]DB!$C$1:$K$172,135,FALSE),"")</f>
        <v>2</v>
      </c>
      <c r="E135" s="36">
        <f>SUMIFS('[1]Rincian Keluar'!$G:$G,'[1]Rincian Keluar'!$E:$E,'ILALANG 02'!C135,'[1]Rincian Keluar'!$D:$D,'ILALANG 02'!$D$1,'[1]Rincian Keluar'!$H:$H,'ILALANG 02'!$J$1,'[1]Rincian Keluar'!$F:$F,'ILALANG 02'!M135)</f>
        <v>0</v>
      </c>
      <c r="F135" s="37">
        <v>50000</v>
      </c>
      <c r="G135" s="135">
        <f t="shared" ref="G135:G141" si="27">E135*F135</f>
        <v>0</v>
      </c>
      <c r="H135" s="138"/>
      <c r="I135" s="42"/>
      <c r="J135" s="104"/>
      <c r="K135" s="87"/>
      <c r="M135" s="20" t="str">
        <f t="shared" si="26"/>
        <v>TALANG AIR</v>
      </c>
    </row>
    <row r="136" spans="2:13" s="66" customFormat="1" ht="18" customHeight="1" x14ac:dyDescent="0.25">
      <c r="B136" s="34">
        <v>3</v>
      </c>
      <c r="C136" s="35" t="s">
        <v>118</v>
      </c>
      <c r="D136" s="36">
        <f>IFERROR(HLOOKUP($J$1,[1]DB!$C$1:$K$172,136,FALSE),"")</f>
        <v>2</v>
      </c>
      <c r="E136" s="36">
        <f>SUMIFS('[1]Rincian Keluar'!$G:$G,'[1]Rincian Keluar'!$E:$E,'ILALANG 02'!C136,'[1]Rincian Keluar'!$D:$D,'ILALANG 02'!$D$1,'[1]Rincian Keluar'!$H:$H,'ILALANG 02'!$J$1,'[1]Rincian Keluar'!$F:$F,'ILALANG 02'!M136)</f>
        <v>0</v>
      </c>
      <c r="F136" s="37">
        <v>4000</v>
      </c>
      <c r="G136" s="135">
        <f t="shared" si="27"/>
        <v>0</v>
      </c>
      <c r="H136" s="138"/>
      <c r="I136" s="42"/>
      <c r="J136" s="104"/>
      <c r="K136" s="87"/>
      <c r="M136" s="20" t="str">
        <f t="shared" si="26"/>
        <v>TALANG AIR</v>
      </c>
    </row>
    <row r="137" spans="2:13" s="66" customFormat="1" ht="18" customHeight="1" x14ac:dyDescent="0.25">
      <c r="B137" s="34">
        <v>4</v>
      </c>
      <c r="C137" s="35" t="s">
        <v>119</v>
      </c>
      <c r="D137" s="36">
        <f>IFERROR(HLOOKUP($J$1,[1]DB!$C$1:$K$172,137,FALSE),"")</f>
        <v>1</v>
      </c>
      <c r="E137" s="36">
        <f>SUMIFS('[1]Rincian Keluar'!$G:$G,'[1]Rincian Keluar'!$E:$E,'ILALANG 02'!C137,'[1]Rincian Keluar'!$D:$D,'ILALANG 02'!$D$1,'[1]Rincian Keluar'!$H:$H,'ILALANG 02'!$J$1,'[1]Rincian Keluar'!$F:$F,'ILALANG 02'!M137)</f>
        <v>0</v>
      </c>
      <c r="F137" s="37">
        <v>15000</v>
      </c>
      <c r="G137" s="135">
        <f t="shared" si="27"/>
        <v>0</v>
      </c>
      <c r="H137" s="138"/>
      <c r="I137" s="42"/>
      <c r="J137" s="104"/>
      <c r="K137" s="87"/>
      <c r="M137" s="20" t="str">
        <f t="shared" si="26"/>
        <v>TALANG AIR</v>
      </c>
    </row>
    <row r="138" spans="2:13" s="66" customFormat="1" ht="18" customHeight="1" x14ac:dyDescent="0.25">
      <c r="B138" s="34">
        <v>5</v>
      </c>
      <c r="C138" s="35" t="s">
        <v>120</v>
      </c>
      <c r="D138" s="36">
        <f>IFERROR(HLOOKUP($J$1,[1]DB!$C$1:$K$172,138,FALSE),"")</f>
        <v>1</v>
      </c>
      <c r="E138" s="36">
        <f>SUMIFS('[1]Rincian Keluar'!$G:$G,'[1]Rincian Keluar'!$E:$E,'ILALANG 02'!C138,'[1]Rincian Keluar'!$D:$D,'ILALANG 02'!$D$1,'[1]Rincian Keluar'!$H:$H,'ILALANG 02'!$J$1,'[1]Rincian Keluar'!$F:$F,'ILALANG 02'!M138)</f>
        <v>0</v>
      </c>
      <c r="F138" s="37">
        <v>12000</v>
      </c>
      <c r="G138" s="135">
        <f t="shared" si="27"/>
        <v>0</v>
      </c>
      <c r="H138" s="138"/>
      <c r="I138" s="42"/>
      <c r="J138" s="104"/>
      <c r="K138" s="87"/>
      <c r="M138" s="20" t="str">
        <f t="shared" si="26"/>
        <v>TALANG AIR</v>
      </c>
    </row>
    <row r="139" spans="2:13" s="66" customFormat="1" ht="18" customHeight="1" x14ac:dyDescent="0.25">
      <c r="B139" s="34">
        <v>6</v>
      </c>
      <c r="C139" s="35" t="s">
        <v>121</v>
      </c>
      <c r="D139" s="36">
        <f>IFERROR(HLOOKUP($J$1,[1]DB!$C$1:$K$172,139,FALSE),"")</f>
        <v>3</v>
      </c>
      <c r="E139" s="36">
        <f>SUMIFS('[1]Rincian Keluar'!$G:$G,'[1]Rincian Keluar'!$E:$E,'ILALANG 02'!C139,'[1]Rincian Keluar'!$D:$D,'ILALANG 02'!$D$1,'[1]Rincian Keluar'!$H:$H,'ILALANG 02'!$J$1,'[1]Rincian Keluar'!$F:$F,'ILALANG 02'!M139)</f>
        <v>0</v>
      </c>
      <c r="F139" s="37">
        <v>4000</v>
      </c>
      <c r="G139" s="135">
        <f t="shared" si="27"/>
        <v>0</v>
      </c>
      <c r="H139" s="138"/>
      <c r="I139" s="42"/>
      <c r="J139" s="104"/>
      <c r="K139" s="87"/>
      <c r="M139" s="20" t="str">
        <f t="shared" si="26"/>
        <v>TALANG AIR</v>
      </c>
    </row>
    <row r="140" spans="2:13" s="66" customFormat="1" ht="18" customHeight="1" x14ac:dyDescent="0.25">
      <c r="B140" s="34">
        <v>7</v>
      </c>
      <c r="C140" s="35" t="s">
        <v>122</v>
      </c>
      <c r="D140" s="36">
        <f>IFERROR(HLOOKUP($J$1,[1]DB!$C$1:$K$172,140,FALSE),"")</f>
        <v>1</v>
      </c>
      <c r="E140" s="36">
        <f>SUMIFS('[1]Rincian Keluar'!$G:$G,'[1]Rincian Keluar'!$E:$E,'ILALANG 02'!C140,'[1]Rincian Keluar'!$D:$D,'ILALANG 02'!$D$1,'[1]Rincian Keluar'!$H:$H,'ILALANG 02'!$J$1,'[1]Rincian Keluar'!$F:$F,'ILALANG 02'!M140)</f>
        <v>0</v>
      </c>
      <c r="F140" s="37">
        <v>8000</v>
      </c>
      <c r="G140" s="135">
        <f t="shared" si="27"/>
        <v>0</v>
      </c>
      <c r="H140" s="138"/>
      <c r="I140" s="42"/>
      <c r="J140" s="104"/>
      <c r="K140" s="87"/>
      <c r="M140" s="20" t="str">
        <f t="shared" si="26"/>
        <v>TALANG AIR</v>
      </c>
    </row>
    <row r="141" spans="2:13" s="66" customFormat="1" ht="18" customHeight="1" x14ac:dyDescent="0.25">
      <c r="B141" s="34">
        <v>8</v>
      </c>
      <c r="C141" s="139" t="s">
        <v>123</v>
      </c>
      <c r="D141" s="36">
        <f>IFERROR(HLOOKUP($J$1,[1]DB!$C$1:$K$172,141,FALSE),"")</f>
        <v>1</v>
      </c>
      <c r="E141" s="36">
        <f>SUMIFS('[1]Rincian Keluar'!$G:$G,'[1]Rincian Keluar'!$E:$E,'ILALANG 02'!C141,'[1]Rincian Keluar'!$D:$D,'ILALANG 02'!$D$1,'[1]Rincian Keluar'!$H:$H,'ILALANG 02'!$J$1,'[1]Rincian Keluar'!$F:$F,'ILALANG 02'!M141)</f>
        <v>0</v>
      </c>
      <c r="F141" s="37">
        <v>22000</v>
      </c>
      <c r="G141" s="135">
        <f t="shared" si="27"/>
        <v>0</v>
      </c>
      <c r="H141" s="140"/>
      <c r="I141" s="47"/>
      <c r="J141" s="106"/>
      <c r="K141" s="90"/>
      <c r="M141" s="20" t="str">
        <f t="shared" si="26"/>
        <v>TALANG AIR</v>
      </c>
    </row>
    <row r="142" spans="2:13" ht="18" customHeight="1" x14ac:dyDescent="0.25">
      <c r="B142" s="29" t="s">
        <v>124</v>
      </c>
      <c r="C142" s="124" t="s">
        <v>125</v>
      </c>
      <c r="D142" s="132"/>
      <c r="E142" s="132"/>
      <c r="F142" s="132"/>
      <c r="G142" s="132"/>
      <c r="H142" s="132"/>
      <c r="I142" s="133"/>
      <c r="J142" s="132"/>
      <c r="K142" s="134"/>
      <c r="M142" s="20"/>
    </row>
    <row r="143" spans="2:13" s="142" customFormat="1" ht="18" customHeight="1" x14ac:dyDescent="0.25">
      <c r="B143" s="34">
        <v>1</v>
      </c>
      <c r="C143" s="139" t="s">
        <v>126</v>
      </c>
      <c r="D143" s="36">
        <f>IFERROR(HLOOKUP($J$1,[1]DB!$C$1:$K$172,143,FALSE),"")</f>
        <v>4</v>
      </c>
      <c r="E143" s="36">
        <f>SUMIFS('[1]Rincian Keluar'!$G:$G,'[1]Rincian Keluar'!$E:$E,'ILALANG 02'!C143,'[1]Rincian Keluar'!$D:$D,'ILALANG 02'!$D$1,'[1]Rincian Keluar'!$H:$H,'ILALANG 02'!$J$1,'[1]Rincian Keluar'!$F:$F,'ILALANG 02'!M143)</f>
        <v>0</v>
      </c>
      <c r="F143" s="141">
        <v>165000</v>
      </c>
      <c r="G143" s="98">
        <f>E143*F143</f>
        <v>0</v>
      </c>
      <c r="H143" s="136"/>
      <c r="I143" s="39"/>
      <c r="J143" s="137"/>
      <c r="K143" s="84"/>
      <c r="M143" s="20" t="str">
        <f t="shared" ref="M143:M161" si="28">$C$142</f>
        <v xml:space="preserve">JENDELA </v>
      </c>
    </row>
    <row r="144" spans="2:13" s="142" customFormat="1" ht="18" customHeight="1" x14ac:dyDescent="0.25">
      <c r="B144" s="34">
        <v>2</v>
      </c>
      <c r="C144" s="139" t="s">
        <v>127</v>
      </c>
      <c r="D144" s="36">
        <f>IFERROR(HLOOKUP($J$1,[1]DB!$C$1:$K$172,144,FALSE),"")</f>
        <v>2</v>
      </c>
      <c r="E144" s="36">
        <f>SUMIFS('[1]Rincian Keluar'!$G:$G,'[1]Rincian Keluar'!$E:$E,'ILALANG 02'!C144,'[1]Rincian Keluar'!$D:$D,'ILALANG 02'!$D$1,'[1]Rincian Keluar'!$H:$H,'ILALANG 02'!$J$1,'[1]Rincian Keluar'!$F:$F,'ILALANG 02'!M144)</f>
        <v>0</v>
      </c>
      <c r="F144" s="141">
        <v>198000</v>
      </c>
      <c r="G144" s="98">
        <f t="shared" ref="G144:G161" si="29">E144*F144</f>
        <v>0</v>
      </c>
      <c r="H144" s="138"/>
      <c r="I144" s="42"/>
      <c r="J144" s="104"/>
      <c r="K144" s="87"/>
      <c r="M144" s="20" t="str">
        <f t="shared" si="28"/>
        <v xml:space="preserve">JENDELA </v>
      </c>
    </row>
    <row r="145" spans="2:13" s="142" customFormat="1" ht="18" customHeight="1" x14ac:dyDescent="0.25">
      <c r="B145" s="34">
        <v>3</v>
      </c>
      <c r="C145" s="139" t="s">
        <v>128</v>
      </c>
      <c r="D145" s="36">
        <f>IFERROR(HLOOKUP($J$1,[1]DB!$C$1:$K$172,145,FALSE),"")</f>
        <v>6</v>
      </c>
      <c r="E145" s="36">
        <f>SUMIFS('[1]Rincian Keluar'!$G:$G,'[1]Rincian Keluar'!$E:$E,'ILALANG 02'!C145,'[1]Rincian Keluar'!$D:$D,'ILALANG 02'!$D$1,'[1]Rincian Keluar'!$H:$H,'ILALANG 02'!$J$1,'[1]Rincian Keluar'!$F:$F,'ILALANG 02'!M145)</f>
        <v>0</v>
      </c>
      <c r="F145" s="141">
        <v>86000</v>
      </c>
      <c r="G145" s="98">
        <f t="shared" si="29"/>
        <v>0</v>
      </c>
      <c r="H145" s="138"/>
      <c r="I145" s="42"/>
      <c r="J145" s="104"/>
      <c r="K145" s="87"/>
      <c r="M145" s="20" t="str">
        <f t="shared" si="28"/>
        <v xml:space="preserve">JENDELA </v>
      </c>
    </row>
    <row r="146" spans="2:13" s="142" customFormat="1" ht="18" customHeight="1" x14ac:dyDescent="0.25">
      <c r="B146" s="34">
        <v>4</v>
      </c>
      <c r="C146" s="139" t="s">
        <v>129</v>
      </c>
      <c r="D146" s="36">
        <f>IFERROR(HLOOKUP($J$1,[1]DB!$C$1:$K$172,146,FALSE),"")</f>
        <v>6</v>
      </c>
      <c r="E146" s="36">
        <f>SUMIFS('[1]Rincian Keluar'!$G:$G,'[1]Rincian Keluar'!$E:$E,'ILALANG 02'!C146,'[1]Rincian Keluar'!$D:$D,'ILALANG 02'!$D$1,'[1]Rincian Keluar'!$H:$H,'ILALANG 02'!$J$1,'[1]Rincian Keluar'!$F:$F,'ILALANG 02'!M146)</f>
        <v>0</v>
      </c>
      <c r="F146" s="141">
        <v>50000</v>
      </c>
      <c r="G146" s="98">
        <f t="shared" si="29"/>
        <v>0</v>
      </c>
      <c r="H146" s="138"/>
      <c r="I146" s="42"/>
      <c r="J146" s="104"/>
      <c r="K146" s="87"/>
      <c r="M146" s="20" t="str">
        <f t="shared" si="28"/>
        <v xml:space="preserve">JENDELA </v>
      </c>
    </row>
    <row r="147" spans="2:13" s="142" customFormat="1" ht="18" customHeight="1" x14ac:dyDescent="0.25">
      <c r="B147" s="34">
        <v>5</v>
      </c>
      <c r="C147" s="139" t="s">
        <v>130</v>
      </c>
      <c r="D147" s="36">
        <f>IFERROR(HLOOKUP($J$1,[1]DB!$C$1:$K$172,147,FALSE),"")</f>
        <v>1</v>
      </c>
      <c r="E147" s="36">
        <f>SUMIFS('[1]Rincian Keluar'!$G:$G,'[1]Rincian Keluar'!$E:$E,'ILALANG 02'!C147,'[1]Rincian Keluar'!$D:$D,'ILALANG 02'!$D$1,'[1]Rincian Keluar'!$H:$H,'ILALANG 02'!$J$1,'[1]Rincian Keluar'!$F:$F,'ILALANG 02'!M147)</f>
        <v>0</v>
      </c>
      <c r="F147" s="141">
        <v>60000</v>
      </c>
      <c r="G147" s="98">
        <f t="shared" si="29"/>
        <v>0</v>
      </c>
      <c r="H147" s="138"/>
      <c r="I147" s="42"/>
      <c r="J147" s="104"/>
      <c r="K147" s="87"/>
      <c r="M147" s="20" t="str">
        <f t="shared" si="28"/>
        <v xml:space="preserve">JENDELA </v>
      </c>
    </row>
    <row r="148" spans="2:13" s="142" customFormat="1" ht="18" customHeight="1" x14ac:dyDescent="0.25">
      <c r="B148" s="34">
        <v>6</v>
      </c>
      <c r="C148" s="139" t="s">
        <v>131</v>
      </c>
      <c r="D148" s="36">
        <f>IFERROR(HLOOKUP($J$1,[1]DB!$C$1:$K$172,148,FALSE),"")</f>
        <v>2</v>
      </c>
      <c r="E148" s="36">
        <f>SUMIFS('[1]Rincian Keluar'!$G:$G,'[1]Rincian Keluar'!$E:$E,'ILALANG 02'!C148,'[1]Rincian Keluar'!$D:$D,'ILALANG 02'!$D$1,'[1]Rincian Keluar'!$H:$H,'ILALANG 02'!$J$1,'[1]Rincian Keluar'!$F:$F,'ILALANG 02'!M148)</f>
        <v>0</v>
      </c>
      <c r="F148" s="141">
        <v>55000</v>
      </c>
      <c r="G148" s="98">
        <f t="shared" si="29"/>
        <v>0</v>
      </c>
      <c r="H148" s="138"/>
      <c r="I148" s="42"/>
      <c r="J148" s="104"/>
      <c r="K148" s="87"/>
      <c r="M148" s="20" t="str">
        <f t="shared" si="28"/>
        <v xml:space="preserve">JENDELA </v>
      </c>
    </row>
    <row r="149" spans="2:13" s="142" customFormat="1" ht="18" customHeight="1" x14ac:dyDescent="0.25">
      <c r="B149" s="34">
        <v>7</v>
      </c>
      <c r="C149" s="139" t="s">
        <v>132</v>
      </c>
      <c r="D149" s="36">
        <f>IFERROR(HLOOKUP($J$1,[1]DB!$C$1:$K$172,149,FALSE),"")</f>
        <v>2</v>
      </c>
      <c r="E149" s="36">
        <f>SUMIFS('[1]Rincian Keluar'!$G:$G,'[1]Rincian Keluar'!$E:$E,'ILALANG 02'!C149,'[1]Rincian Keluar'!$D:$D,'ILALANG 02'!$D$1,'[1]Rincian Keluar'!$H:$H,'ILALANG 02'!$J$1,'[1]Rincian Keluar'!$F:$F,'ILALANG 02'!M149)</f>
        <v>0</v>
      </c>
      <c r="F149" s="141">
        <v>50000</v>
      </c>
      <c r="G149" s="98">
        <f t="shared" si="29"/>
        <v>0</v>
      </c>
      <c r="H149" s="138"/>
      <c r="I149" s="42"/>
      <c r="J149" s="104"/>
      <c r="K149" s="87"/>
      <c r="M149" s="20" t="str">
        <f t="shared" si="28"/>
        <v xml:space="preserve">JENDELA </v>
      </c>
    </row>
    <row r="150" spans="2:13" s="142" customFormat="1" ht="18" customHeight="1" x14ac:dyDescent="0.25">
      <c r="B150" s="34">
        <v>8</v>
      </c>
      <c r="C150" s="139" t="s">
        <v>133</v>
      </c>
      <c r="D150" s="36">
        <f>IFERROR(HLOOKUP($J$1,[1]DB!$C$1:$K$172,150,FALSE),"")</f>
        <v>3</v>
      </c>
      <c r="E150" s="36">
        <f>SUMIFS('[1]Rincian Keluar'!$G:$G,'[1]Rincian Keluar'!$E:$E,'ILALANG 02'!C150,'[1]Rincian Keluar'!$D:$D,'ILALANG 02'!$D$1,'[1]Rincian Keluar'!$H:$H,'ILALANG 02'!$J$1,'[1]Rincian Keluar'!$F:$F,'ILALANG 02'!M150)</f>
        <v>0</v>
      </c>
      <c r="F150" s="141">
        <v>11000</v>
      </c>
      <c r="G150" s="98">
        <f t="shared" si="29"/>
        <v>0</v>
      </c>
      <c r="H150" s="138"/>
      <c r="I150" s="42"/>
      <c r="J150" s="104"/>
      <c r="K150" s="87"/>
      <c r="M150" s="20" t="str">
        <f t="shared" si="28"/>
        <v xml:space="preserve">JENDELA </v>
      </c>
    </row>
    <row r="151" spans="2:13" s="142" customFormat="1" ht="18" customHeight="1" x14ac:dyDescent="0.25">
      <c r="B151" s="34">
        <v>9</v>
      </c>
      <c r="C151" s="139" t="s">
        <v>134</v>
      </c>
      <c r="D151" s="36">
        <f>IFERROR(HLOOKUP($J$1,[1]DB!$C$1:$K$172,151,FALSE),"")</f>
        <v>2</v>
      </c>
      <c r="E151" s="36">
        <f>SUMIFS('[1]Rincian Keluar'!$G:$G,'[1]Rincian Keluar'!$E:$E,'ILALANG 02'!C151,'[1]Rincian Keluar'!$D:$D,'ILALANG 02'!$D$1,'[1]Rincian Keluar'!$H:$H,'ILALANG 02'!$J$1,'[1]Rincian Keluar'!$F:$F,'ILALANG 02'!M151)</f>
        <v>0</v>
      </c>
      <c r="F151" s="141">
        <v>11000</v>
      </c>
      <c r="G151" s="98">
        <f t="shared" si="29"/>
        <v>0</v>
      </c>
      <c r="H151" s="138"/>
      <c r="I151" s="42"/>
      <c r="J151" s="104"/>
      <c r="K151" s="87"/>
      <c r="M151" s="20" t="str">
        <f t="shared" si="28"/>
        <v xml:space="preserve">JENDELA </v>
      </c>
    </row>
    <row r="152" spans="2:13" s="142" customFormat="1" ht="18" customHeight="1" x14ac:dyDescent="0.25">
      <c r="B152" s="34">
        <v>10</v>
      </c>
      <c r="C152" s="139" t="s">
        <v>135</v>
      </c>
      <c r="D152" s="36">
        <f>IFERROR(HLOOKUP($J$1,[1]DB!$C$1:$K$172,152,FALSE),"")</f>
        <v>5</v>
      </c>
      <c r="E152" s="36">
        <f>SUMIFS('[1]Rincian Keluar'!$G:$G,'[1]Rincian Keluar'!$E:$E,'ILALANG 02'!C152,'[1]Rincian Keluar'!$D:$D,'ILALANG 02'!$D$1,'[1]Rincian Keluar'!$H:$H,'ILALANG 02'!$J$1,'[1]Rincian Keluar'!$F:$F,'ILALANG 02'!M152)</f>
        <v>0</v>
      </c>
      <c r="F152" s="141">
        <v>17000</v>
      </c>
      <c r="G152" s="98">
        <f t="shared" si="29"/>
        <v>0</v>
      </c>
      <c r="H152" s="138"/>
      <c r="I152" s="42"/>
      <c r="J152" s="104"/>
      <c r="K152" s="87"/>
      <c r="M152" s="20" t="str">
        <f t="shared" si="28"/>
        <v xml:space="preserve">JENDELA </v>
      </c>
    </row>
    <row r="153" spans="2:13" s="142" customFormat="1" ht="18" customHeight="1" x14ac:dyDescent="0.25">
      <c r="B153" s="34">
        <v>11</v>
      </c>
      <c r="C153" s="139" t="s">
        <v>136</v>
      </c>
      <c r="D153" s="36">
        <f>IFERROR(HLOOKUP($J$1,[1]DB!$C$1:$K$172,153,FALSE),"")</f>
        <v>4</v>
      </c>
      <c r="E153" s="36">
        <f>SUMIFS('[1]Rincian Keluar'!$G:$G,'[1]Rincian Keluar'!$E:$E,'ILALANG 02'!C153,'[1]Rincian Keluar'!$D:$D,'ILALANG 02'!$D$1,'[1]Rincian Keluar'!$H:$H,'ILALANG 02'!$J$1,'[1]Rincian Keluar'!$F:$F,'ILALANG 02'!M153)</f>
        <v>0</v>
      </c>
      <c r="F153" s="141">
        <v>40000</v>
      </c>
      <c r="G153" s="98">
        <f t="shared" si="29"/>
        <v>0</v>
      </c>
      <c r="H153" s="138"/>
      <c r="I153" s="42"/>
      <c r="J153" s="104"/>
      <c r="K153" s="87"/>
      <c r="M153" s="20" t="str">
        <f t="shared" si="28"/>
        <v xml:space="preserve">JENDELA </v>
      </c>
    </row>
    <row r="154" spans="2:13" s="142" customFormat="1" ht="18" customHeight="1" x14ac:dyDescent="0.25">
      <c r="B154" s="34">
        <v>12</v>
      </c>
      <c r="C154" s="139" t="s">
        <v>137</v>
      </c>
      <c r="D154" s="36">
        <f>IFERROR(HLOOKUP($J$1,[1]DB!$C$1:$K$172,154,FALSE),"")</f>
        <v>25</v>
      </c>
      <c r="E154" s="36">
        <f>SUMIFS('[1]Rincian Keluar'!$G:$G,'[1]Rincian Keluar'!$E:$E,'ILALANG 02'!C154,'[1]Rincian Keluar'!$D:$D,'ILALANG 02'!$D$1,'[1]Rincian Keluar'!$H:$H,'ILALANG 02'!$J$1,'[1]Rincian Keluar'!$F:$F,'ILALANG 02'!M154)</f>
        <v>0</v>
      </c>
      <c r="F154" s="141">
        <v>400</v>
      </c>
      <c r="G154" s="98">
        <f t="shared" si="29"/>
        <v>0</v>
      </c>
      <c r="H154" s="138"/>
      <c r="I154" s="42"/>
      <c r="J154" s="104"/>
      <c r="K154" s="87"/>
      <c r="M154" s="20" t="str">
        <f t="shared" si="28"/>
        <v xml:space="preserve">JENDELA </v>
      </c>
    </row>
    <row r="155" spans="2:13" s="142" customFormat="1" ht="18" customHeight="1" x14ac:dyDescent="0.25">
      <c r="B155" s="34">
        <v>13</v>
      </c>
      <c r="C155" s="139" t="s">
        <v>138</v>
      </c>
      <c r="D155" s="36">
        <f>IFERROR(HLOOKUP($J$1,[1]DB!$C$1:$K$172,155,FALSE),"")</f>
        <v>40</v>
      </c>
      <c r="E155" s="36">
        <f>SUMIFS('[1]Rincian Keluar'!$G:$G,'[1]Rincian Keluar'!$E:$E,'ILALANG 02'!C155,'[1]Rincian Keluar'!$D:$D,'ILALANG 02'!$D$1,'[1]Rincian Keluar'!$H:$H,'ILALANG 02'!$J$1,'[1]Rincian Keluar'!$F:$F,'ILALANG 02'!M155)</f>
        <v>0</v>
      </c>
      <c r="F155" s="141">
        <v>15000</v>
      </c>
      <c r="G155" s="98">
        <f t="shared" si="29"/>
        <v>0</v>
      </c>
      <c r="H155" s="138"/>
      <c r="I155" s="42"/>
      <c r="J155" s="104"/>
      <c r="K155" s="87"/>
      <c r="M155" s="20" t="str">
        <f t="shared" si="28"/>
        <v xml:space="preserve">JENDELA </v>
      </c>
    </row>
    <row r="156" spans="2:13" s="142" customFormat="1" ht="18" customHeight="1" x14ac:dyDescent="0.25">
      <c r="B156" s="34">
        <v>14</v>
      </c>
      <c r="C156" s="139" t="s">
        <v>139</v>
      </c>
      <c r="D156" s="36">
        <f>IFERROR(HLOOKUP($J$1,[1]DB!$C$1:$K$172,156,FALSE),"")</f>
        <v>40</v>
      </c>
      <c r="E156" s="36">
        <f>SUMIFS('[1]Rincian Keluar'!$G:$G,'[1]Rincian Keluar'!$E:$E,'ILALANG 02'!C156,'[1]Rincian Keluar'!$D:$D,'ILALANG 02'!$D$1,'[1]Rincian Keluar'!$H:$H,'ILALANG 02'!$J$1,'[1]Rincian Keluar'!$F:$F,'ILALANG 02'!M156)</f>
        <v>0</v>
      </c>
      <c r="F156" s="141">
        <v>200</v>
      </c>
      <c r="G156" s="98">
        <f t="shared" si="29"/>
        <v>0</v>
      </c>
      <c r="H156" s="138"/>
      <c r="I156" s="42"/>
      <c r="J156" s="104"/>
      <c r="K156" s="87"/>
      <c r="M156" s="20" t="str">
        <f t="shared" si="28"/>
        <v xml:space="preserve">JENDELA </v>
      </c>
    </row>
    <row r="157" spans="2:13" s="142" customFormat="1" ht="18" customHeight="1" x14ac:dyDescent="0.25">
      <c r="B157" s="34">
        <v>15</v>
      </c>
      <c r="C157" s="139" t="s">
        <v>140</v>
      </c>
      <c r="D157" s="36">
        <f>IFERROR(HLOOKUP($J$1,[1]DB!$C$1:$K$172,157,FALSE),"")</f>
        <v>80</v>
      </c>
      <c r="E157" s="36">
        <f>SUMIFS('[1]Rincian Keluar'!$G:$G,'[1]Rincian Keluar'!$E:$E,'ILALANG 02'!C157,'[1]Rincian Keluar'!$D:$D,'ILALANG 02'!$D$1,'[1]Rincian Keluar'!$H:$H,'ILALANG 02'!$J$1,'[1]Rincian Keluar'!$F:$F,'ILALANG 02'!M157)</f>
        <v>0</v>
      </c>
      <c r="F157" s="141">
        <v>100</v>
      </c>
      <c r="G157" s="98">
        <f t="shared" si="29"/>
        <v>0</v>
      </c>
      <c r="H157" s="138"/>
      <c r="I157" s="42"/>
      <c r="J157" s="104"/>
      <c r="K157" s="87"/>
      <c r="M157" s="20" t="str">
        <f t="shared" si="28"/>
        <v xml:space="preserve">JENDELA </v>
      </c>
    </row>
    <row r="158" spans="2:13" s="142" customFormat="1" ht="18" customHeight="1" x14ac:dyDescent="0.25">
      <c r="B158" s="34">
        <v>16</v>
      </c>
      <c r="C158" s="139" t="s">
        <v>141</v>
      </c>
      <c r="D158" s="36">
        <f>IFERROR(HLOOKUP($J$1,[1]DB!$C$1:$K$172,158,FALSE),"")</f>
        <v>1</v>
      </c>
      <c r="E158" s="36">
        <f>SUMIFS('[1]Rincian Keluar'!$G:$G,'[1]Rincian Keluar'!$E:$E,'ILALANG 02'!C158,'[1]Rincian Keluar'!$D:$D,'ILALANG 02'!$D$1,'[1]Rincian Keluar'!$H:$H,'ILALANG 02'!$J$1,'[1]Rincian Keluar'!$F:$F,'ILALANG 02'!M158)</f>
        <v>0</v>
      </c>
      <c r="F158" s="141">
        <v>55000</v>
      </c>
      <c r="G158" s="98">
        <f t="shared" si="29"/>
        <v>0</v>
      </c>
      <c r="H158" s="138"/>
      <c r="I158" s="42"/>
      <c r="J158" s="104"/>
      <c r="K158" s="87"/>
      <c r="M158" s="20" t="str">
        <f t="shared" si="28"/>
        <v xml:space="preserve">JENDELA </v>
      </c>
    </row>
    <row r="159" spans="2:13" s="142" customFormat="1" ht="18" customHeight="1" x14ac:dyDescent="0.25">
      <c r="B159" s="34">
        <v>17</v>
      </c>
      <c r="C159" s="139" t="s">
        <v>142</v>
      </c>
      <c r="D159" s="36">
        <f>IFERROR(HLOOKUP($J$1,[1]DB!$C$1:$K$172,159,FALSE),"")</f>
        <v>1</v>
      </c>
      <c r="E159" s="36">
        <f>SUMIFS('[1]Rincian Keluar'!$G:$G,'[1]Rincian Keluar'!$E:$E,'ILALANG 02'!C159,'[1]Rincian Keluar'!$D:$D,'ILALANG 02'!$D$1,'[1]Rincian Keluar'!$H:$H,'ILALANG 02'!$J$1,'[1]Rincian Keluar'!$F:$F,'ILALANG 02'!M159)</f>
        <v>0</v>
      </c>
      <c r="F159" s="141">
        <v>10000</v>
      </c>
      <c r="G159" s="98">
        <f t="shared" si="29"/>
        <v>0</v>
      </c>
      <c r="H159" s="138"/>
      <c r="I159" s="42"/>
      <c r="J159" s="104"/>
      <c r="K159" s="87"/>
      <c r="M159" s="20" t="str">
        <f t="shared" si="28"/>
        <v xml:space="preserve">JENDELA </v>
      </c>
    </row>
    <row r="160" spans="2:13" s="142" customFormat="1" ht="18" customHeight="1" x14ac:dyDescent="0.25">
      <c r="B160" s="34">
        <v>18</v>
      </c>
      <c r="C160" s="139" t="s">
        <v>143</v>
      </c>
      <c r="D160" s="36">
        <f>IFERROR(HLOOKUP($J$1,[1]DB!$C$1:$K$172,160,FALSE),"")</f>
        <v>6</v>
      </c>
      <c r="E160" s="36">
        <f>SUMIFS('[1]Rincian Keluar'!$G:$G,'[1]Rincian Keluar'!$E:$E,'ILALANG 02'!C160,'[1]Rincian Keluar'!$D:$D,'ILALANG 02'!$D$1,'[1]Rincian Keluar'!$H:$H,'ILALANG 02'!$J$1,'[1]Rincian Keluar'!$F:$F,'ILALANG 02'!M160)</f>
        <v>0</v>
      </c>
      <c r="F160" s="141">
        <v>300000</v>
      </c>
      <c r="G160" s="98">
        <f t="shared" si="29"/>
        <v>0</v>
      </c>
      <c r="H160" s="138"/>
      <c r="I160" s="42"/>
      <c r="J160" s="104"/>
      <c r="K160" s="87"/>
      <c r="M160" s="20" t="str">
        <f t="shared" si="28"/>
        <v xml:space="preserve">JENDELA </v>
      </c>
    </row>
    <row r="161" spans="1:13" s="142" customFormat="1" ht="18" customHeight="1" x14ac:dyDescent="0.25">
      <c r="B161" s="34">
        <v>19</v>
      </c>
      <c r="C161" s="139" t="s">
        <v>144</v>
      </c>
      <c r="D161" s="36">
        <f>IFERROR(HLOOKUP($J$1,[1]DB!$C$1:$K$172,161,FALSE),"")</f>
        <v>4</v>
      </c>
      <c r="E161" s="36">
        <f>SUMIFS('[1]Rincian Keluar'!$G:$G,'[1]Rincian Keluar'!$E:$E,'ILALANG 02'!C161,'[1]Rincian Keluar'!$D:$D,'ILALANG 02'!$D$1,'[1]Rincian Keluar'!$H:$H,'ILALANG 02'!$J$1,'[1]Rincian Keluar'!$F:$F,'ILALANG 02'!M161)</f>
        <v>0</v>
      </c>
      <c r="F161" s="141">
        <v>40000</v>
      </c>
      <c r="G161" s="98">
        <f t="shared" si="29"/>
        <v>0</v>
      </c>
      <c r="H161" s="140"/>
      <c r="I161" s="47"/>
      <c r="J161" s="106"/>
      <c r="K161" s="90"/>
      <c r="M161" s="20" t="str">
        <f t="shared" si="28"/>
        <v xml:space="preserve">JENDELA </v>
      </c>
    </row>
    <row r="162" spans="1:13" ht="18" customHeight="1" x14ac:dyDescent="0.25">
      <c r="B162" s="29" t="s">
        <v>145</v>
      </c>
      <c r="C162" s="124" t="s">
        <v>146</v>
      </c>
      <c r="D162" s="132"/>
      <c r="E162" s="132"/>
      <c r="F162" s="132"/>
      <c r="G162" s="132"/>
      <c r="H162" s="132"/>
      <c r="I162" s="133"/>
      <c r="J162" s="132"/>
      <c r="K162" s="134"/>
      <c r="M162" s="20"/>
    </row>
    <row r="163" spans="1:13" s="66" customFormat="1" ht="18" customHeight="1" x14ac:dyDescent="0.25">
      <c r="B163" s="34">
        <v>1</v>
      </c>
      <c r="C163" s="35" t="s">
        <v>147</v>
      </c>
      <c r="D163" s="36">
        <f>IFERROR(HLOOKUP($J$1,[1]DB!$C$1:$K$172,163,FALSE),"")</f>
        <v>6</v>
      </c>
      <c r="E163" s="36">
        <f>SUMIFS('[1]Rincian Keluar'!$G:$G,'[1]Rincian Keluar'!$E:$E,'ILALANG 02'!C163,'[1]Rincian Keluar'!$D:$D,'ILALANG 02'!$D$1,'[1]Rincian Keluar'!$H:$H,'ILALANG 02'!$J$1,'[1]Rincian Keluar'!$F:$F,'ILALANG 02'!M163)</f>
        <v>0</v>
      </c>
      <c r="F163" s="37">
        <v>14000</v>
      </c>
      <c r="G163" s="135">
        <f>E163*F163</f>
        <v>0</v>
      </c>
      <c r="H163" s="136"/>
      <c r="I163" s="39"/>
      <c r="J163" s="137"/>
      <c r="K163" s="84"/>
      <c r="M163" s="20" t="str">
        <f>$C$162</f>
        <v>ELEKTICAL</v>
      </c>
    </row>
    <row r="164" spans="1:13" s="66" customFormat="1" ht="18" customHeight="1" x14ac:dyDescent="0.25">
      <c r="B164" s="34">
        <v>2</v>
      </c>
      <c r="C164" s="35" t="s">
        <v>148</v>
      </c>
      <c r="D164" s="36">
        <f>IFERROR(HLOOKUP($J$1,[1]DB!$C$1:$K$172,164,FALSE),"")</f>
        <v>1</v>
      </c>
      <c r="E164" s="36">
        <f>SUMIFS('[1]Rincian Keluar'!$G:$G,'[1]Rincian Keluar'!$E:$E,'ILALANG 02'!C164,'[1]Rincian Keluar'!$D:$D,'ILALANG 02'!$D$1,'[1]Rincian Keluar'!$H:$H,'ILALANG 02'!$J$1,'[1]Rincian Keluar'!$F:$F,'ILALANG 02'!M164)</f>
        <v>0</v>
      </c>
      <c r="F164" s="37">
        <v>18000</v>
      </c>
      <c r="G164" s="135">
        <f t="shared" ref="G164:G172" si="30">E164*F164</f>
        <v>0</v>
      </c>
      <c r="H164" s="138"/>
      <c r="I164" s="42"/>
      <c r="J164" s="104"/>
      <c r="K164" s="87"/>
      <c r="M164" s="20" t="str">
        <f t="shared" ref="M164:M172" si="31">$C$162</f>
        <v>ELEKTICAL</v>
      </c>
    </row>
    <row r="165" spans="1:13" s="66" customFormat="1" ht="18" customHeight="1" x14ac:dyDescent="0.25">
      <c r="B165" s="34">
        <v>3</v>
      </c>
      <c r="C165" s="35" t="s">
        <v>149</v>
      </c>
      <c r="D165" s="36">
        <f>IFERROR(HLOOKUP($J$1,[1]DB!$C$1:$K$172,165,FALSE),"")</f>
        <v>11</v>
      </c>
      <c r="E165" s="36">
        <f>SUMIFS('[1]Rincian Keluar'!$G:$G,'[1]Rincian Keluar'!$E:$E,'ILALANG 02'!C165,'[1]Rincian Keluar'!$D:$D,'ILALANG 02'!$D$1,'[1]Rincian Keluar'!$H:$H,'ILALANG 02'!$J$1,'[1]Rincian Keluar'!$F:$F,'ILALANG 02'!M165)</f>
        <v>0</v>
      </c>
      <c r="F165" s="37">
        <v>15000</v>
      </c>
      <c r="G165" s="135">
        <f t="shared" si="30"/>
        <v>0</v>
      </c>
      <c r="H165" s="138"/>
      <c r="I165" s="42"/>
      <c r="J165" s="104"/>
      <c r="K165" s="87"/>
      <c r="M165" s="20" t="str">
        <f t="shared" si="31"/>
        <v>ELEKTICAL</v>
      </c>
    </row>
    <row r="166" spans="1:13" s="66" customFormat="1" ht="18" customHeight="1" x14ac:dyDescent="0.25">
      <c r="B166" s="34">
        <v>4</v>
      </c>
      <c r="C166" s="35" t="s">
        <v>150</v>
      </c>
      <c r="D166" s="36">
        <f>IFERROR(HLOOKUP($J$1,[1]DB!$C$1:$K$172,166,FALSE),"")</f>
        <v>1</v>
      </c>
      <c r="E166" s="36">
        <f>SUMIFS('[1]Rincian Keluar'!$G:$G,'[1]Rincian Keluar'!$E:$E,'ILALANG 02'!C166,'[1]Rincian Keluar'!$D:$D,'ILALANG 02'!$D$1,'[1]Rincian Keluar'!$H:$H,'ILALANG 02'!$J$1,'[1]Rincian Keluar'!$F:$F,'ILALANG 02'!M166)</f>
        <v>0</v>
      </c>
      <c r="F166" s="37">
        <v>336000</v>
      </c>
      <c r="G166" s="135">
        <f t="shared" si="30"/>
        <v>0</v>
      </c>
      <c r="H166" s="138"/>
      <c r="I166" s="42"/>
      <c r="J166" s="104"/>
      <c r="K166" s="87"/>
      <c r="M166" s="20" t="str">
        <f t="shared" si="31"/>
        <v>ELEKTICAL</v>
      </c>
    </row>
    <row r="167" spans="1:13" s="66" customFormat="1" ht="18" customHeight="1" x14ac:dyDescent="0.25">
      <c r="B167" s="34">
        <v>5</v>
      </c>
      <c r="C167" s="35" t="s">
        <v>151</v>
      </c>
      <c r="D167" s="36">
        <f>IFERROR(HLOOKUP($J$1,[1]DB!$C$1:$K$172,167,FALSE),"")</f>
        <v>7</v>
      </c>
      <c r="E167" s="36">
        <f>SUMIFS('[1]Rincian Keluar'!$G:$G,'[1]Rincian Keluar'!$E:$E,'ILALANG 02'!C167,'[1]Rincian Keluar'!$D:$D,'ILALANG 02'!$D$1,'[1]Rincian Keluar'!$H:$H,'ILALANG 02'!$J$1,'[1]Rincian Keluar'!$F:$F,'ILALANG 02'!M167)</f>
        <v>0</v>
      </c>
      <c r="F167" s="37">
        <v>5500</v>
      </c>
      <c r="G167" s="135">
        <f t="shared" si="30"/>
        <v>0</v>
      </c>
      <c r="H167" s="138"/>
      <c r="I167" s="42"/>
      <c r="J167" s="104"/>
      <c r="K167" s="87"/>
      <c r="M167" s="20" t="str">
        <f t="shared" si="31"/>
        <v>ELEKTICAL</v>
      </c>
    </row>
    <row r="168" spans="1:13" s="66" customFormat="1" ht="18" customHeight="1" x14ac:dyDescent="0.25">
      <c r="B168" s="34">
        <v>6</v>
      </c>
      <c r="C168" s="35" t="s">
        <v>152</v>
      </c>
      <c r="D168" s="36">
        <f>IFERROR(HLOOKUP($J$1,[1]DB!$C$1:$K$172,168,FALSE),"")</f>
        <v>25</v>
      </c>
      <c r="E168" s="36">
        <f>SUMIFS('[1]Rincian Keluar'!$G:$G,'[1]Rincian Keluar'!$E:$E,'ILALANG 02'!C168,'[1]Rincian Keluar'!$D:$D,'ILALANG 02'!$D$1,'[1]Rincian Keluar'!$H:$H,'ILALANG 02'!$J$1,'[1]Rincian Keluar'!$F:$F,'ILALANG 02'!M168)</f>
        <v>0</v>
      </c>
      <c r="F168" s="37">
        <v>8200</v>
      </c>
      <c r="G168" s="135">
        <f t="shared" si="30"/>
        <v>0</v>
      </c>
      <c r="H168" s="138"/>
      <c r="I168" s="42"/>
      <c r="J168" s="104"/>
      <c r="K168" s="87"/>
      <c r="M168" s="20" t="str">
        <f t="shared" si="31"/>
        <v>ELEKTICAL</v>
      </c>
    </row>
    <row r="169" spans="1:13" s="66" customFormat="1" ht="18" customHeight="1" x14ac:dyDescent="0.25">
      <c r="B169" s="34">
        <v>7</v>
      </c>
      <c r="C169" s="35" t="s">
        <v>153</v>
      </c>
      <c r="D169" s="36">
        <f>IFERROR(HLOOKUP($J$1,[1]DB!$C$1:$K$172,169,FALSE),"")</f>
        <v>35</v>
      </c>
      <c r="E169" s="36">
        <f>SUMIFS('[1]Rincian Keluar'!$G:$G,'[1]Rincian Keluar'!$E:$E,'ILALANG 02'!C169,'[1]Rincian Keluar'!$D:$D,'ILALANG 02'!$D$1,'[1]Rincian Keluar'!$H:$H,'ILALANG 02'!$J$1,'[1]Rincian Keluar'!$F:$F,'ILALANG 02'!M169)</f>
        <v>0</v>
      </c>
      <c r="F169" s="37">
        <v>12500</v>
      </c>
      <c r="G169" s="135">
        <f t="shared" si="30"/>
        <v>0</v>
      </c>
      <c r="H169" s="138"/>
      <c r="I169" s="42"/>
      <c r="J169" s="104"/>
      <c r="K169" s="87"/>
      <c r="M169" s="20" t="str">
        <f t="shared" si="31"/>
        <v>ELEKTICAL</v>
      </c>
    </row>
    <row r="170" spans="1:13" s="66" customFormat="1" ht="18" customHeight="1" x14ac:dyDescent="0.25">
      <c r="B170" s="34">
        <v>8</v>
      </c>
      <c r="C170" s="35" t="s">
        <v>154</v>
      </c>
      <c r="D170" s="36">
        <f>IFERROR(HLOOKUP($J$1,[1]DB!$C$1:$K$172,170,FALSE),"")</f>
        <v>1</v>
      </c>
      <c r="E170" s="36">
        <f>SUMIFS('[1]Rincian Keluar'!$G:$G,'[1]Rincian Keluar'!$E:$E,'ILALANG 02'!C170,'[1]Rincian Keluar'!$D:$D,'ILALANG 02'!$D$1,'[1]Rincian Keluar'!$H:$H,'ILALANG 02'!$J$1,'[1]Rincian Keluar'!$F:$F,'ILALANG 02'!M170)</f>
        <v>0</v>
      </c>
      <c r="F170" s="37">
        <v>19000</v>
      </c>
      <c r="G170" s="135">
        <f t="shared" si="30"/>
        <v>0</v>
      </c>
      <c r="H170" s="138"/>
      <c r="I170" s="42"/>
      <c r="J170" s="104"/>
      <c r="K170" s="87"/>
      <c r="M170" s="20" t="str">
        <f t="shared" si="31"/>
        <v>ELEKTICAL</v>
      </c>
    </row>
    <row r="171" spans="1:13" s="66" customFormat="1" ht="18" customHeight="1" x14ac:dyDescent="0.25">
      <c r="B171" s="34">
        <v>9</v>
      </c>
      <c r="C171" s="35" t="s">
        <v>155</v>
      </c>
      <c r="D171" s="36">
        <f>IFERROR(HLOOKUP($J$1,[1]DB!$C$1:$K$172,171,FALSE),"")</f>
        <v>1</v>
      </c>
      <c r="E171" s="36">
        <f>SUMIFS('[1]Rincian Keluar'!$G:$G,'[1]Rincian Keluar'!$E:$E,'ILALANG 02'!C171,'[1]Rincian Keluar'!$D:$D,'ILALANG 02'!$D$1,'[1]Rincian Keluar'!$H:$H,'ILALANG 02'!$J$1,'[1]Rincian Keluar'!$F:$F,'ILALANG 02'!M171)</f>
        <v>0</v>
      </c>
      <c r="F171" s="37">
        <v>14000</v>
      </c>
      <c r="G171" s="135">
        <f t="shared" si="30"/>
        <v>0</v>
      </c>
      <c r="H171" s="138"/>
      <c r="I171" s="42"/>
      <c r="J171" s="104"/>
      <c r="K171" s="87"/>
      <c r="M171" s="20" t="str">
        <f t="shared" si="31"/>
        <v>ELEKTICAL</v>
      </c>
    </row>
    <row r="172" spans="1:13" s="66" customFormat="1" ht="18" customHeight="1" x14ac:dyDescent="0.25">
      <c r="A172" s="66" t="s">
        <v>156</v>
      </c>
      <c r="B172" s="34">
        <v>10</v>
      </c>
      <c r="C172" s="35" t="s">
        <v>157</v>
      </c>
      <c r="D172" s="36">
        <f>IFERROR(HLOOKUP($J$1,[1]DB!$C$1:$K$172,172,FALSE),"")</f>
        <v>1</v>
      </c>
      <c r="E172" s="36">
        <f>SUMIFS('[1]Rincian Keluar'!$G:$G,'[1]Rincian Keluar'!$E:$E,'ILALANG 02'!C172,'[1]Rincian Keluar'!$D:$D,'ILALANG 02'!$D$1,'[1]Rincian Keluar'!$H:$H,'ILALANG 02'!$J$1,'[1]Rincian Keluar'!$F:$F,'ILALANG 02'!M172)</f>
        <v>0</v>
      </c>
      <c r="F172" s="37">
        <v>60000</v>
      </c>
      <c r="G172" s="135">
        <f t="shared" si="30"/>
        <v>0</v>
      </c>
      <c r="H172" s="140"/>
      <c r="I172" s="47"/>
      <c r="J172" s="106"/>
      <c r="K172" s="90"/>
      <c r="M172" s="20" t="str">
        <f t="shared" si="31"/>
        <v>ELEKTICAL</v>
      </c>
    </row>
    <row r="173" spans="1:13" ht="18" customHeight="1" x14ac:dyDescent="0.25">
      <c r="B173" s="143" t="s">
        <v>158</v>
      </c>
      <c r="C173" s="144"/>
      <c r="D173" s="144"/>
      <c r="E173" s="144"/>
      <c r="F173" s="145"/>
      <c r="G173" s="146">
        <f>SUM(G7:G172)</f>
        <v>53312000</v>
      </c>
      <c r="H173" s="146"/>
      <c r="I173" s="147"/>
      <c r="J173" s="146">
        <f>SUM(J7:J172)</f>
        <v>320100</v>
      </c>
      <c r="K173" s="148"/>
    </row>
    <row r="174" spans="1:13" ht="18" customHeight="1" thickBot="1" x14ac:dyDescent="0.3">
      <c r="B174" s="149" t="s">
        <v>159</v>
      </c>
      <c r="C174" s="150"/>
      <c r="D174" s="150"/>
      <c r="E174" s="150"/>
      <c r="F174" s="150"/>
      <c r="G174" s="151">
        <f>SUM(G173,J173)</f>
        <v>53632100</v>
      </c>
      <c r="H174" s="152"/>
      <c r="I174" s="153"/>
      <c r="J174" s="154"/>
      <c r="K174" s="155"/>
    </row>
    <row r="175" spans="1:13" x14ac:dyDescent="0.25">
      <c r="C175" s="156"/>
    </row>
    <row r="176" spans="1:13" x14ac:dyDescent="0.25">
      <c r="C176" s="156"/>
    </row>
    <row r="177" spans="3:3" x14ac:dyDescent="0.25">
      <c r="C177" s="156"/>
    </row>
    <row r="178" spans="3:3" x14ac:dyDescent="0.25">
      <c r="C178" s="156"/>
    </row>
    <row r="179" spans="3:3" x14ac:dyDescent="0.25">
      <c r="C179" s="156"/>
    </row>
    <row r="180" spans="3:3" x14ac:dyDescent="0.25">
      <c r="C180" s="156"/>
    </row>
    <row r="181" spans="3:3" x14ac:dyDescent="0.25">
      <c r="C181" s="156"/>
    </row>
    <row r="182" spans="3:3" x14ac:dyDescent="0.25">
      <c r="C182" s="156"/>
    </row>
    <row r="183" spans="3:3" x14ac:dyDescent="0.25">
      <c r="C183" s="156"/>
    </row>
    <row r="184" spans="3:3" x14ac:dyDescent="0.25">
      <c r="C184" s="156"/>
    </row>
    <row r="185" spans="3:3" x14ac:dyDescent="0.25">
      <c r="C185" s="156"/>
    </row>
    <row r="186" spans="3:3" x14ac:dyDescent="0.25">
      <c r="C186" s="156"/>
    </row>
    <row r="187" spans="3:3" x14ac:dyDescent="0.25">
      <c r="C187" s="156"/>
    </row>
  </sheetData>
  <autoFilter ref="B4:K174"/>
  <mergeCells count="75">
    <mergeCell ref="B173:F173"/>
    <mergeCell ref="B174:F174"/>
    <mergeCell ref="H143:H161"/>
    <mergeCell ref="I143:I161"/>
    <mergeCell ref="J143:J161"/>
    <mergeCell ref="K143:K161"/>
    <mergeCell ref="H163:H172"/>
    <mergeCell ref="I163:I172"/>
    <mergeCell ref="J163:J172"/>
    <mergeCell ref="K163:K172"/>
    <mergeCell ref="H131:H132"/>
    <mergeCell ref="I131:I132"/>
    <mergeCell ref="J131:J132"/>
    <mergeCell ref="K131:K132"/>
    <mergeCell ref="H134:H141"/>
    <mergeCell ref="I134:I141"/>
    <mergeCell ref="J134:J141"/>
    <mergeCell ref="K134:K141"/>
    <mergeCell ref="H120:H123"/>
    <mergeCell ref="I120:I123"/>
    <mergeCell ref="J120:J123"/>
    <mergeCell ref="K120:K123"/>
    <mergeCell ref="H125:H129"/>
    <mergeCell ref="I125:I129"/>
    <mergeCell ref="J125:J129"/>
    <mergeCell ref="K125:K129"/>
    <mergeCell ref="H99:H102"/>
    <mergeCell ref="I99:I103"/>
    <mergeCell ref="J99:J103"/>
    <mergeCell ref="K99:K102"/>
    <mergeCell ref="H105:H116"/>
    <mergeCell ref="I105:I116"/>
    <mergeCell ref="J105:J116"/>
    <mergeCell ref="K105:K116"/>
    <mergeCell ref="H83:H86"/>
    <mergeCell ref="I83:I86"/>
    <mergeCell ref="J83:J86"/>
    <mergeCell ref="K83:K86"/>
    <mergeCell ref="H88:H96"/>
    <mergeCell ref="I88:I96"/>
    <mergeCell ref="J88:J96"/>
    <mergeCell ref="K88:K96"/>
    <mergeCell ref="H65:H74"/>
    <mergeCell ref="I65:I74"/>
    <mergeCell ref="J65:J74"/>
    <mergeCell ref="K65:K74"/>
    <mergeCell ref="H76:H81"/>
    <mergeCell ref="I76:I81"/>
    <mergeCell ref="J76:J81"/>
    <mergeCell ref="K76:K81"/>
    <mergeCell ref="H38:H59"/>
    <mergeCell ref="I38:I59"/>
    <mergeCell ref="J38:J59"/>
    <mergeCell ref="K38:K59"/>
    <mergeCell ref="H61:H63"/>
    <mergeCell ref="I61:I63"/>
    <mergeCell ref="J61:J63"/>
    <mergeCell ref="K61:K63"/>
    <mergeCell ref="H20:H23"/>
    <mergeCell ref="I20:I23"/>
    <mergeCell ref="J20:J23"/>
    <mergeCell ref="K20:K23"/>
    <mergeCell ref="H25:H36"/>
    <mergeCell ref="I25:I36"/>
    <mergeCell ref="J25:J36"/>
    <mergeCell ref="K25:K36"/>
    <mergeCell ref="B3:K3"/>
    <mergeCell ref="H7:H14"/>
    <mergeCell ref="I7:I14"/>
    <mergeCell ref="J7:J14"/>
    <mergeCell ref="K7:K14"/>
    <mergeCell ref="H16:H18"/>
    <mergeCell ref="I16:I18"/>
    <mergeCell ref="J16:J18"/>
    <mergeCell ref="K16:K18"/>
  </mergeCells>
  <printOptions horizontalCentered="1"/>
  <pageMargins left="0.19685039370078741" right="0.19685039370078741" top="0.19685039370078741" bottom="0.19685039370078741" header="0" footer="0"/>
  <pageSetup paperSize="346" scale="58" fitToHeight="0" orientation="portrait" r:id="rId1"/>
  <rowBreaks count="1" manualBreakCount="1">
    <brk id="86" min="1" max="1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87"/>
  <sheetViews>
    <sheetView zoomScale="70" zoomScaleNormal="70" zoomScaleSheetLayoutView="87" workbookViewId="0">
      <selection activeCell="E16" sqref="E16"/>
    </sheetView>
  </sheetViews>
  <sheetFormatPr defaultColWidth="8.85546875" defaultRowHeight="15.75" x14ac:dyDescent="0.25"/>
  <cols>
    <col min="1" max="1" width="1.7109375" style="1" bestFit="1" customWidth="1"/>
    <col min="2" max="2" width="4.42578125" style="1" bestFit="1" customWidth="1"/>
    <col min="3" max="3" width="39.5703125" style="1" bestFit="1" customWidth="1"/>
    <col min="4" max="4" width="9.7109375" style="1" bestFit="1" customWidth="1"/>
    <col min="5" max="5" width="11.5703125" style="157" bestFit="1" customWidth="1"/>
    <col min="6" max="6" width="20.28515625" style="158" bestFit="1" customWidth="1"/>
    <col min="7" max="7" width="19.140625" style="159" bestFit="1" customWidth="1"/>
    <col min="8" max="8" width="15.7109375" style="1" customWidth="1"/>
    <col min="9" max="9" width="19.140625" style="160" bestFit="1" customWidth="1"/>
    <col min="10" max="10" width="21.5703125" style="161" bestFit="1" customWidth="1"/>
    <col min="11" max="11" width="13.42578125" style="162" bestFit="1" customWidth="1"/>
    <col min="12" max="13" width="8.85546875" style="1"/>
    <col min="14" max="14" width="34.5703125" style="1" customWidth="1"/>
    <col min="15" max="16384" width="8.85546875" style="1"/>
  </cols>
  <sheetData>
    <row r="1" spans="1:13" x14ac:dyDescent="0.25">
      <c r="B1" s="2" t="s">
        <v>0</v>
      </c>
      <c r="C1" s="3"/>
      <c r="D1" s="4" t="s">
        <v>161</v>
      </c>
      <c r="E1" s="5"/>
      <c r="F1" s="5"/>
      <c r="G1" s="5"/>
      <c r="H1" s="2" t="s">
        <v>2</v>
      </c>
      <c r="I1" s="6"/>
      <c r="J1" s="7">
        <v>70</v>
      </c>
      <c r="K1" s="8"/>
    </row>
    <row r="2" spans="1:13" ht="16.5" thickBot="1" x14ac:dyDescent="0.3">
      <c r="B2" s="9"/>
      <c r="C2" s="10"/>
      <c r="D2" s="11"/>
      <c r="E2" s="12"/>
      <c r="F2" s="12"/>
      <c r="G2" s="12"/>
      <c r="H2" s="9"/>
      <c r="I2" s="13"/>
      <c r="J2" s="14"/>
      <c r="K2" s="15"/>
    </row>
    <row r="3" spans="1:13" s="20" customFormat="1" ht="8.25" customHeight="1" x14ac:dyDescent="0.25">
      <c r="A3" s="1"/>
      <c r="B3" s="16"/>
      <c r="C3" s="17"/>
      <c r="D3" s="17"/>
      <c r="E3" s="17"/>
      <c r="F3" s="17"/>
      <c r="G3" s="17"/>
      <c r="H3" s="17"/>
      <c r="I3" s="17"/>
      <c r="J3" s="18"/>
      <c r="K3" s="19"/>
    </row>
    <row r="4" spans="1:13" s="20" customFormat="1" x14ac:dyDescent="0.25">
      <c r="A4" s="1"/>
      <c r="B4" s="21" t="s">
        <v>3</v>
      </c>
      <c r="C4" s="22" t="s">
        <v>4</v>
      </c>
      <c r="D4" s="23" t="s">
        <v>5</v>
      </c>
      <c r="E4" s="23"/>
      <c r="F4" s="24" t="s">
        <v>6</v>
      </c>
      <c r="G4" s="25" t="s">
        <v>7</v>
      </c>
      <c r="H4" s="22" t="s">
        <v>8</v>
      </c>
      <c r="I4" s="23" t="s">
        <v>9</v>
      </c>
      <c r="J4" s="23" t="s">
        <v>10</v>
      </c>
      <c r="K4" s="26" t="s">
        <v>11</v>
      </c>
    </row>
    <row r="5" spans="1:13" s="20" customFormat="1" x14ac:dyDescent="0.25">
      <c r="A5" s="1"/>
      <c r="B5" s="21"/>
      <c r="C5" s="27"/>
      <c r="D5" s="24" t="s">
        <v>12</v>
      </c>
      <c r="E5" s="24" t="s">
        <v>13</v>
      </c>
      <c r="F5" s="24" t="s">
        <v>14</v>
      </c>
      <c r="G5" s="25" t="s">
        <v>14</v>
      </c>
      <c r="H5" s="22"/>
      <c r="I5" s="23"/>
      <c r="J5" s="28"/>
      <c r="K5" s="26"/>
    </row>
    <row r="6" spans="1:13" s="20" customFormat="1" ht="18" customHeight="1" x14ac:dyDescent="0.25">
      <c r="A6" s="1"/>
      <c r="B6" s="29" t="s">
        <v>15</v>
      </c>
      <c r="C6" s="30" t="s">
        <v>16</v>
      </c>
      <c r="D6" s="31"/>
      <c r="E6" s="31"/>
      <c r="F6" s="31"/>
      <c r="G6" s="31"/>
      <c r="H6" s="31"/>
      <c r="I6" s="32"/>
      <c r="J6" s="31"/>
      <c r="K6" s="33"/>
    </row>
    <row r="7" spans="1:13" s="20" customFormat="1" ht="18" customHeight="1" x14ac:dyDescent="0.25">
      <c r="A7" s="1"/>
      <c r="B7" s="34">
        <v>1</v>
      </c>
      <c r="C7" s="35" t="s">
        <v>17</v>
      </c>
      <c r="D7" s="36">
        <f>IFERROR(HLOOKUP($J$1,[1]DB!$C$1:$K$172,7,FALSE),"")</f>
        <v>17</v>
      </c>
      <c r="E7" s="36">
        <f>SUMIFS('[1]Rincian Keluar'!$G:$G,'[1]Rincian Keluar'!$E:$E,'PELANGI 01'!C7,'[1]Rincian Keluar'!$D:$D,'PELANGI 01'!$D$1,'[1]Rincian Keluar'!$H:$H,'PELANGI 01'!$J$1,'[1]Rincian Keluar'!$F:$F,'PELANGI 01'!M7)</f>
        <v>6</v>
      </c>
      <c r="F7" s="37">
        <v>21500</v>
      </c>
      <c r="G7" s="38">
        <f>E7*F7</f>
        <v>129000</v>
      </c>
      <c r="H7" s="39">
        <v>2834000</v>
      </c>
      <c r="I7" s="39">
        <f>IFERROR(VLOOKUP($C6,[1]HK!$B$5:$C$14,2,FALSE),"")*$J1</f>
        <v>2919000</v>
      </c>
      <c r="J7" s="40">
        <f>I7-H7</f>
        <v>85000</v>
      </c>
      <c r="K7" s="41">
        <v>1</v>
      </c>
      <c r="M7" s="20" t="str">
        <f>$C$6</f>
        <v>PONDASI</v>
      </c>
    </row>
    <row r="8" spans="1:13" s="20" customFormat="1" ht="18" customHeight="1" x14ac:dyDescent="0.25">
      <c r="A8" s="1"/>
      <c r="B8" s="34">
        <v>2</v>
      </c>
      <c r="C8" s="35" t="s">
        <v>18</v>
      </c>
      <c r="D8" s="36">
        <f>IFERROR(HLOOKUP($J$1,[1]DB!$C$1:$K$172,8,FALSE),"")</f>
        <v>58</v>
      </c>
      <c r="E8" s="36">
        <f>SUMIFS('[1]Rincian Keluar'!$G:$G,'[1]Rincian Keluar'!$E:$E,'PELANGI 01'!C8,'[1]Rincian Keluar'!$D:$D,'PELANGI 01'!$D$1,'[1]Rincian Keluar'!$H:$H,'PELANGI 01'!$J$1,'[1]Rincian Keluar'!$F:$F,'PELANGI 01'!M8)</f>
        <v>58</v>
      </c>
      <c r="F8" s="37">
        <v>49000</v>
      </c>
      <c r="G8" s="38">
        <f t="shared" ref="G8:G14" si="0">E8*F8</f>
        <v>2842000</v>
      </c>
      <c r="H8" s="42"/>
      <c r="I8" s="42"/>
      <c r="J8" s="43"/>
      <c r="K8" s="44"/>
      <c r="M8" s="20" t="str">
        <f t="shared" ref="M8:M14" si="1">$C$6</f>
        <v>PONDASI</v>
      </c>
    </row>
    <row r="9" spans="1:13" s="20" customFormat="1" ht="18" customHeight="1" x14ac:dyDescent="0.25">
      <c r="A9" s="1"/>
      <c r="B9" s="34">
        <v>3</v>
      </c>
      <c r="C9" s="45" t="s">
        <v>19</v>
      </c>
      <c r="D9" s="36">
        <f>IFERROR(HLOOKUP($J$1,[1]DB!$C$1:$K$172,9,FALSE),"")</f>
        <v>49</v>
      </c>
      <c r="E9" s="36">
        <f>SUMIFS('[1]Rincian Keluar'!$G:$G,'[1]Rincian Keluar'!$E:$E,'PELANGI 01'!C9,'[1]Rincian Keluar'!$D:$D,'PELANGI 01'!$D$1,'[1]Rincian Keluar'!$H:$H,'PELANGI 01'!$J$1,'[1]Rincian Keluar'!$F:$F,'PELANGI 01'!M9)</f>
        <v>5</v>
      </c>
      <c r="F9" s="46">
        <v>11000</v>
      </c>
      <c r="G9" s="38">
        <f t="shared" si="0"/>
        <v>55000</v>
      </c>
      <c r="H9" s="42"/>
      <c r="I9" s="42"/>
      <c r="J9" s="43"/>
      <c r="K9" s="44"/>
      <c r="M9" s="20" t="str">
        <f t="shared" si="1"/>
        <v>PONDASI</v>
      </c>
    </row>
    <row r="10" spans="1:13" s="20" customFormat="1" ht="18" customHeight="1" x14ac:dyDescent="0.25">
      <c r="A10" s="1"/>
      <c r="B10" s="34">
        <v>4</v>
      </c>
      <c r="C10" s="45" t="s">
        <v>20</v>
      </c>
      <c r="D10" s="36">
        <f>IFERROR(HLOOKUP($J$1,[1]DB!$C$1:$K$172,10,FALSE),"")</f>
        <v>104</v>
      </c>
      <c r="E10" s="36">
        <f>SUMIFS('[1]Rincian Keluar'!$G:$G,'[1]Rincian Keluar'!$E:$E,'PELANGI 01'!C10,'[1]Rincian Keluar'!$D:$D,'PELANGI 01'!$D$1,'[1]Rincian Keluar'!$H:$H,'PELANGI 01'!$J$1,'[1]Rincian Keluar'!$F:$F,'PELANGI 01'!M10)</f>
        <v>100</v>
      </c>
      <c r="F10" s="37">
        <v>8000</v>
      </c>
      <c r="G10" s="38">
        <f t="shared" si="0"/>
        <v>800000</v>
      </c>
      <c r="H10" s="42"/>
      <c r="I10" s="42"/>
      <c r="J10" s="43"/>
      <c r="K10" s="44"/>
      <c r="M10" s="20" t="str">
        <f t="shared" si="1"/>
        <v>PONDASI</v>
      </c>
    </row>
    <row r="11" spans="1:13" s="20" customFormat="1" ht="18" customHeight="1" x14ac:dyDescent="0.25">
      <c r="A11" s="1"/>
      <c r="B11" s="34">
        <v>5</v>
      </c>
      <c r="C11" s="45" t="s">
        <v>21</v>
      </c>
      <c r="D11" s="36">
        <f>IFERROR(HLOOKUP($J$1,[1]DB!$C$1:$K$172,11,FALSE),"")</f>
        <v>230</v>
      </c>
      <c r="E11" s="36">
        <f>SUMIFS('[1]Rincian Keluar'!$G:$G,'[1]Rincian Keluar'!$E:$E,'PELANGI 01'!C11,'[1]Rincian Keluar'!$D:$D,'PELANGI 01'!$D$1,'[1]Rincian Keluar'!$H:$H,'PELANGI 01'!$J$1,'[1]Rincian Keluar'!$F:$F,'PELANGI 01'!M11)</f>
        <v>23</v>
      </c>
      <c r="F11" s="37">
        <v>11000</v>
      </c>
      <c r="G11" s="38">
        <f t="shared" si="0"/>
        <v>253000</v>
      </c>
      <c r="H11" s="42"/>
      <c r="I11" s="42"/>
      <c r="J11" s="43"/>
      <c r="K11" s="44"/>
      <c r="M11" s="20" t="str">
        <f t="shared" si="1"/>
        <v>PONDASI</v>
      </c>
    </row>
    <row r="12" spans="1:13" s="20" customFormat="1" ht="18" customHeight="1" x14ac:dyDescent="0.25">
      <c r="A12" s="1"/>
      <c r="B12" s="34">
        <v>6</v>
      </c>
      <c r="C12" s="45" t="s">
        <v>22</v>
      </c>
      <c r="D12" s="36">
        <f>IFERROR(HLOOKUP($J$1,[1]DB!$C$1:$K$172,12,FALSE),"")</f>
        <v>18</v>
      </c>
      <c r="E12" s="36">
        <f>SUMIFS('[1]Rincian Keluar'!$G:$G,'[1]Rincian Keluar'!$E:$E,'PELANGI 01'!C12,'[1]Rincian Keluar'!$D:$D,'PELANGI 01'!$D$1,'[1]Rincian Keluar'!$H:$H,'PELANGI 01'!$J$1,'[1]Rincian Keluar'!$F:$F,'PELANGI 01'!M12)</f>
        <v>16</v>
      </c>
      <c r="F12" s="37">
        <v>150000</v>
      </c>
      <c r="G12" s="38">
        <f t="shared" si="0"/>
        <v>2400000</v>
      </c>
      <c r="H12" s="42"/>
      <c r="I12" s="42"/>
      <c r="J12" s="43"/>
      <c r="K12" s="44"/>
      <c r="M12" s="20" t="str">
        <f t="shared" si="1"/>
        <v>PONDASI</v>
      </c>
    </row>
    <row r="13" spans="1:13" s="20" customFormat="1" ht="18" customHeight="1" x14ac:dyDescent="0.25">
      <c r="A13" s="1"/>
      <c r="B13" s="34">
        <v>7</v>
      </c>
      <c r="C13" s="45" t="s">
        <v>23</v>
      </c>
      <c r="D13" s="36">
        <f>IFERROR(HLOOKUP($J$1,[1]DB!$C$1:$K$172,13,FALSE),"")</f>
        <v>3</v>
      </c>
      <c r="E13" s="36">
        <f>SUMIFS('[1]Rincian Keluar'!$G:$G,'[1]Rincian Keluar'!$E:$E,'PELANGI 01'!C13,'[1]Rincian Keluar'!$D:$D,'PELANGI 01'!$D$1,'[1]Rincian Keluar'!$H:$H,'PELANGI 01'!$J$1,'[1]Rincian Keluar'!$F:$F,'PELANGI 01'!M13)</f>
        <v>1.5</v>
      </c>
      <c r="F13" s="37">
        <v>500000</v>
      </c>
      <c r="G13" s="38">
        <f t="shared" si="0"/>
        <v>750000</v>
      </c>
      <c r="H13" s="42"/>
      <c r="I13" s="42"/>
      <c r="J13" s="43"/>
      <c r="K13" s="44"/>
      <c r="M13" s="20" t="str">
        <f t="shared" si="1"/>
        <v>PONDASI</v>
      </c>
    </row>
    <row r="14" spans="1:13" s="20" customFormat="1" ht="18" customHeight="1" x14ac:dyDescent="0.25">
      <c r="A14" s="1"/>
      <c r="B14" s="34">
        <v>8</v>
      </c>
      <c r="C14" s="45" t="s">
        <v>24</v>
      </c>
      <c r="D14" s="36">
        <f>IFERROR(HLOOKUP($J$1,[1]DB!$C$1:$K$172,14,FALSE),"")</f>
        <v>54</v>
      </c>
      <c r="E14" s="36">
        <f>SUMIFS('[1]Rincian Keluar'!$G:$G,'[1]Rincian Keluar'!$E:$E,'PELANGI 01'!C14,'[1]Rincian Keluar'!$D:$D,'PELANGI 01'!$D$1,'[1]Rincian Keluar'!$H:$H,'PELANGI 01'!$J$1,'[1]Rincian Keluar'!$F:$F,'PELANGI 01'!M14)</f>
        <v>56</v>
      </c>
      <c r="F14" s="37">
        <v>60700</v>
      </c>
      <c r="G14" s="38">
        <f t="shared" si="0"/>
        <v>3399200</v>
      </c>
      <c r="H14" s="47"/>
      <c r="I14" s="47"/>
      <c r="J14" s="48"/>
      <c r="K14" s="49"/>
      <c r="M14" s="20" t="str">
        <f t="shared" si="1"/>
        <v>PONDASI</v>
      </c>
    </row>
    <row r="15" spans="1:13" ht="18" customHeight="1" x14ac:dyDescent="0.25">
      <c r="B15" s="29" t="s">
        <v>25</v>
      </c>
      <c r="C15" s="50" t="s">
        <v>26</v>
      </c>
      <c r="D15" s="31"/>
      <c r="E15" s="31"/>
      <c r="F15" s="31"/>
      <c r="G15" s="31"/>
      <c r="H15" s="31"/>
      <c r="I15" s="32"/>
      <c r="J15" s="31"/>
      <c r="K15" s="33"/>
    </row>
    <row r="16" spans="1:13" ht="18" customHeight="1" x14ac:dyDescent="0.25">
      <c r="B16" s="34">
        <v>1</v>
      </c>
      <c r="C16" s="35" t="s">
        <v>22</v>
      </c>
      <c r="D16" s="36">
        <f>IFERROR(HLOOKUP($J$1,[1]DB!$C$1:$K$172,16,FALSE),"")</f>
        <v>45</v>
      </c>
      <c r="E16" s="36">
        <f>SUMIFS('[1]Rincian Keluar'!$G:$G,'[1]Rincian Keluar'!$E:$E,'PELANGI 01'!C16,'[1]Rincian Keluar'!$D:$D,'PELANGI 01'!$D$1,'[1]Rincian Keluar'!$H:$H,'PELANGI 01'!$J$1,'[1]Rincian Keluar'!$F:$F,'PELANGI 01'!M16)</f>
        <v>0</v>
      </c>
      <c r="F16" s="37">
        <v>150000</v>
      </c>
      <c r="G16" s="38">
        <f>E16*F16</f>
        <v>0</v>
      </c>
      <c r="H16" s="51">
        <v>1218000</v>
      </c>
      <c r="I16" s="39">
        <f>IFERROR(VLOOKUP($C15,[1]HK!$B$5:$C$14,2,FALSE),"")*$J1</f>
        <v>1169000</v>
      </c>
      <c r="J16" s="179">
        <f>I16-H16</f>
        <v>-49000</v>
      </c>
      <c r="K16" s="41">
        <v>1</v>
      </c>
      <c r="M16" s="20" t="str">
        <f>$C$15</f>
        <v>URUG</v>
      </c>
    </row>
    <row r="17" spans="2:13" ht="18" customHeight="1" x14ac:dyDescent="0.25">
      <c r="B17" s="34">
        <v>2</v>
      </c>
      <c r="C17" s="35" t="s">
        <v>27</v>
      </c>
      <c r="D17" s="36">
        <f>IFERROR(HLOOKUP($J$1,[1]DB!$C$1:$K$172,17,FALSE),"")</f>
        <v>2</v>
      </c>
      <c r="E17" s="36">
        <f>SUMIFS('[1]Rincian Keluar'!$G:$G,'[1]Rincian Keluar'!$E:$E,'PELANGI 01'!C17,'[1]Rincian Keluar'!$D:$D,'PELANGI 01'!$D$1,'[1]Rincian Keluar'!$H:$H,'PELANGI 01'!$J$1,'[1]Rincian Keluar'!$F:$F,'PELANGI 01'!M17)</f>
        <v>4</v>
      </c>
      <c r="F17" s="37">
        <v>133500</v>
      </c>
      <c r="G17" s="38">
        <f t="shared" ref="G17:G18" si="2">E17*F17</f>
        <v>534000</v>
      </c>
      <c r="H17" s="53"/>
      <c r="I17" s="42"/>
      <c r="J17" s="180"/>
      <c r="K17" s="44"/>
      <c r="M17" s="20" t="str">
        <f t="shared" ref="M17:M18" si="3">$C$15</f>
        <v>URUG</v>
      </c>
    </row>
    <row r="18" spans="2:13" ht="18" customHeight="1" x14ac:dyDescent="0.25">
      <c r="B18" s="34">
        <v>3</v>
      </c>
      <c r="C18" s="35" t="s">
        <v>28</v>
      </c>
      <c r="D18" s="36">
        <f>IFERROR(HLOOKUP($J$1,[1]DB!$C$1:$K$172,18,FALSE),"")</f>
        <v>2</v>
      </c>
      <c r="E18" s="36">
        <f>SUMIFS('[1]Rincian Keluar'!$G:$G,'[1]Rincian Keluar'!$E:$E,'PELANGI 01'!C18,'[1]Rincian Keluar'!$D:$D,'PELANGI 01'!$D$1,'[1]Rincian Keluar'!$H:$H,'PELANGI 01'!$J$1,'[1]Rincian Keluar'!$F:$F,'PELANGI 01'!M18)</f>
        <v>4</v>
      </c>
      <c r="F18" s="37">
        <v>48000</v>
      </c>
      <c r="G18" s="38">
        <f t="shared" si="2"/>
        <v>192000</v>
      </c>
      <c r="H18" s="55"/>
      <c r="I18" s="47"/>
      <c r="J18" s="181"/>
      <c r="K18" s="49"/>
      <c r="M18" s="20" t="str">
        <f t="shared" si="3"/>
        <v>URUG</v>
      </c>
    </row>
    <row r="19" spans="2:13" ht="18" customHeight="1" x14ac:dyDescent="0.25">
      <c r="B19" s="29" t="s">
        <v>29</v>
      </c>
      <c r="C19" s="50" t="s">
        <v>30</v>
      </c>
      <c r="D19" s="31"/>
      <c r="E19" s="31"/>
      <c r="F19" s="31"/>
      <c r="G19" s="31"/>
      <c r="H19" s="31"/>
      <c r="I19" s="32"/>
      <c r="J19" s="31"/>
      <c r="K19" s="33"/>
    </row>
    <row r="20" spans="2:13" ht="18" customHeight="1" x14ac:dyDescent="0.25">
      <c r="B20" s="34">
        <v>1</v>
      </c>
      <c r="C20" s="35" t="s">
        <v>17</v>
      </c>
      <c r="D20" s="36">
        <f>IFERROR(HLOOKUP($J$1,[1]DB!$C$1:$K$172,20,FALSE),"")</f>
        <v>22</v>
      </c>
      <c r="E20" s="36">
        <f>SUMIFS('[1]Rincian Keluar'!$G:$G,'[1]Rincian Keluar'!$E:$E,'PELANGI 01'!C20,'[1]Rincian Keluar'!$D:$D,'PELANGI 01'!$D$1,'[1]Rincian Keluar'!$H:$H,'PELANGI 01'!$J$1,'[1]Rincian Keluar'!$F:$F,'PELANGI 01'!M20)</f>
        <v>0</v>
      </c>
      <c r="F20" s="37">
        <v>22000</v>
      </c>
      <c r="G20" s="38">
        <f>E20*F20</f>
        <v>0</v>
      </c>
      <c r="H20" s="51">
        <v>630000</v>
      </c>
      <c r="I20" s="39">
        <f>IFERROR(VLOOKUP($C19,[1]HK!$B$5:$C$14,2,FALSE),"")*$J1</f>
        <v>700000</v>
      </c>
      <c r="J20" s="40">
        <f>I20-H20</f>
        <v>70000</v>
      </c>
      <c r="K20" s="41">
        <v>1</v>
      </c>
      <c r="M20" s="20" t="str">
        <f>$C$19</f>
        <v>COR LANTAI</v>
      </c>
    </row>
    <row r="21" spans="2:13" ht="18" customHeight="1" x14ac:dyDescent="0.25">
      <c r="B21" s="34">
        <v>2</v>
      </c>
      <c r="C21" s="35" t="s">
        <v>31</v>
      </c>
      <c r="D21" s="36">
        <f>IFERROR(HLOOKUP($J$1,[1]DB!$C$1:$K$172,21,FALSE),"")</f>
        <v>7</v>
      </c>
      <c r="E21" s="36">
        <f>SUMIFS('[1]Rincian Keluar'!$G:$G,'[1]Rincian Keluar'!$E:$E,'PELANGI 01'!C21,'[1]Rincian Keluar'!$D:$D,'PELANGI 01'!$D$1,'[1]Rincian Keluar'!$H:$H,'PELANGI 01'!$J$1,'[1]Rincian Keluar'!$F:$F,'PELANGI 01'!M21)</f>
        <v>0</v>
      </c>
      <c r="F21" s="37">
        <v>150000</v>
      </c>
      <c r="G21" s="38">
        <f t="shared" ref="G21:G23" si="4">E21*F21</f>
        <v>0</v>
      </c>
      <c r="H21" s="53"/>
      <c r="I21" s="42"/>
      <c r="J21" s="43"/>
      <c r="K21" s="44"/>
      <c r="M21" s="20" t="str">
        <f t="shared" ref="M21:M23" si="5">$C$19</f>
        <v>COR LANTAI</v>
      </c>
    </row>
    <row r="22" spans="2:13" ht="18" customHeight="1" x14ac:dyDescent="0.25">
      <c r="B22" s="34">
        <v>3</v>
      </c>
      <c r="C22" s="45" t="s">
        <v>24</v>
      </c>
      <c r="D22" s="36">
        <f>IFERROR(HLOOKUP($J$1,[1]DB!$C$1:$K$172,22,FALSE),"")</f>
        <v>20</v>
      </c>
      <c r="E22" s="36">
        <f>SUMIFS('[1]Rincian Keluar'!$G:$G,'[1]Rincian Keluar'!$E:$E,'PELANGI 01'!C22,'[1]Rincian Keluar'!$D:$D,'PELANGI 01'!$D$1,'[1]Rincian Keluar'!$H:$H,'PELANGI 01'!$J$1,'[1]Rincian Keluar'!$F:$F,'PELANGI 01'!M22)</f>
        <v>16</v>
      </c>
      <c r="F22" s="37">
        <v>60700</v>
      </c>
      <c r="G22" s="38">
        <f t="shared" si="4"/>
        <v>971200</v>
      </c>
      <c r="H22" s="53"/>
      <c r="I22" s="42"/>
      <c r="J22" s="43"/>
      <c r="K22" s="44"/>
      <c r="M22" s="20" t="str">
        <f t="shared" si="5"/>
        <v>COR LANTAI</v>
      </c>
    </row>
    <row r="23" spans="2:13" ht="18" customHeight="1" x14ac:dyDescent="0.25">
      <c r="B23" s="34">
        <v>4</v>
      </c>
      <c r="C23" s="35" t="s">
        <v>32</v>
      </c>
      <c r="D23" s="36">
        <f>IFERROR(HLOOKUP($J$1,[1]DB!$C$1:$K$172,23,FALSE),"")</f>
        <v>9</v>
      </c>
      <c r="E23" s="36">
        <f>SUMIFS('[1]Rincian Keluar'!$G:$G,'[1]Rincian Keluar'!$E:$E,'PELANGI 01'!C23,'[1]Rincian Keluar'!$D:$D,'PELANGI 01'!$D$1,'[1]Rincian Keluar'!$H:$H,'PELANGI 01'!$J$1,'[1]Rincian Keluar'!$F:$F,'PELANGI 01'!M23)</f>
        <v>13</v>
      </c>
      <c r="F23" s="57">
        <v>15000</v>
      </c>
      <c r="G23" s="38">
        <f t="shared" si="4"/>
        <v>195000</v>
      </c>
      <c r="H23" s="55"/>
      <c r="I23" s="47"/>
      <c r="J23" s="48"/>
      <c r="K23" s="49"/>
      <c r="M23" s="20" t="str">
        <f t="shared" si="5"/>
        <v>COR LANTAI</v>
      </c>
    </row>
    <row r="24" spans="2:13" ht="18" customHeight="1" x14ac:dyDescent="0.25">
      <c r="B24" s="29" t="s">
        <v>33</v>
      </c>
      <c r="C24" s="58" t="s">
        <v>34</v>
      </c>
      <c r="D24" s="31"/>
      <c r="E24" s="31"/>
      <c r="F24" s="31"/>
      <c r="G24" s="31"/>
      <c r="H24" s="31"/>
      <c r="I24" s="32"/>
      <c r="J24" s="31"/>
      <c r="K24" s="33"/>
    </row>
    <row r="25" spans="2:13" ht="18" customHeight="1" x14ac:dyDescent="0.25">
      <c r="B25" s="34">
        <v>1</v>
      </c>
      <c r="C25" s="45" t="s">
        <v>35</v>
      </c>
      <c r="D25" s="36">
        <f>IFERROR(HLOOKUP($J$1,[1]DB!$C$1:$K$172,25,FALSE),"")</f>
        <v>1</v>
      </c>
      <c r="E25" s="36">
        <f>SUMIFS('[1]Rincian Keluar'!$G:$G,'[1]Rincian Keluar'!$E:$E,'PELANGI 01'!C25,'[1]Rincian Keluar'!$D:$D,'PELANGI 01'!$D$1,'[1]Rincian Keluar'!$H:$H,'PELANGI 01'!$J$1,'[1]Rincian Keluar'!$F:$F,'PELANGI 01'!M25)</f>
        <v>0</v>
      </c>
      <c r="F25" s="46">
        <v>1550000</v>
      </c>
      <c r="G25" s="59">
        <f>E25*F25</f>
        <v>0</v>
      </c>
      <c r="H25" s="60"/>
      <c r="I25" s="61" t="e">
        <f>IFERROR(VLOOKUP($C24,[1]HK!$B$5:$C$14,2,FALSE),"")*$J1</f>
        <v>#VALUE!</v>
      </c>
      <c r="J25" s="62"/>
      <c r="K25" s="63"/>
      <c r="M25" s="20" t="str">
        <f>$C$24</f>
        <v>PINTU</v>
      </c>
    </row>
    <row r="26" spans="2:13" ht="18" customHeight="1" x14ac:dyDescent="0.25">
      <c r="B26" s="34">
        <v>2</v>
      </c>
      <c r="C26" s="45" t="s">
        <v>36</v>
      </c>
      <c r="D26" s="36">
        <f>IFERROR(HLOOKUP($J$1,[1]DB!$C$1:$K$172,26,FALSE),"")</f>
        <v>3</v>
      </c>
      <c r="E26" s="36">
        <f>SUMIFS('[1]Rincian Keluar'!$G:$G,'[1]Rincian Keluar'!$E:$E,'PELANGI 01'!C26,'[1]Rincian Keluar'!$D:$D,'PELANGI 01'!$D$1,'[1]Rincian Keluar'!$H:$H,'PELANGI 01'!$J$1,'[1]Rincian Keluar'!$F:$F,'PELANGI 01'!M26)</f>
        <v>0</v>
      </c>
      <c r="F26" s="46">
        <v>775000</v>
      </c>
      <c r="G26" s="59">
        <f t="shared" ref="G26:G36" si="6">E26*F26</f>
        <v>0</v>
      </c>
      <c r="H26" s="60"/>
      <c r="I26" s="61"/>
      <c r="J26" s="62"/>
      <c r="K26" s="63"/>
      <c r="M26" s="20" t="str">
        <f t="shared" ref="M26:M36" si="7">$C$24</f>
        <v>PINTU</v>
      </c>
    </row>
    <row r="27" spans="2:13" ht="18" customHeight="1" x14ac:dyDescent="0.25">
      <c r="B27" s="34">
        <v>3</v>
      </c>
      <c r="C27" s="45" t="s">
        <v>37</v>
      </c>
      <c r="D27" s="36">
        <f>IFERROR(HLOOKUP($J$1,[1]DB!$C$1:$K$172,27,FALSE),"")</f>
        <v>2</v>
      </c>
      <c r="E27" s="36">
        <f>SUMIFS('[1]Rincian Keluar'!$G:$G,'[1]Rincian Keluar'!$E:$E,'PELANGI 01'!C27,'[1]Rincian Keluar'!$D:$D,'PELANGI 01'!$D$1,'[1]Rincian Keluar'!$H:$H,'PELANGI 01'!$J$1,'[1]Rincian Keluar'!$F:$F,'PELANGI 01'!M27)</f>
        <v>0</v>
      </c>
      <c r="F27" s="46">
        <v>260000</v>
      </c>
      <c r="G27" s="59">
        <f t="shared" si="6"/>
        <v>0</v>
      </c>
      <c r="H27" s="60"/>
      <c r="I27" s="61"/>
      <c r="J27" s="62"/>
      <c r="K27" s="63"/>
      <c r="M27" s="20" t="str">
        <f t="shared" si="7"/>
        <v>PINTU</v>
      </c>
    </row>
    <row r="28" spans="2:13" ht="18" customHeight="1" x14ac:dyDescent="0.25">
      <c r="B28" s="34">
        <v>4</v>
      </c>
      <c r="C28" s="45" t="s">
        <v>38</v>
      </c>
      <c r="D28" s="36">
        <f>IFERROR(HLOOKUP($J$1,[1]DB!$C$1:$K$172,28,FALSE),"")</f>
        <v>1</v>
      </c>
      <c r="E28" s="36">
        <f>SUMIFS('[1]Rincian Keluar'!$G:$G,'[1]Rincian Keluar'!$E:$E,'PELANGI 01'!C28,'[1]Rincian Keluar'!$D:$D,'PELANGI 01'!$D$1,'[1]Rincian Keluar'!$H:$H,'PELANGI 01'!$J$1,'[1]Rincian Keluar'!$F:$F,'PELANGI 01'!M28)</f>
        <v>0</v>
      </c>
      <c r="F28" s="46">
        <v>799000</v>
      </c>
      <c r="G28" s="59">
        <f t="shared" si="6"/>
        <v>0</v>
      </c>
      <c r="H28" s="60"/>
      <c r="I28" s="61"/>
      <c r="J28" s="62"/>
      <c r="K28" s="63"/>
      <c r="M28" s="20" t="str">
        <f t="shared" si="7"/>
        <v>PINTU</v>
      </c>
    </row>
    <row r="29" spans="2:13" ht="18" customHeight="1" x14ac:dyDescent="0.25">
      <c r="B29" s="34">
        <v>5</v>
      </c>
      <c r="C29" s="45" t="s">
        <v>39</v>
      </c>
      <c r="D29" s="36">
        <f>IFERROR(HLOOKUP($J$1,[1]DB!$C$1:$K$172,29,FALSE),"")</f>
        <v>15</v>
      </c>
      <c r="E29" s="36">
        <f>SUMIFS('[1]Rincian Keluar'!$G:$G,'[1]Rincian Keluar'!$E:$E,'PELANGI 01'!C29,'[1]Rincian Keluar'!$D:$D,'PELANGI 01'!$D$1,'[1]Rincian Keluar'!$H:$H,'PELANGI 01'!$J$1,'[1]Rincian Keluar'!$F:$F,'PELANGI 01'!M29)</f>
        <v>0</v>
      </c>
      <c r="F29" s="46">
        <v>15000</v>
      </c>
      <c r="G29" s="59">
        <f t="shared" si="6"/>
        <v>0</v>
      </c>
      <c r="H29" s="60"/>
      <c r="I29" s="61"/>
      <c r="J29" s="62"/>
      <c r="K29" s="63"/>
      <c r="M29" s="20" t="str">
        <f t="shared" si="7"/>
        <v>PINTU</v>
      </c>
    </row>
    <row r="30" spans="2:13" ht="18" customHeight="1" x14ac:dyDescent="0.25">
      <c r="B30" s="34">
        <v>6</v>
      </c>
      <c r="C30" s="45" t="s">
        <v>40</v>
      </c>
      <c r="D30" s="36">
        <f>IFERROR(HLOOKUP($J$1,[1]DB!$C$1:$K$172,30,FALSE),"")</f>
        <v>2</v>
      </c>
      <c r="E30" s="36">
        <f>SUMIFS('[1]Rincian Keluar'!$G:$G,'[1]Rincian Keluar'!$E:$E,'PELANGI 01'!C30,'[1]Rincian Keluar'!$D:$D,'PELANGI 01'!$D$1,'[1]Rincian Keluar'!$H:$H,'PELANGI 01'!$J$1,'[1]Rincian Keluar'!$F:$F,'PELANGI 01'!M30)</f>
        <v>0</v>
      </c>
      <c r="F30" s="46">
        <v>100000</v>
      </c>
      <c r="G30" s="59">
        <f t="shared" si="6"/>
        <v>0</v>
      </c>
      <c r="H30" s="60"/>
      <c r="I30" s="61"/>
      <c r="J30" s="62"/>
      <c r="K30" s="63"/>
      <c r="M30" s="20" t="str">
        <f t="shared" si="7"/>
        <v>PINTU</v>
      </c>
    </row>
    <row r="31" spans="2:13" ht="18" customHeight="1" x14ac:dyDescent="0.25">
      <c r="B31" s="34">
        <v>7</v>
      </c>
      <c r="C31" s="45" t="s">
        <v>41</v>
      </c>
      <c r="D31" s="36">
        <f>IFERROR(HLOOKUP($J$1,[1]DB!$C$1:$K$172,31,FALSE),"")</f>
        <v>1</v>
      </c>
      <c r="E31" s="36">
        <f>SUMIFS('[1]Rincian Keluar'!$G:$G,'[1]Rincian Keluar'!$E:$E,'PELANGI 01'!C31,'[1]Rincian Keluar'!$D:$D,'PELANGI 01'!$D$1,'[1]Rincian Keluar'!$H:$H,'PELANGI 01'!$J$1,'[1]Rincian Keluar'!$F:$F,'PELANGI 01'!M31)</f>
        <v>0</v>
      </c>
      <c r="F31" s="46">
        <v>60000</v>
      </c>
      <c r="G31" s="59">
        <f t="shared" si="6"/>
        <v>0</v>
      </c>
      <c r="H31" s="60"/>
      <c r="I31" s="61"/>
      <c r="J31" s="62"/>
      <c r="K31" s="63"/>
      <c r="M31" s="20" t="str">
        <f t="shared" si="7"/>
        <v>PINTU</v>
      </c>
    </row>
    <row r="32" spans="2:13" ht="18" customHeight="1" x14ac:dyDescent="0.25">
      <c r="B32" s="34">
        <v>8</v>
      </c>
      <c r="C32" s="45" t="s">
        <v>42</v>
      </c>
      <c r="D32" s="36">
        <f>IFERROR(HLOOKUP($J$1,[1]DB!$C$1:$K$172,32,FALSE),"")</f>
        <v>3</v>
      </c>
      <c r="E32" s="36">
        <f>SUMIFS('[1]Rincian Keluar'!$G:$G,'[1]Rincian Keluar'!$E:$E,'PELANGI 01'!C32,'[1]Rincian Keluar'!$D:$D,'PELANGI 01'!$D$1,'[1]Rincian Keluar'!$H:$H,'PELANGI 01'!$J$1,'[1]Rincian Keluar'!$F:$F,'PELANGI 01'!M32)</f>
        <v>0</v>
      </c>
      <c r="F32" s="46">
        <v>65000</v>
      </c>
      <c r="G32" s="59">
        <f t="shared" si="6"/>
        <v>0</v>
      </c>
      <c r="H32" s="60"/>
      <c r="I32" s="61"/>
      <c r="J32" s="62"/>
      <c r="K32" s="63"/>
      <c r="M32" s="20" t="str">
        <f t="shared" si="7"/>
        <v>PINTU</v>
      </c>
    </row>
    <row r="33" spans="1:13" ht="18" customHeight="1" x14ac:dyDescent="0.25">
      <c r="B33" s="34">
        <v>9</v>
      </c>
      <c r="C33" s="35" t="s">
        <v>43</v>
      </c>
      <c r="D33" s="36">
        <f>IFERROR(HLOOKUP($J$1,[1]DB!$C$1:$K$172,33,FALSE),"")</f>
        <v>4</v>
      </c>
      <c r="E33" s="36">
        <f>SUMIFS('[1]Rincian Keluar'!$G:$G,'[1]Rincian Keluar'!$E:$E,'PELANGI 01'!C33,'[1]Rincian Keluar'!$D:$D,'PELANGI 01'!$D$1,'[1]Rincian Keluar'!$H:$H,'PELANGI 01'!$J$1,'[1]Rincian Keluar'!$F:$F,'PELANGI 01'!M33)</f>
        <v>0</v>
      </c>
      <c r="F33" s="64">
        <v>83000</v>
      </c>
      <c r="G33" s="59">
        <f t="shared" si="6"/>
        <v>0</v>
      </c>
      <c r="H33" s="60"/>
      <c r="I33" s="61"/>
      <c r="J33" s="62"/>
      <c r="K33" s="63"/>
      <c r="M33" s="20" t="str">
        <f t="shared" si="7"/>
        <v>PINTU</v>
      </c>
    </row>
    <row r="34" spans="1:13" ht="18" customHeight="1" x14ac:dyDescent="0.25">
      <c r="B34" s="34">
        <v>10</v>
      </c>
      <c r="C34" s="35" t="s">
        <v>44</v>
      </c>
      <c r="D34" s="36">
        <f>IFERROR(HLOOKUP($J$1,[1]DB!$C$1:$K$172,34,FALSE),"")</f>
        <v>2</v>
      </c>
      <c r="E34" s="36">
        <f>SUMIFS('[1]Rincian Keluar'!$G:$G,'[1]Rincian Keluar'!$E:$E,'PELANGI 01'!C34,'[1]Rincian Keluar'!$D:$D,'PELANGI 01'!$D$1,'[1]Rincian Keluar'!$H:$H,'PELANGI 01'!$J$1,'[1]Rincian Keluar'!$F:$F,'PELANGI 01'!M34)</f>
        <v>0</v>
      </c>
      <c r="F34" s="64">
        <v>23000</v>
      </c>
      <c r="G34" s="59">
        <f t="shared" si="6"/>
        <v>0</v>
      </c>
      <c r="H34" s="60"/>
      <c r="I34" s="61"/>
      <c r="J34" s="62"/>
      <c r="K34" s="63"/>
      <c r="M34" s="20" t="str">
        <f t="shared" si="7"/>
        <v>PINTU</v>
      </c>
    </row>
    <row r="35" spans="1:13" ht="18" customHeight="1" x14ac:dyDescent="0.25">
      <c r="B35" s="34">
        <v>11</v>
      </c>
      <c r="C35" s="35" t="s">
        <v>45</v>
      </c>
      <c r="D35" s="36">
        <f>IFERROR(HLOOKUP($J$1,[1]DB!$C$1:$K$172,35,FALSE),"")</f>
        <v>1</v>
      </c>
      <c r="E35" s="36">
        <f>SUMIFS('[1]Rincian Keluar'!$G:$G,'[1]Rincian Keluar'!$E:$E,'PELANGI 01'!C35,'[1]Rincian Keluar'!$D:$D,'PELANGI 01'!$D$1,'[1]Rincian Keluar'!$H:$H,'PELANGI 01'!$J$1,'[1]Rincian Keluar'!$F:$F,'PELANGI 01'!M35)</f>
        <v>0</v>
      </c>
      <c r="F35" s="64">
        <v>17000</v>
      </c>
      <c r="G35" s="59">
        <f t="shared" si="6"/>
        <v>0</v>
      </c>
      <c r="H35" s="60"/>
      <c r="I35" s="61"/>
      <c r="J35" s="62"/>
      <c r="K35" s="63"/>
      <c r="M35" s="20" t="str">
        <f t="shared" si="7"/>
        <v>PINTU</v>
      </c>
    </row>
    <row r="36" spans="1:13" ht="18" customHeight="1" x14ac:dyDescent="0.25">
      <c r="B36" s="34">
        <v>12</v>
      </c>
      <c r="C36" s="35" t="s">
        <v>46</v>
      </c>
      <c r="D36" s="36">
        <f>IFERROR(HLOOKUP($J$1,[1]DB!$C$1:$K$172,36,FALSE),"")</f>
        <v>1</v>
      </c>
      <c r="E36" s="36">
        <f>SUMIFS('[1]Rincian Keluar'!$G:$G,'[1]Rincian Keluar'!$E:$E,'PELANGI 01'!C36,'[1]Rincian Keluar'!$D:$D,'PELANGI 01'!$D$1,'[1]Rincian Keluar'!$H:$H,'PELANGI 01'!$J$1,'[1]Rincian Keluar'!$F:$F,'PELANGI 01'!M36)</f>
        <v>0</v>
      </c>
      <c r="F36" s="64">
        <v>11000</v>
      </c>
      <c r="G36" s="59">
        <f t="shared" si="6"/>
        <v>0</v>
      </c>
      <c r="H36" s="60"/>
      <c r="I36" s="61"/>
      <c r="J36" s="62"/>
      <c r="K36" s="63"/>
      <c r="M36" s="20" t="str">
        <f t="shared" si="7"/>
        <v>PINTU</v>
      </c>
    </row>
    <row r="37" spans="1:13" ht="18" customHeight="1" x14ac:dyDescent="0.25">
      <c r="B37" s="91" t="s">
        <v>47</v>
      </c>
      <c r="C37" s="182" t="s">
        <v>48</v>
      </c>
      <c r="D37" s="93"/>
      <c r="E37" s="93"/>
      <c r="F37" s="93"/>
      <c r="G37" s="93"/>
      <c r="H37" s="93"/>
      <c r="I37" s="94"/>
      <c r="J37" s="93"/>
      <c r="K37" s="95"/>
      <c r="M37" s="20"/>
    </row>
    <row r="38" spans="1:13" s="66" customFormat="1" ht="18" customHeight="1" x14ac:dyDescent="0.25">
      <c r="B38" s="34">
        <v>1</v>
      </c>
      <c r="C38" s="45" t="s">
        <v>49</v>
      </c>
      <c r="D38" s="36">
        <f>IFERROR(HLOOKUP($J$1,[1]DB!$C$1:$K$172,38,FALSE),"")</f>
        <v>34</v>
      </c>
      <c r="E38" s="36">
        <f>SUMIFS('[1]Rincian Keluar'!$G:$G,'[1]Rincian Keluar'!$E:$E,'PELANGI 01'!C38,'[1]Rincian Keluar'!$D:$D,'PELANGI 01'!$D$1,'[1]Rincian Keluar'!$H:$H,'PELANGI 01'!$J$1,'[1]Rincian Keluar'!$F:$F,'PELANGI 01'!M38)</f>
        <v>34</v>
      </c>
      <c r="F38" s="37">
        <v>11000</v>
      </c>
      <c r="G38" s="67">
        <f>E38*F38</f>
        <v>374000</v>
      </c>
      <c r="H38" s="68">
        <v>1636000</v>
      </c>
      <c r="I38" s="61">
        <f>IFERROR(VLOOKUP($C37,[1]HK!$B$5:$C$14,2,FALSE),"")*$J1</f>
        <v>4865000</v>
      </c>
      <c r="J38" s="69">
        <f>I38-H38</f>
        <v>3229000</v>
      </c>
      <c r="K38" s="70">
        <v>0.34</v>
      </c>
      <c r="M38" s="20" t="str">
        <f>$C$37</f>
        <v>BATA</v>
      </c>
    </row>
    <row r="39" spans="1:13" s="66" customFormat="1" ht="18" customHeight="1" x14ac:dyDescent="0.25">
      <c r="B39" s="34">
        <v>2</v>
      </c>
      <c r="C39" s="45" t="s">
        <v>19</v>
      </c>
      <c r="D39" s="36">
        <f>IFERROR(HLOOKUP($J$1,[1]DB!$C$1:$K$172,39,FALSE),"")</f>
        <v>36</v>
      </c>
      <c r="E39" s="36">
        <f>SUMIFS('[1]Rincian Keluar'!$G:$G,'[1]Rincian Keluar'!$E:$E,'PELANGI 01'!C39,'[1]Rincian Keluar'!$D:$D,'PELANGI 01'!$D$1,'[1]Rincian Keluar'!$H:$H,'PELANGI 01'!$J$1,'[1]Rincian Keluar'!$F:$F,'PELANGI 01'!M39)</f>
        <v>36</v>
      </c>
      <c r="F39" s="46">
        <v>11000</v>
      </c>
      <c r="G39" s="67">
        <f t="shared" ref="G39:G59" si="8">E39*F39</f>
        <v>396000</v>
      </c>
      <c r="H39" s="68"/>
      <c r="I39" s="61"/>
      <c r="J39" s="71"/>
      <c r="K39" s="70"/>
      <c r="M39" s="20" t="str">
        <f t="shared" ref="M39:M59" si="9">$C$37</f>
        <v>BATA</v>
      </c>
    </row>
    <row r="40" spans="1:13" ht="18" customHeight="1" x14ac:dyDescent="0.25">
      <c r="B40" s="34">
        <v>3</v>
      </c>
      <c r="C40" s="45" t="s">
        <v>17</v>
      </c>
      <c r="D40" s="36">
        <f>IFERROR(HLOOKUP($J$1,[1]DB!$C$1:$K$172,40,FALSE),"")</f>
        <v>7</v>
      </c>
      <c r="E40" s="36">
        <f>SUMIFS('[1]Rincian Keluar'!$G:$G,'[1]Rincian Keluar'!$E:$E,'PELANGI 01'!C40,'[1]Rincian Keluar'!$D:$D,'PELANGI 01'!$D$1,'[1]Rincian Keluar'!$H:$H,'PELANGI 01'!$J$1,'[1]Rincian Keluar'!$F:$F,'PELANGI 01'!M40)</f>
        <v>7</v>
      </c>
      <c r="F40" s="37">
        <v>22000</v>
      </c>
      <c r="G40" s="67">
        <f t="shared" si="8"/>
        <v>154000</v>
      </c>
      <c r="H40" s="68"/>
      <c r="I40" s="61"/>
      <c r="J40" s="71"/>
      <c r="K40" s="70"/>
      <c r="M40" s="20" t="str">
        <f t="shared" si="9"/>
        <v>BATA</v>
      </c>
    </row>
    <row r="41" spans="1:13" ht="18" customHeight="1" x14ac:dyDescent="0.25">
      <c r="B41" s="34">
        <v>4</v>
      </c>
      <c r="C41" s="45" t="s">
        <v>50</v>
      </c>
      <c r="D41" s="36">
        <f>IFERROR(HLOOKUP($J$1,[1]DB!$C$1:$K$172,41,FALSE),"")</f>
        <v>12</v>
      </c>
      <c r="E41" s="36">
        <f>SUMIFS('[1]Rincian Keluar'!$G:$G,'[1]Rincian Keluar'!$E:$E,'PELANGI 01'!C41,'[1]Rincian Keluar'!$D:$D,'PELANGI 01'!$D$1,'[1]Rincian Keluar'!$H:$H,'PELANGI 01'!$J$1,'[1]Rincian Keluar'!$F:$F,'PELANGI 01'!M41)</f>
        <v>12</v>
      </c>
      <c r="F41" s="37">
        <v>35000</v>
      </c>
      <c r="G41" s="67">
        <f t="shared" si="8"/>
        <v>420000</v>
      </c>
      <c r="H41" s="68"/>
      <c r="I41" s="61"/>
      <c r="J41" s="71"/>
      <c r="K41" s="70"/>
      <c r="M41" s="20" t="str">
        <f t="shared" si="9"/>
        <v>BATA</v>
      </c>
    </row>
    <row r="42" spans="1:13" ht="18" customHeight="1" x14ac:dyDescent="0.25">
      <c r="B42" s="34">
        <v>5</v>
      </c>
      <c r="C42" s="45" t="s">
        <v>51</v>
      </c>
      <c r="D42" s="36">
        <f>IFERROR(HLOOKUP($J$1,[1]DB!$C$1:$K$172,42,FALSE),"")</f>
        <v>3</v>
      </c>
      <c r="E42" s="36">
        <f>SUMIFS('[1]Rincian Keluar'!$G:$G,'[1]Rincian Keluar'!$E:$E,'PELANGI 01'!C42,'[1]Rincian Keluar'!$D:$D,'PELANGI 01'!$D$1,'[1]Rincian Keluar'!$H:$H,'PELANGI 01'!$J$1,'[1]Rincian Keluar'!$F:$F,'PELANGI 01'!M42)</f>
        <v>3</v>
      </c>
      <c r="F42" s="37">
        <f>F40</f>
        <v>22000</v>
      </c>
      <c r="G42" s="67">
        <f t="shared" si="8"/>
        <v>66000</v>
      </c>
      <c r="H42" s="68"/>
      <c r="I42" s="61"/>
      <c r="J42" s="71"/>
      <c r="K42" s="70"/>
      <c r="M42" s="20" t="str">
        <f t="shared" si="9"/>
        <v>BATA</v>
      </c>
    </row>
    <row r="43" spans="1:13" ht="18" customHeight="1" x14ac:dyDescent="0.25">
      <c r="B43" s="34">
        <v>6</v>
      </c>
      <c r="C43" s="45" t="s">
        <v>52</v>
      </c>
      <c r="D43" s="36">
        <f>IFERROR(HLOOKUP($J$1,[1]DB!$C$1:$K$172,43,FALSE),"")</f>
        <v>2</v>
      </c>
      <c r="E43" s="36">
        <f>SUMIFS('[1]Rincian Keluar'!$G:$G,'[1]Rincian Keluar'!$E:$E,'PELANGI 01'!C43,'[1]Rincian Keluar'!$D:$D,'PELANGI 01'!$D$1,'[1]Rincian Keluar'!$H:$H,'PELANGI 01'!$J$1,'[1]Rincian Keluar'!$F:$F,'PELANGI 01'!M43)</f>
        <v>1</v>
      </c>
      <c r="F43" s="46">
        <v>363250</v>
      </c>
      <c r="G43" s="67">
        <f t="shared" si="8"/>
        <v>363250</v>
      </c>
      <c r="H43" s="68"/>
      <c r="I43" s="61"/>
      <c r="J43" s="71"/>
      <c r="K43" s="70"/>
      <c r="M43" s="20" t="str">
        <f t="shared" si="9"/>
        <v>BATA</v>
      </c>
    </row>
    <row r="44" spans="1:13" ht="18" customHeight="1" x14ac:dyDescent="0.25">
      <c r="B44" s="34">
        <v>7</v>
      </c>
      <c r="C44" s="45" t="s">
        <v>53</v>
      </c>
      <c r="D44" s="36">
        <f>IFERROR(HLOOKUP($J$1,[1]DB!$C$1:$K$172,44,FALSE),"")</f>
        <v>4</v>
      </c>
      <c r="E44" s="36">
        <f>SUMIFS('[1]Rincian Keluar'!$G:$G,'[1]Rincian Keluar'!$E:$E,'PELANGI 01'!C44,'[1]Rincian Keluar'!$D:$D,'PELANGI 01'!$D$1,'[1]Rincian Keluar'!$H:$H,'PELANGI 01'!$J$1,'[1]Rincian Keluar'!$F:$F,'PELANGI 01'!M44)</f>
        <v>4</v>
      </c>
      <c r="F44" s="46">
        <v>337050</v>
      </c>
      <c r="G44" s="67">
        <f t="shared" si="8"/>
        <v>1348200</v>
      </c>
      <c r="H44" s="68"/>
      <c r="I44" s="61"/>
      <c r="J44" s="71"/>
      <c r="K44" s="70"/>
      <c r="M44" s="20" t="str">
        <f t="shared" si="9"/>
        <v>BATA</v>
      </c>
    </row>
    <row r="45" spans="1:13" ht="18" customHeight="1" x14ac:dyDescent="0.25">
      <c r="B45" s="34">
        <v>8</v>
      </c>
      <c r="C45" s="72" t="s">
        <v>54</v>
      </c>
      <c r="D45" s="36">
        <f>IFERROR(HLOOKUP($J$1,[1]DB!$C$1:$K$172,45,FALSE),"")</f>
        <v>3261</v>
      </c>
      <c r="E45" s="36">
        <f>SUMIFS('[1]Rincian Keluar'!$G:$G,'[1]Rincian Keluar'!$E:$E,'PELANGI 01'!C45,'[1]Rincian Keluar'!$D:$D,'PELANGI 01'!$D$1,'[1]Rincian Keluar'!$H:$H,'PELANGI 01'!$J$1,'[1]Rincian Keluar'!$F:$F,'PELANGI 01'!M45)</f>
        <v>0</v>
      </c>
      <c r="F45" s="37">
        <v>1850</v>
      </c>
      <c r="G45" s="67">
        <f t="shared" si="8"/>
        <v>0</v>
      </c>
      <c r="H45" s="68"/>
      <c r="I45" s="61"/>
      <c r="J45" s="71"/>
      <c r="K45" s="70"/>
      <c r="M45" s="20" t="str">
        <f t="shared" si="9"/>
        <v>BATA</v>
      </c>
    </row>
    <row r="46" spans="1:13" ht="18" customHeight="1" x14ac:dyDescent="0.25">
      <c r="B46" s="34">
        <v>9</v>
      </c>
      <c r="C46" s="45" t="s">
        <v>24</v>
      </c>
      <c r="D46" s="36">
        <f>IFERROR(HLOOKUP($J$1,[1]DB!$C$1:$K$172,46,FALSE),"")</f>
        <v>27</v>
      </c>
      <c r="E46" s="36">
        <f>SUMIFS('[1]Rincian Keluar'!$G:$G,'[1]Rincian Keluar'!$E:$E,'PELANGI 01'!C46,'[1]Rincian Keluar'!$D:$D,'PELANGI 01'!$D$1,'[1]Rincian Keluar'!$H:$H,'PELANGI 01'!$J$1,'[1]Rincian Keluar'!$F:$F,'PELANGI 01'!M46)</f>
        <v>11</v>
      </c>
      <c r="F46" s="37">
        <v>60700</v>
      </c>
      <c r="G46" s="67">
        <f t="shared" si="8"/>
        <v>667700</v>
      </c>
      <c r="H46" s="68"/>
      <c r="I46" s="61"/>
      <c r="J46" s="71"/>
      <c r="K46" s="70"/>
      <c r="M46" s="20" t="str">
        <f t="shared" si="9"/>
        <v>BATA</v>
      </c>
    </row>
    <row r="47" spans="1:13" ht="18" customHeight="1" x14ac:dyDescent="0.25">
      <c r="B47" s="34">
        <v>10</v>
      </c>
      <c r="C47" s="72" t="s">
        <v>31</v>
      </c>
      <c r="D47" s="36">
        <f>IFERROR(HLOOKUP($J$1,[1]DB!$C$1:$K$172,47,FALSE),"")</f>
        <v>7</v>
      </c>
      <c r="E47" s="36">
        <f>SUMIFS('[1]Rincian Keluar'!$G:$G,'[1]Rincian Keluar'!$E:$E,'PELANGI 01'!C47,'[1]Rincian Keluar'!$D:$D,'PELANGI 01'!$D$1,'[1]Rincian Keluar'!$H:$H,'PELANGI 01'!$J$1,'[1]Rincian Keluar'!$F:$F,'PELANGI 01'!M47)</f>
        <v>2</v>
      </c>
      <c r="F47" s="37">
        <v>150000</v>
      </c>
      <c r="G47" s="67">
        <f t="shared" si="8"/>
        <v>300000</v>
      </c>
      <c r="H47" s="68"/>
      <c r="I47" s="61"/>
      <c r="J47" s="71"/>
      <c r="K47" s="70"/>
      <c r="M47" s="20" t="str">
        <f t="shared" si="9"/>
        <v>BATA</v>
      </c>
    </row>
    <row r="48" spans="1:13" s="20" customFormat="1" ht="18" customHeight="1" x14ac:dyDescent="0.25">
      <c r="A48" s="1"/>
      <c r="B48" s="34">
        <v>11</v>
      </c>
      <c r="C48" s="72" t="s">
        <v>17</v>
      </c>
      <c r="D48" s="36">
        <f>IFERROR(HLOOKUP($J$1,[1]DB!$C$1:$K$172,48,FALSE),"")</f>
        <v>7</v>
      </c>
      <c r="E48" s="36">
        <f>SUMIFS('[1]Rincian Keluar'!$G:$G,'[1]Rincian Keluar'!$E:$E,'PELANGI 01'!C48,'[1]Rincian Keluar'!$D:$D,'PELANGI 01'!$D$1,'[1]Rincian Keluar'!$H:$H,'PELANGI 01'!$J$1,'[1]Rincian Keluar'!$F:$F,'PELANGI 01'!M48)</f>
        <v>7</v>
      </c>
      <c r="F48" s="64">
        <f>F7</f>
        <v>21500</v>
      </c>
      <c r="G48" s="67">
        <f t="shared" si="8"/>
        <v>150500</v>
      </c>
      <c r="H48" s="68"/>
      <c r="I48" s="61"/>
      <c r="J48" s="71"/>
      <c r="K48" s="70"/>
      <c r="M48" s="20" t="str">
        <f t="shared" si="9"/>
        <v>BATA</v>
      </c>
    </row>
    <row r="49" spans="1:15" s="20" customFormat="1" ht="18" customHeight="1" x14ac:dyDescent="0.25">
      <c r="A49" s="1"/>
      <c r="B49" s="29" t="s">
        <v>55</v>
      </c>
      <c r="C49" s="65" t="s">
        <v>56</v>
      </c>
      <c r="D49" s="73"/>
      <c r="E49" s="73"/>
      <c r="F49" s="73"/>
      <c r="G49" s="74"/>
      <c r="H49" s="68"/>
      <c r="I49" s="61"/>
      <c r="J49" s="71"/>
      <c r="K49" s="70"/>
      <c r="M49" s="20" t="str">
        <f t="shared" si="9"/>
        <v>BATA</v>
      </c>
    </row>
    <row r="50" spans="1:15" s="20" customFormat="1" ht="18" customHeight="1" x14ac:dyDescent="0.25">
      <c r="A50" s="1"/>
      <c r="B50" s="34">
        <v>1</v>
      </c>
      <c r="C50" s="45" t="s">
        <v>24</v>
      </c>
      <c r="D50" s="36">
        <f>IFERROR(HLOOKUP($J$1,[1]DB!$C$1:$K$172,50,FALSE),"")</f>
        <v>7</v>
      </c>
      <c r="E50" s="36">
        <f>SUMIFS('[1]Rincian Keluar'!$G:$G,'[1]Rincian Keluar'!$E:$E,'PELANGI 01'!C50,'[1]Rincian Keluar'!$D:$D,'PELANGI 01'!$D$1,'[1]Rincian Keluar'!$H:$H,'PELANGI 01'!$J$1,'[1]Rincian Keluar'!$F:$F,'PELANGI 01'!M50)</f>
        <v>11</v>
      </c>
      <c r="F50" s="37">
        <v>60700</v>
      </c>
      <c r="G50" s="67">
        <f t="shared" si="8"/>
        <v>667700</v>
      </c>
      <c r="H50" s="68"/>
      <c r="I50" s="61"/>
      <c r="J50" s="71"/>
      <c r="K50" s="70"/>
      <c r="M50" s="20" t="str">
        <f t="shared" si="9"/>
        <v>BATA</v>
      </c>
    </row>
    <row r="51" spans="1:15" s="20" customFormat="1" ht="18" customHeight="1" x14ac:dyDescent="0.25">
      <c r="A51" s="1"/>
      <c r="B51" s="34">
        <v>2</v>
      </c>
      <c r="C51" s="72" t="s">
        <v>31</v>
      </c>
      <c r="D51" s="36">
        <f>IFERROR(HLOOKUP($J$1,[1]DB!$C$1:$K$172,51,FALSE),"")</f>
        <v>2</v>
      </c>
      <c r="E51" s="36">
        <f>SUMIFS('[1]Rincian Keluar'!$G:$G,'[1]Rincian Keluar'!$E:$E,'PELANGI 01'!C51,'[1]Rincian Keluar'!$D:$D,'PELANGI 01'!$D$1,'[1]Rincian Keluar'!$H:$H,'PELANGI 01'!$J$1,'[1]Rincian Keluar'!$F:$F,'PELANGI 01'!M51)</f>
        <v>2</v>
      </c>
      <c r="F51" s="37">
        <v>150000</v>
      </c>
      <c r="G51" s="67">
        <f t="shared" si="8"/>
        <v>300000</v>
      </c>
      <c r="H51" s="68"/>
      <c r="I51" s="61"/>
      <c r="J51" s="71"/>
      <c r="K51" s="70"/>
      <c r="M51" s="20" t="str">
        <f t="shared" si="9"/>
        <v>BATA</v>
      </c>
    </row>
    <row r="52" spans="1:15" s="20" customFormat="1" ht="18" customHeight="1" x14ac:dyDescent="0.25">
      <c r="A52" s="1"/>
      <c r="B52" s="34">
        <v>3</v>
      </c>
      <c r="C52" s="72" t="s">
        <v>23</v>
      </c>
      <c r="D52" s="36">
        <f>IFERROR(HLOOKUP($J$1,[1]DB!$C$1:$K$172,52,FALSE),"")</f>
        <v>3</v>
      </c>
      <c r="E52" s="36">
        <f>SUMIFS('[1]Rincian Keluar'!$G:$G,'[1]Rincian Keluar'!$E:$E,'PELANGI 01'!C52,'[1]Rincian Keluar'!$D:$D,'PELANGI 01'!$D$1,'[1]Rincian Keluar'!$H:$H,'PELANGI 01'!$J$1,'[1]Rincian Keluar'!$F:$F,'PELANGI 01'!M52)</f>
        <v>0</v>
      </c>
      <c r="F52" s="37"/>
      <c r="G52" s="67">
        <f t="shared" si="8"/>
        <v>0</v>
      </c>
      <c r="H52" s="68"/>
      <c r="I52" s="61"/>
      <c r="J52" s="71"/>
      <c r="K52" s="70"/>
      <c r="M52" s="20" t="str">
        <f t="shared" si="9"/>
        <v>BATA</v>
      </c>
    </row>
    <row r="53" spans="1:15" s="20" customFormat="1" ht="18" customHeight="1" x14ac:dyDescent="0.25">
      <c r="A53" s="1"/>
      <c r="B53" s="34">
        <v>4</v>
      </c>
      <c r="C53" s="45" t="s">
        <v>51</v>
      </c>
      <c r="D53" s="36">
        <f>IFERROR(HLOOKUP($J$1,[1]DB!$C$1:$K$172,53,FALSE),"")</f>
        <v>4</v>
      </c>
      <c r="E53" s="36">
        <f>SUMIFS('[1]Rincian Keluar'!$G:$G,'[1]Rincian Keluar'!$E:$E,'PELANGI 01'!C53,'[1]Rincian Keluar'!$D:$D,'PELANGI 01'!$D$1,'[1]Rincian Keluar'!$H:$H,'PELANGI 01'!$J$1,'[1]Rincian Keluar'!$F:$F,'PELANGI 01'!M53)</f>
        <v>3</v>
      </c>
      <c r="F53" s="37">
        <v>22000</v>
      </c>
      <c r="G53" s="67">
        <f t="shared" si="8"/>
        <v>66000</v>
      </c>
      <c r="H53" s="68"/>
      <c r="I53" s="61"/>
      <c r="J53" s="71"/>
      <c r="K53" s="70"/>
      <c r="M53" s="20" t="str">
        <f t="shared" si="9"/>
        <v>BATA</v>
      </c>
    </row>
    <row r="54" spans="1:15" s="20" customFormat="1" ht="18" customHeight="1" x14ac:dyDescent="0.25">
      <c r="A54" s="1"/>
      <c r="B54" s="34">
        <v>5</v>
      </c>
      <c r="C54" s="45" t="s">
        <v>57</v>
      </c>
      <c r="D54" s="36">
        <f>IFERROR(HLOOKUP($J$1,[1]DB!$C$1:$K$172,54,FALSE),"")</f>
        <v>6</v>
      </c>
      <c r="E54" s="36">
        <f>SUMIFS('[1]Rincian Keluar'!$G:$G,'[1]Rincian Keluar'!$E:$E,'PELANGI 01'!C54,'[1]Rincian Keluar'!$D:$D,'PELANGI 01'!$D$1,'[1]Rincian Keluar'!$H:$H,'PELANGI 01'!$J$1,'[1]Rincian Keluar'!$F:$F,'PELANGI 01'!M54)</f>
        <v>0</v>
      </c>
      <c r="F54" s="37">
        <v>35000</v>
      </c>
      <c r="G54" s="67">
        <f t="shared" si="8"/>
        <v>0</v>
      </c>
      <c r="H54" s="68"/>
      <c r="I54" s="61"/>
      <c r="J54" s="71"/>
      <c r="K54" s="70"/>
      <c r="M54" s="20" t="str">
        <f t="shared" si="9"/>
        <v>BATA</v>
      </c>
    </row>
    <row r="55" spans="1:15" s="20" customFormat="1" ht="18" customHeight="1" x14ac:dyDescent="0.25">
      <c r="A55" s="1"/>
      <c r="B55" s="34">
        <v>6</v>
      </c>
      <c r="C55" s="45" t="s">
        <v>58</v>
      </c>
      <c r="D55" s="36">
        <f>IFERROR(HLOOKUP($J$1,[1]DB!$C$1:$K$172,55,FALSE),"")</f>
        <v>2</v>
      </c>
      <c r="E55" s="36">
        <f>SUMIFS('[1]Rincian Keluar'!$G:$G,'[1]Rincian Keluar'!$E:$E,'PELANGI 01'!C55,'[1]Rincian Keluar'!$D:$D,'PELANGI 01'!$D$1,'[1]Rincian Keluar'!$H:$H,'PELANGI 01'!$J$1,'[1]Rincian Keluar'!$F:$F,'PELANGI 01'!M55)</f>
        <v>0</v>
      </c>
      <c r="F55" s="37">
        <v>130000</v>
      </c>
      <c r="G55" s="67">
        <f t="shared" si="8"/>
        <v>0</v>
      </c>
      <c r="H55" s="68"/>
      <c r="I55" s="61"/>
      <c r="J55" s="71"/>
      <c r="K55" s="70"/>
      <c r="M55" s="20" t="str">
        <f t="shared" si="9"/>
        <v>BATA</v>
      </c>
    </row>
    <row r="56" spans="1:15" s="20" customFormat="1" ht="18" customHeight="1" x14ac:dyDescent="0.25">
      <c r="A56" s="1"/>
      <c r="B56" s="34">
        <v>7</v>
      </c>
      <c r="C56" s="45" t="s">
        <v>19</v>
      </c>
      <c r="D56" s="36">
        <f>IFERROR(HLOOKUP($J$1,[1]DB!$C$1:$K$172,56,FALSE),"")</f>
        <v>28</v>
      </c>
      <c r="E56" s="36">
        <f>SUMIFS('[1]Rincian Keluar'!$G:$G,'[1]Rincian Keluar'!$E:$E,'PELANGI 01'!C56,'[1]Rincian Keluar'!$D:$D,'PELANGI 01'!$D$1,'[1]Rincian Keluar'!$H:$H,'PELANGI 01'!$J$1,'[1]Rincian Keluar'!$F:$F,'PELANGI 01'!M56)</f>
        <v>36</v>
      </c>
      <c r="F56" s="46">
        <v>11000</v>
      </c>
      <c r="G56" s="67">
        <f t="shared" si="8"/>
        <v>396000</v>
      </c>
      <c r="H56" s="68"/>
      <c r="I56" s="61"/>
      <c r="J56" s="71"/>
      <c r="K56" s="70"/>
      <c r="M56" s="20" t="str">
        <f t="shared" si="9"/>
        <v>BATA</v>
      </c>
    </row>
    <row r="57" spans="1:15" s="20" customFormat="1" ht="18" customHeight="1" x14ac:dyDescent="0.25">
      <c r="A57" s="1"/>
      <c r="B57" s="34">
        <v>8</v>
      </c>
      <c r="C57" s="45" t="s">
        <v>54</v>
      </c>
      <c r="D57" s="36">
        <f>IFERROR(HLOOKUP($J$1,[1]DB!$C$1:$K$172,57,FALSE),"")</f>
        <v>104</v>
      </c>
      <c r="E57" s="36">
        <f>SUMIFS('[1]Rincian Keluar'!$G:$G,'[1]Rincian Keluar'!$E:$E,'PELANGI 01'!C57,'[1]Rincian Keluar'!$D:$D,'PELANGI 01'!$D$1,'[1]Rincian Keluar'!$H:$H,'PELANGI 01'!$J$1,'[1]Rincian Keluar'!$F:$F,'PELANGI 01'!M57)</f>
        <v>0</v>
      </c>
      <c r="F57" s="37">
        <v>1850</v>
      </c>
      <c r="G57" s="67">
        <f t="shared" si="8"/>
        <v>0</v>
      </c>
      <c r="H57" s="68"/>
      <c r="I57" s="61"/>
      <c r="J57" s="71"/>
      <c r="K57" s="70"/>
      <c r="M57" s="20" t="str">
        <f t="shared" si="9"/>
        <v>BATA</v>
      </c>
    </row>
    <row r="58" spans="1:15" s="20" customFormat="1" ht="18" customHeight="1" x14ac:dyDescent="0.25">
      <c r="A58" s="1"/>
      <c r="B58" s="34">
        <v>9</v>
      </c>
      <c r="C58" s="45" t="s">
        <v>20</v>
      </c>
      <c r="D58" s="36">
        <f>IFERROR(HLOOKUP($J$1,[1]DB!$C$1:$K$172,58,FALSE),"")</f>
        <v>11</v>
      </c>
      <c r="E58" s="36">
        <f>SUMIFS('[1]Rincian Keluar'!$G:$G,'[1]Rincian Keluar'!$E:$E,'PELANGI 01'!C58,'[1]Rincian Keluar'!$D:$D,'PELANGI 01'!$D$1,'[1]Rincian Keluar'!$H:$H,'PELANGI 01'!$J$1,'[1]Rincian Keluar'!$F:$F,'PELANGI 01'!M58)</f>
        <v>0</v>
      </c>
      <c r="F58" s="37">
        <v>8000</v>
      </c>
      <c r="G58" s="67">
        <f t="shared" si="8"/>
        <v>0</v>
      </c>
      <c r="H58" s="68"/>
      <c r="I58" s="61"/>
      <c r="J58" s="71"/>
      <c r="K58" s="70"/>
      <c r="M58" s="20" t="str">
        <f t="shared" si="9"/>
        <v>BATA</v>
      </c>
    </row>
    <row r="59" spans="1:15" s="20" customFormat="1" ht="18" customHeight="1" x14ac:dyDescent="0.25">
      <c r="A59" s="1"/>
      <c r="B59" s="34">
        <v>10</v>
      </c>
      <c r="C59" s="45" t="s">
        <v>21</v>
      </c>
      <c r="D59" s="36">
        <f>IFERROR(HLOOKUP($J$1,[1]DB!$C$1:$K$172,59,FALSE),"")</f>
        <v>9</v>
      </c>
      <c r="E59" s="36">
        <f>SUMIFS('[1]Rincian Keluar'!$G:$G,'[1]Rincian Keluar'!$E:$E,'PELANGI 01'!C59,'[1]Rincian Keluar'!$D:$D,'PELANGI 01'!$D$1,'[1]Rincian Keluar'!$H:$H,'PELANGI 01'!$J$1,'[1]Rincian Keluar'!$F:$F,'PELANGI 01'!M59)</f>
        <v>0</v>
      </c>
      <c r="F59" s="37">
        <v>11000</v>
      </c>
      <c r="G59" s="67">
        <f t="shared" si="8"/>
        <v>0</v>
      </c>
      <c r="H59" s="68"/>
      <c r="I59" s="61"/>
      <c r="J59" s="71"/>
      <c r="K59" s="70"/>
      <c r="M59" s="20" t="str">
        <f t="shared" si="9"/>
        <v>BATA</v>
      </c>
    </row>
    <row r="60" spans="1:15" s="20" customFormat="1" ht="18" customHeight="1" x14ac:dyDescent="0.25">
      <c r="A60" s="1"/>
      <c r="B60" s="29" t="s">
        <v>59</v>
      </c>
      <c r="C60" s="65" t="s">
        <v>60</v>
      </c>
      <c r="D60" s="31"/>
      <c r="E60" s="31"/>
      <c r="F60" s="31"/>
      <c r="G60" s="31"/>
      <c r="H60" s="31"/>
      <c r="I60" s="32"/>
      <c r="J60" s="31"/>
      <c r="K60" s="33"/>
    </row>
    <row r="61" spans="1:15" s="20" customFormat="1" ht="18" customHeight="1" x14ac:dyDescent="0.25">
      <c r="A61" s="1"/>
      <c r="B61" s="34">
        <v>1</v>
      </c>
      <c r="C61" s="45" t="s">
        <v>24</v>
      </c>
      <c r="D61" s="36">
        <f>IFERROR(HLOOKUP($J$1,[1]DB!$C$1:$K$172,61,FALSE),"")</f>
        <v>49</v>
      </c>
      <c r="E61" s="36">
        <f>SUMIFS('[1]Rincian Keluar'!$G:$G,'[1]Rincian Keluar'!$E:$E,'PELANGI 01'!C61,'[1]Rincian Keluar'!$D:$D,'PELANGI 01'!$D$1,'[1]Rincian Keluar'!$H:$H,'PELANGI 01'!$J$1,'[1]Rincian Keluar'!$F:$F,'PELANGI 01'!M61)</f>
        <v>0</v>
      </c>
      <c r="F61" s="37">
        <v>60700</v>
      </c>
      <c r="G61" s="75">
        <f>E61*F61</f>
        <v>0</v>
      </c>
      <c r="H61" s="136"/>
      <c r="I61" s="76">
        <f>IFERROR(VLOOKUP($C60,[1]HK!$B$5:$C$14,2,FALSE),"")*$J1</f>
        <v>4375000</v>
      </c>
      <c r="J61" s="169">
        <f>E61*F61</f>
        <v>0</v>
      </c>
      <c r="K61" s="41">
        <v>0.68</v>
      </c>
      <c r="M61" s="20" t="str">
        <f>$C$60</f>
        <v>PLASTER</v>
      </c>
      <c r="O61" s="20" t="s">
        <v>61</v>
      </c>
    </row>
    <row r="62" spans="1:15" s="20" customFormat="1" ht="18" customHeight="1" x14ac:dyDescent="0.25">
      <c r="A62" s="1"/>
      <c r="B62" s="34">
        <v>2</v>
      </c>
      <c r="C62" s="72" t="s">
        <v>31</v>
      </c>
      <c r="D62" s="36">
        <f>IFERROR(HLOOKUP($J$1,[1]DB!$C$1:$K$172,62,FALSE),"")</f>
        <v>11</v>
      </c>
      <c r="E62" s="36">
        <f>SUMIFS('[1]Rincian Keluar'!$G:$G,'[1]Rincian Keluar'!$E:$E,'PELANGI 01'!C62,'[1]Rincian Keluar'!$D:$D,'PELANGI 01'!$D$1,'[1]Rincian Keluar'!$H:$H,'PELANGI 01'!$J$1,'[1]Rincian Keluar'!$F:$F,'PELANGI 01'!M62)</f>
        <v>0</v>
      </c>
      <c r="F62" s="37">
        <v>150000</v>
      </c>
      <c r="G62" s="75">
        <f t="shared" ref="G62:G63" si="10">E62*F62</f>
        <v>0</v>
      </c>
      <c r="H62" s="138"/>
      <c r="I62" s="78"/>
      <c r="J62" s="170"/>
      <c r="K62" s="44"/>
      <c r="M62" s="20" t="str">
        <f t="shared" ref="M62:M63" si="11">$C$60</f>
        <v>PLASTER</v>
      </c>
    </row>
    <row r="63" spans="1:15" ht="18" customHeight="1" x14ac:dyDescent="0.25">
      <c r="B63" s="34">
        <v>3</v>
      </c>
      <c r="C63" s="72" t="s">
        <v>62</v>
      </c>
      <c r="D63" s="36">
        <f>IFERROR(HLOOKUP($J$1,[1]DB!$C$1:$K$172,63,FALSE),"")</f>
        <v>9</v>
      </c>
      <c r="E63" s="36">
        <f>SUMIFS('[1]Rincian Keluar'!$G:$G,'[1]Rincian Keluar'!$E:$E,'PELANGI 01'!C63,'[1]Rincian Keluar'!$D:$D,'PELANGI 01'!$D$1,'[1]Rincian Keluar'!$H:$H,'PELANGI 01'!$J$1,'[1]Rincian Keluar'!$F:$F,'PELANGI 01'!M63)</f>
        <v>0</v>
      </c>
      <c r="F63" s="57">
        <v>8600</v>
      </c>
      <c r="G63" s="75">
        <f t="shared" si="10"/>
        <v>0</v>
      </c>
      <c r="H63" s="140"/>
      <c r="I63" s="80"/>
      <c r="J63" s="171"/>
      <c r="K63" s="49"/>
      <c r="M63" s="20" t="str">
        <f t="shared" si="11"/>
        <v>PLASTER</v>
      </c>
    </row>
    <row r="64" spans="1:15" ht="18" customHeight="1" x14ac:dyDescent="0.25">
      <c r="B64" s="29" t="s">
        <v>63</v>
      </c>
      <c r="C64" s="50" t="s">
        <v>64</v>
      </c>
      <c r="D64" s="31"/>
      <c r="E64" s="31"/>
      <c r="F64" s="31"/>
      <c r="G64" s="31"/>
      <c r="H64" s="31"/>
      <c r="I64" s="32"/>
      <c r="J64" s="31"/>
      <c r="K64" s="33"/>
      <c r="M64" s="20"/>
    </row>
    <row r="65" spans="1:13" ht="18" customHeight="1" x14ac:dyDescent="0.25">
      <c r="B65" s="34">
        <v>1</v>
      </c>
      <c r="C65" s="45" t="s">
        <v>19</v>
      </c>
      <c r="D65" s="36">
        <f>IFERROR(HLOOKUP($J$1,[1]DB!$C$1:$K$172,65,FALSE),"")</f>
        <v>84</v>
      </c>
      <c r="E65" s="36">
        <f>SUMIFS('[1]Rincian Keluar'!$G:$G,'[1]Rincian Keluar'!$E:$E,'PELANGI 01'!C65,'[1]Rincian Keluar'!$D:$D,'PELANGI 01'!$D$1,'[1]Rincian Keluar'!$H:$H,'PELANGI 01'!$J$1,'[1]Rincian Keluar'!$F:$F,'PELANGI 01'!M65)</f>
        <v>0</v>
      </c>
      <c r="F65" s="46">
        <v>11000</v>
      </c>
      <c r="G65" s="82">
        <f>E65*F65</f>
        <v>0</v>
      </c>
      <c r="H65" s="136"/>
      <c r="I65" s="39">
        <f>IFERROR(VLOOKUP($C64,[1]HK!$B$5:$C$14,2,FALSE),"")*$J1</f>
        <v>2338000</v>
      </c>
      <c r="J65" s="137"/>
      <c r="K65" s="84"/>
      <c r="M65" s="20" t="str">
        <f>$C$64</f>
        <v>ATAP</v>
      </c>
    </row>
    <row r="66" spans="1:13" ht="18" customHeight="1" x14ac:dyDescent="0.25">
      <c r="B66" s="34">
        <v>2</v>
      </c>
      <c r="C66" s="45" t="s">
        <v>65</v>
      </c>
      <c r="D66" s="36">
        <f>IFERROR(HLOOKUP($J$1,[1]DB!$C$1:$K$172,66,FALSE),"")</f>
        <v>56</v>
      </c>
      <c r="E66" s="36">
        <f>SUMIFS('[1]Rincian Keluar'!$G:$G,'[1]Rincian Keluar'!$E:$E,'PELANGI 01'!C66,'[1]Rincian Keluar'!$D:$D,'PELANGI 01'!$D$1,'[1]Rincian Keluar'!$H:$H,'PELANGI 01'!$J$1,'[1]Rincian Keluar'!$F:$F,'PELANGI 01'!M66)</f>
        <v>0</v>
      </c>
      <c r="F66" s="85">
        <v>15000</v>
      </c>
      <c r="G66" s="82">
        <f t="shared" ref="G66:G74" si="12">E66*F66</f>
        <v>0</v>
      </c>
      <c r="H66" s="138"/>
      <c r="I66" s="42"/>
      <c r="J66" s="104"/>
      <c r="K66" s="87"/>
      <c r="M66" s="20" t="str">
        <f t="shared" ref="M66:M74" si="13">$C$64</f>
        <v>ATAP</v>
      </c>
    </row>
    <row r="67" spans="1:13" ht="18" customHeight="1" x14ac:dyDescent="0.25">
      <c r="B67" s="34">
        <v>3</v>
      </c>
      <c r="C67" s="45" t="s">
        <v>66</v>
      </c>
      <c r="D67" s="36">
        <f>IFERROR(HLOOKUP($J$1,[1]DB!$C$1:$K$172,67,FALSE),"")</f>
        <v>41</v>
      </c>
      <c r="E67" s="36">
        <f>SUMIFS('[1]Rincian Keluar'!$G:$G,'[1]Rincian Keluar'!$E:$E,'PELANGI 01'!C67,'[1]Rincian Keluar'!$D:$D,'PELANGI 01'!$D$1,'[1]Rincian Keluar'!$H:$H,'PELANGI 01'!$J$1,'[1]Rincian Keluar'!$F:$F,'PELANGI 01'!M67)</f>
        <v>0</v>
      </c>
      <c r="F67" s="85">
        <v>30000</v>
      </c>
      <c r="G67" s="82">
        <f t="shared" si="12"/>
        <v>0</v>
      </c>
      <c r="H67" s="138"/>
      <c r="I67" s="42"/>
      <c r="J67" s="104"/>
      <c r="K67" s="87"/>
      <c r="M67" s="20" t="str">
        <f t="shared" si="13"/>
        <v>ATAP</v>
      </c>
    </row>
    <row r="68" spans="1:13" ht="18" customHeight="1" x14ac:dyDescent="0.25">
      <c r="B68" s="34">
        <v>4</v>
      </c>
      <c r="C68" s="35" t="s">
        <v>67</v>
      </c>
      <c r="D68" s="36">
        <f>IFERROR(HLOOKUP($J$1,[1]DB!$C$1:$K$172,68,FALSE),"")</f>
        <v>13</v>
      </c>
      <c r="E68" s="36">
        <f>SUMIFS('[1]Rincian Keluar'!$G:$G,'[1]Rincian Keluar'!$E:$E,'PELANGI 01'!C68,'[1]Rincian Keluar'!$D:$D,'PELANGI 01'!$D$1,'[1]Rincian Keluar'!$H:$H,'PELANGI 01'!$J$1,'[1]Rincian Keluar'!$F:$F,'PELANGI 01'!M68)</f>
        <v>0</v>
      </c>
      <c r="F68" s="88">
        <v>60000</v>
      </c>
      <c r="G68" s="82">
        <f t="shared" si="12"/>
        <v>0</v>
      </c>
      <c r="H68" s="138"/>
      <c r="I68" s="42"/>
      <c r="J68" s="104"/>
      <c r="K68" s="87"/>
      <c r="M68" s="20" t="str">
        <f t="shared" si="13"/>
        <v>ATAP</v>
      </c>
    </row>
    <row r="69" spans="1:13" ht="18" customHeight="1" x14ac:dyDescent="0.25">
      <c r="B69" s="34">
        <v>5</v>
      </c>
      <c r="C69" s="35" t="s">
        <v>68</v>
      </c>
      <c r="D69" s="36">
        <f>IFERROR(HLOOKUP($J$1,[1]DB!$C$1:$K$172,69,FALSE),"")</f>
        <v>96</v>
      </c>
      <c r="E69" s="36">
        <f>SUMIFS('[1]Rincian Keluar'!$G:$G,'[1]Rincian Keluar'!$E:$E,'PELANGI 01'!C69,'[1]Rincian Keluar'!$D:$D,'PELANGI 01'!$D$1,'[1]Rincian Keluar'!$H:$H,'PELANGI 01'!$J$1,'[1]Rincian Keluar'!$F:$F,'PELANGI 01'!M69)</f>
        <v>0</v>
      </c>
      <c r="F69" s="88">
        <v>52000</v>
      </c>
      <c r="G69" s="82">
        <f t="shared" si="12"/>
        <v>0</v>
      </c>
      <c r="H69" s="138"/>
      <c r="I69" s="42"/>
      <c r="J69" s="104"/>
      <c r="K69" s="87"/>
      <c r="M69" s="20" t="str">
        <f t="shared" si="13"/>
        <v>ATAP</v>
      </c>
    </row>
    <row r="70" spans="1:13" ht="18" customHeight="1" x14ac:dyDescent="0.25">
      <c r="B70" s="34">
        <v>6</v>
      </c>
      <c r="C70" s="35" t="s">
        <v>69</v>
      </c>
      <c r="D70" s="36">
        <f>IFERROR(HLOOKUP($J$1,[1]DB!$C$1:$K$172,70,FALSE),"")</f>
        <v>0</v>
      </c>
      <c r="E70" s="36">
        <f>SUMIFS('[1]Rincian Keluar'!$G:$G,'[1]Rincian Keluar'!$E:$E,'PELANGI 01'!C70,'[1]Rincian Keluar'!$D:$D,'PELANGI 01'!$D$1,'[1]Rincian Keluar'!$H:$H,'PELANGI 01'!$J$1,'[1]Rincian Keluar'!$F:$F,'PELANGI 01'!M70)</f>
        <v>0</v>
      </c>
      <c r="F70" s="88">
        <v>36000</v>
      </c>
      <c r="G70" s="82">
        <f t="shared" si="12"/>
        <v>0</v>
      </c>
      <c r="H70" s="138"/>
      <c r="I70" s="42"/>
      <c r="J70" s="104"/>
      <c r="K70" s="87"/>
      <c r="M70" s="20" t="str">
        <f t="shared" si="13"/>
        <v>ATAP</v>
      </c>
    </row>
    <row r="71" spans="1:13" ht="18" customHeight="1" x14ac:dyDescent="0.25">
      <c r="B71" s="34">
        <v>7</v>
      </c>
      <c r="C71" s="35" t="s">
        <v>70</v>
      </c>
      <c r="D71" s="36">
        <f>IFERROR(HLOOKUP($J$1,[1]DB!$C$1:$K$172,71,FALSE),"")</f>
        <v>0</v>
      </c>
      <c r="E71" s="36">
        <f>SUMIFS('[1]Rincian Keluar'!$G:$G,'[1]Rincian Keluar'!$E:$E,'PELANGI 01'!C71,'[1]Rincian Keluar'!$D:$D,'PELANGI 01'!$D$1,'[1]Rincian Keluar'!$H:$H,'PELANGI 01'!$J$1,'[1]Rincian Keluar'!$F:$F,'PELANGI 01'!M71)</f>
        <v>0</v>
      </c>
      <c r="F71" s="88">
        <v>50000</v>
      </c>
      <c r="G71" s="82">
        <f t="shared" si="12"/>
        <v>0</v>
      </c>
      <c r="H71" s="138"/>
      <c r="I71" s="42"/>
      <c r="J71" s="104"/>
      <c r="K71" s="87"/>
      <c r="M71" s="20" t="str">
        <f t="shared" si="13"/>
        <v>ATAP</v>
      </c>
    </row>
    <row r="72" spans="1:13" ht="18" customHeight="1" x14ac:dyDescent="0.25">
      <c r="B72" s="34">
        <v>8</v>
      </c>
      <c r="C72" s="35" t="s">
        <v>71</v>
      </c>
      <c r="D72" s="36">
        <f>IFERROR(HLOOKUP($J$1,[1]DB!$C$1:$K$172,72,FALSE),"")</f>
        <v>1.5</v>
      </c>
      <c r="E72" s="36">
        <f>SUMIFS('[1]Rincian Keluar'!$G:$G,'[1]Rincian Keluar'!$E:$E,'PELANGI 01'!C72,'[1]Rincian Keluar'!$D:$D,'PELANGI 01'!$D$1,'[1]Rincian Keluar'!$H:$H,'PELANGI 01'!$J$1,'[1]Rincian Keluar'!$F:$F,'PELANGI 01'!M72)</f>
        <v>0</v>
      </c>
      <c r="F72" s="88">
        <v>650000</v>
      </c>
      <c r="G72" s="82">
        <f t="shared" si="12"/>
        <v>0</v>
      </c>
      <c r="H72" s="138"/>
      <c r="I72" s="42"/>
      <c r="J72" s="104"/>
      <c r="K72" s="87"/>
      <c r="M72" s="20" t="str">
        <f t="shared" si="13"/>
        <v>ATAP</v>
      </c>
    </row>
    <row r="73" spans="1:13" ht="18" customHeight="1" x14ac:dyDescent="0.25">
      <c r="B73" s="34">
        <v>9</v>
      </c>
      <c r="C73" s="35" t="s">
        <v>72</v>
      </c>
      <c r="D73" s="36">
        <f>IFERROR(HLOOKUP($J$1,[1]DB!$C$1:$K$172,73,FALSE),"")</f>
        <v>2</v>
      </c>
      <c r="E73" s="36">
        <f>SUMIFS('[1]Rincian Keluar'!$G:$G,'[1]Rincian Keluar'!$E:$E,'PELANGI 01'!C73,'[1]Rincian Keluar'!$D:$D,'PELANGI 01'!$D$1,'[1]Rincian Keluar'!$H:$H,'PELANGI 01'!$J$1,'[1]Rincian Keluar'!$F:$F,'PELANGI 01'!M73)</f>
        <v>0</v>
      </c>
      <c r="F73" s="88">
        <v>130000</v>
      </c>
      <c r="G73" s="82">
        <f t="shared" si="12"/>
        <v>0</v>
      </c>
      <c r="H73" s="138"/>
      <c r="I73" s="42"/>
      <c r="J73" s="104"/>
      <c r="K73" s="87"/>
      <c r="M73" s="20" t="str">
        <f t="shared" si="13"/>
        <v>ATAP</v>
      </c>
    </row>
    <row r="74" spans="1:13" ht="18" customHeight="1" x14ac:dyDescent="0.25">
      <c r="B74" s="34">
        <v>10</v>
      </c>
      <c r="C74" s="35" t="s">
        <v>73</v>
      </c>
      <c r="D74" s="36">
        <f>IFERROR(HLOOKUP($J$1,[1]DB!$C$1:$K$172,74,FALSE),"")</f>
        <v>2</v>
      </c>
      <c r="E74" s="36">
        <f>SUMIFS('[1]Rincian Keluar'!$G:$G,'[1]Rincian Keluar'!$E:$E,'PELANGI 01'!C74,'[1]Rincian Keluar'!$D:$D,'PELANGI 01'!$D$1,'[1]Rincian Keluar'!$H:$H,'PELANGI 01'!$J$1,'[1]Rincian Keluar'!$F:$F,'PELANGI 01'!M74)</f>
        <v>0</v>
      </c>
      <c r="F74" s="88">
        <v>130000</v>
      </c>
      <c r="G74" s="82">
        <f t="shared" si="12"/>
        <v>0</v>
      </c>
      <c r="H74" s="140"/>
      <c r="I74" s="47"/>
      <c r="J74" s="106"/>
      <c r="K74" s="90"/>
      <c r="M74" s="20" t="str">
        <f t="shared" si="13"/>
        <v>ATAP</v>
      </c>
    </row>
    <row r="75" spans="1:13" ht="18" customHeight="1" x14ac:dyDescent="0.25">
      <c r="B75" s="29" t="s">
        <v>74</v>
      </c>
      <c r="C75" s="50" t="s">
        <v>75</v>
      </c>
      <c r="D75" s="31"/>
      <c r="E75" s="31"/>
      <c r="F75" s="31"/>
      <c r="G75" s="31"/>
      <c r="H75" s="31"/>
      <c r="I75" s="32"/>
      <c r="J75" s="31"/>
      <c r="K75" s="33"/>
      <c r="M75" s="20"/>
    </row>
    <row r="76" spans="1:13" ht="18" customHeight="1" x14ac:dyDescent="0.25">
      <c r="B76" s="96">
        <v>1</v>
      </c>
      <c r="C76" s="97" t="s">
        <v>19</v>
      </c>
      <c r="D76" s="36">
        <f>IFERROR(HLOOKUP($J$1,[1]DB!$C$1:$K$172,76,FALSE),"")</f>
        <v>121</v>
      </c>
      <c r="E76" s="36">
        <f>SUMIFS('[1]Rincian Keluar'!$G:$G,'[1]Rincian Keluar'!$E:$E,'PELANGI 01'!C76,'[1]Rincian Keluar'!$D:$D,'PELANGI 01'!$D$1,'[1]Rincian Keluar'!$H:$H,'PELANGI 01'!$J$1,'[1]Rincian Keluar'!$F:$F,'PELANGI 01'!M76)</f>
        <v>0</v>
      </c>
      <c r="F76" s="46">
        <v>11000</v>
      </c>
      <c r="G76" s="98">
        <f>E76*F76</f>
        <v>0</v>
      </c>
      <c r="H76" s="172"/>
      <c r="I76" s="39">
        <f>IFERROR(VLOOKUP($C75,[1]HK!$B$5:$C$14,2,FALSE),"")*$J1</f>
        <v>1365000</v>
      </c>
      <c r="J76" s="173"/>
      <c r="K76" s="103"/>
      <c r="M76" s="20" t="str">
        <f>$C$75</f>
        <v>DEK</v>
      </c>
    </row>
    <row r="77" spans="1:13" ht="18" customHeight="1" x14ac:dyDescent="0.25">
      <c r="B77" s="96">
        <v>2</v>
      </c>
      <c r="C77" s="97" t="s">
        <v>76</v>
      </c>
      <c r="D77" s="36">
        <f>IFERROR(HLOOKUP($J$1,[1]DB!$C$1:$K$172,77,FALSE),"")</f>
        <v>32</v>
      </c>
      <c r="E77" s="36">
        <f>SUMIFS('[1]Rincian Keluar'!$G:$G,'[1]Rincian Keluar'!$E:$E,'PELANGI 01'!C77,'[1]Rincian Keluar'!$D:$D,'PELANGI 01'!$D$1,'[1]Rincian Keluar'!$H:$H,'PELANGI 01'!$J$1,'[1]Rincian Keluar'!$F:$F,'PELANGI 01'!M77)</f>
        <v>0</v>
      </c>
      <c r="F77" s="57">
        <v>60000</v>
      </c>
      <c r="G77" s="98">
        <f t="shared" ref="G77:G81" si="14">E77*F77</f>
        <v>0</v>
      </c>
      <c r="H77" s="119"/>
      <c r="I77" s="42"/>
      <c r="J77" s="111"/>
      <c r="K77" s="105"/>
      <c r="M77" s="20" t="str">
        <f t="shared" ref="M77:M81" si="15">$C$75</f>
        <v>DEK</v>
      </c>
    </row>
    <row r="78" spans="1:13" ht="18" customHeight="1" x14ac:dyDescent="0.25">
      <c r="B78" s="96">
        <v>3</v>
      </c>
      <c r="C78" s="97" t="s">
        <v>77</v>
      </c>
      <c r="D78" s="36">
        <f>IFERROR(HLOOKUP($J$1,[1]DB!$C$1:$K$172,78,FALSE),"")</f>
        <v>6</v>
      </c>
      <c r="E78" s="36">
        <f>SUMIFS('[1]Rincian Keluar'!$G:$G,'[1]Rincian Keluar'!$E:$E,'PELANGI 01'!C78,'[1]Rincian Keluar'!$D:$D,'PELANGI 01'!$D$1,'[1]Rincian Keluar'!$H:$H,'PELANGI 01'!$J$1,'[1]Rincian Keluar'!$F:$F,'PELANGI 01'!M78)</f>
        <v>0</v>
      </c>
      <c r="F78" s="57">
        <v>37000</v>
      </c>
      <c r="G78" s="98">
        <f t="shared" si="14"/>
        <v>0</v>
      </c>
      <c r="H78" s="119"/>
      <c r="I78" s="42"/>
      <c r="J78" s="111"/>
      <c r="K78" s="105"/>
      <c r="M78" s="20" t="str">
        <f t="shared" si="15"/>
        <v>DEK</v>
      </c>
    </row>
    <row r="79" spans="1:13" s="20" customFormat="1" ht="18" customHeight="1" x14ac:dyDescent="0.25">
      <c r="A79" s="1"/>
      <c r="B79" s="96">
        <v>4</v>
      </c>
      <c r="C79" s="97" t="s">
        <v>78</v>
      </c>
      <c r="D79" s="36">
        <f>IFERROR(HLOOKUP($J$1,[1]DB!$C$1:$K$172,79,FALSE),"")</f>
        <v>2</v>
      </c>
      <c r="E79" s="36">
        <f>SUMIFS('[1]Rincian Keluar'!$G:$G,'[1]Rincian Keluar'!$E:$E,'PELANGI 01'!C79,'[1]Rincian Keluar'!$D:$D,'PELANGI 01'!$D$1,'[1]Rincian Keluar'!$H:$H,'PELANGI 01'!$J$1,'[1]Rincian Keluar'!$F:$F,'PELANGI 01'!M79)</f>
        <v>0</v>
      </c>
      <c r="F79" s="57">
        <v>5000</v>
      </c>
      <c r="G79" s="98">
        <f t="shared" si="14"/>
        <v>0</v>
      </c>
      <c r="H79" s="119"/>
      <c r="I79" s="42"/>
      <c r="J79" s="111"/>
      <c r="K79" s="105"/>
      <c r="M79" s="20" t="str">
        <f t="shared" si="15"/>
        <v>DEK</v>
      </c>
    </row>
    <row r="80" spans="1:13" s="20" customFormat="1" ht="18" customHeight="1" x14ac:dyDescent="0.25">
      <c r="A80" s="1"/>
      <c r="B80" s="96">
        <v>5</v>
      </c>
      <c r="C80" s="97" t="s">
        <v>79</v>
      </c>
      <c r="D80" s="36">
        <f>IFERROR(HLOOKUP($J$1,[1]DB!$C$1:$K$172,80,FALSE),"")</f>
        <v>2</v>
      </c>
      <c r="E80" s="36">
        <f>SUMIFS('[1]Rincian Keluar'!$G:$G,'[1]Rincian Keluar'!$E:$E,'PELANGI 01'!C80,'[1]Rincian Keluar'!$D:$D,'PELANGI 01'!$D$1,'[1]Rincian Keluar'!$H:$H,'PELANGI 01'!$J$1,'[1]Rincian Keluar'!$F:$F,'PELANGI 01'!M80)</f>
        <v>0</v>
      </c>
      <c r="F80" s="57">
        <v>130000</v>
      </c>
      <c r="G80" s="98">
        <f t="shared" si="14"/>
        <v>0</v>
      </c>
      <c r="H80" s="119"/>
      <c r="I80" s="42"/>
      <c r="J80" s="111"/>
      <c r="K80" s="105"/>
      <c r="M80" s="20" t="str">
        <f t="shared" si="15"/>
        <v>DEK</v>
      </c>
    </row>
    <row r="81" spans="1:13" s="20" customFormat="1" ht="18" customHeight="1" x14ac:dyDescent="0.25">
      <c r="A81" s="1"/>
      <c r="B81" s="96">
        <v>6</v>
      </c>
      <c r="C81" s="97" t="s">
        <v>80</v>
      </c>
      <c r="D81" s="36">
        <f>IFERROR(HLOOKUP($J$1,[1]DB!$C$1:$K$172,81,FALSE),"")</f>
        <v>2</v>
      </c>
      <c r="E81" s="36">
        <f>SUMIFS('[1]Rincian Keluar'!$G:$G,'[1]Rincian Keluar'!$E:$E,'PELANGI 01'!C81,'[1]Rincian Keluar'!$D:$D,'PELANGI 01'!$D$1,'[1]Rincian Keluar'!$H:$H,'PELANGI 01'!$J$1,'[1]Rincian Keluar'!$F:$F,'PELANGI 01'!M81)</f>
        <v>0</v>
      </c>
      <c r="F81" s="57">
        <v>130000</v>
      </c>
      <c r="G81" s="98">
        <f t="shared" si="14"/>
        <v>0</v>
      </c>
      <c r="H81" s="122"/>
      <c r="I81" s="47"/>
      <c r="J81" s="113"/>
      <c r="K81" s="107"/>
      <c r="M81" s="20" t="str">
        <f t="shared" si="15"/>
        <v>DEK</v>
      </c>
    </row>
    <row r="82" spans="1:13" s="20" customFormat="1" ht="18" customHeight="1" x14ac:dyDescent="0.25">
      <c r="A82" s="1"/>
      <c r="B82" s="29" t="s">
        <v>81</v>
      </c>
      <c r="C82" s="50" t="s">
        <v>82</v>
      </c>
      <c r="D82" s="31"/>
      <c r="E82" s="31"/>
      <c r="F82" s="31"/>
      <c r="G82" s="31"/>
      <c r="H82" s="31"/>
      <c r="I82" s="32"/>
      <c r="J82" s="31"/>
      <c r="K82" s="33"/>
    </row>
    <row r="83" spans="1:13" s="20" customFormat="1" ht="18" customHeight="1" x14ac:dyDescent="0.25">
      <c r="A83" s="1"/>
      <c r="B83" s="96">
        <v>1</v>
      </c>
      <c r="C83" s="97" t="s">
        <v>54</v>
      </c>
      <c r="D83" s="36">
        <f>IFERROR(HLOOKUP($J$1,[1]DB!$C$1:$K$172,83,FALSE),"")</f>
        <v>120</v>
      </c>
      <c r="E83" s="36">
        <f>SUMIFS('[1]Rincian Keluar'!$G:$G,'[1]Rincian Keluar'!$E:$E,'PELANGI 01'!C83,'[1]Rincian Keluar'!$D:$D,'PELANGI 01'!$D$1,'[1]Rincian Keluar'!$H:$H,'PELANGI 01'!$J$1,'[1]Rincian Keluar'!$F:$F,'PELANGI 01'!M83)</f>
        <v>0</v>
      </c>
      <c r="F83" s="37">
        <v>1850</v>
      </c>
      <c r="G83" s="98">
        <f>E83*F83</f>
        <v>0</v>
      </c>
      <c r="H83" s="172"/>
      <c r="I83" s="39">
        <f>IFERROR(VLOOKUP($C82,[1]HK!$B$5:$C$20,2,FALSE),"")*$J1</f>
        <v>882000</v>
      </c>
      <c r="J83" s="173"/>
      <c r="K83" s="103"/>
      <c r="M83" s="20" t="str">
        <f>$C$82</f>
        <v>MINIMALIS</v>
      </c>
    </row>
    <row r="84" spans="1:13" s="20" customFormat="1" ht="18" customHeight="1" x14ac:dyDescent="0.25">
      <c r="A84" s="1"/>
      <c r="B84" s="96">
        <v>2</v>
      </c>
      <c r="C84" s="97" t="s">
        <v>31</v>
      </c>
      <c r="D84" s="36">
        <f>IFERROR(HLOOKUP($J$1,[1]DB!$C$1:$K$172,84,FALSE),"")</f>
        <v>3</v>
      </c>
      <c r="E84" s="36">
        <f>SUMIFS('[1]Rincian Keluar'!$G:$G,'[1]Rincian Keluar'!$E:$E,'PELANGI 01'!C84,'[1]Rincian Keluar'!$D:$D,'PELANGI 01'!$D$1,'[1]Rincian Keluar'!$H:$H,'PELANGI 01'!$J$1,'[1]Rincian Keluar'!$F:$F,'PELANGI 01'!M84)</f>
        <v>0</v>
      </c>
      <c r="F84" s="37">
        <v>150000</v>
      </c>
      <c r="G84" s="98">
        <f t="shared" ref="G84:G86" si="16">E84*F84</f>
        <v>0</v>
      </c>
      <c r="H84" s="119"/>
      <c r="I84" s="42"/>
      <c r="J84" s="111"/>
      <c r="K84" s="105"/>
      <c r="M84" s="20" t="str">
        <f t="shared" ref="M84:M86" si="17">$C$82</f>
        <v>MINIMALIS</v>
      </c>
    </row>
    <row r="85" spans="1:13" s="20" customFormat="1" ht="18" customHeight="1" x14ac:dyDescent="0.25">
      <c r="A85" s="1"/>
      <c r="B85" s="96">
        <v>3</v>
      </c>
      <c r="C85" s="45" t="s">
        <v>24</v>
      </c>
      <c r="D85" s="36">
        <f>IFERROR(HLOOKUP($J$1,[1]DB!$C$1:$K$172,85,FALSE),"")</f>
        <v>10</v>
      </c>
      <c r="E85" s="36">
        <f>SUMIFS('[1]Rincian Keluar'!$G:$G,'[1]Rincian Keluar'!$E:$E,'PELANGI 01'!C85,'[1]Rincian Keluar'!$D:$D,'PELANGI 01'!$D$1,'[1]Rincian Keluar'!$H:$H,'PELANGI 01'!$J$1,'[1]Rincian Keluar'!$F:$F,'PELANGI 01'!M85)</f>
        <v>0</v>
      </c>
      <c r="F85" s="37">
        <v>60700</v>
      </c>
      <c r="G85" s="98">
        <f t="shared" si="16"/>
        <v>0</v>
      </c>
      <c r="H85" s="119"/>
      <c r="I85" s="42"/>
      <c r="J85" s="111"/>
      <c r="K85" s="105"/>
      <c r="M85" s="20" t="str">
        <f t="shared" si="17"/>
        <v>MINIMALIS</v>
      </c>
    </row>
    <row r="86" spans="1:13" s="20" customFormat="1" ht="18" customHeight="1" x14ac:dyDescent="0.25">
      <c r="A86" s="1"/>
      <c r="B86" s="96">
        <v>4</v>
      </c>
      <c r="C86" s="45" t="s">
        <v>83</v>
      </c>
      <c r="D86" s="36">
        <f>IFERROR(HLOOKUP($J$1,[1]DB!$C$1:$K$172,86,FALSE),"")</f>
        <v>7</v>
      </c>
      <c r="E86" s="36">
        <f>SUMIFS('[1]Rincian Keluar'!$G:$G,'[1]Rincian Keluar'!$E:$E,'PELANGI 01'!C86,'[1]Rincian Keluar'!$D:$D,'PELANGI 01'!$D$1,'[1]Rincian Keluar'!$H:$H,'PELANGI 01'!$J$1,'[1]Rincian Keluar'!$F:$F,'PELANGI 01'!M86)</f>
        <v>0</v>
      </c>
      <c r="F86" s="37">
        <v>165000</v>
      </c>
      <c r="G86" s="98">
        <f t="shared" si="16"/>
        <v>0</v>
      </c>
      <c r="H86" s="122"/>
      <c r="I86" s="47"/>
      <c r="J86" s="113"/>
      <c r="K86" s="107"/>
      <c r="M86" s="20" t="str">
        <f t="shared" si="17"/>
        <v>MINIMALIS</v>
      </c>
    </row>
    <row r="87" spans="1:13" s="20" customFormat="1" ht="18" customHeight="1" x14ac:dyDescent="0.25">
      <c r="A87" s="1"/>
      <c r="B87" s="91" t="s">
        <v>84</v>
      </c>
      <c r="C87" s="92" t="s">
        <v>85</v>
      </c>
      <c r="D87" s="93"/>
      <c r="E87" s="93"/>
      <c r="F87" s="93"/>
      <c r="G87" s="93"/>
      <c r="H87" s="93"/>
      <c r="I87" s="94"/>
      <c r="J87" s="93"/>
      <c r="K87" s="95"/>
    </row>
    <row r="88" spans="1:13" s="20" customFormat="1" ht="18" customHeight="1" x14ac:dyDescent="0.25">
      <c r="A88" s="1"/>
      <c r="B88" s="34">
        <v>1</v>
      </c>
      <c r="C88" s="45" t="s">
        <v>24</v>
      </c>
      <c r="D88" s="36">
        <f>IFERROR(HLOOKUP($J$1,[1]DB!$C$1:$K$172,88,FALSE),"")</f>
        <v>22</v>
      </c>
      <c r="E88" s="36">
        <f>SUMIFS('[1]Rincian Keluar'!$G:$G,'[1]Rincian Keluar'!$E:$E,'PELANGI 01'!C88,'[1]Rincian Keluar'!$D:$D,'PELANGI 01'!$D$1,'[1]Rincian Keluar'!$H:$H,'PELANGI 01'!$J$1,'[1]Rincian Keluar'!$F:$F,'PELANGI 01'!M88)</f>
        <v>14</v>
      </c>
      <c r="F88" s="37">
        <v>60700</v>
      </c>
      <c r="G88" s="98">
        <f>E88*F88</f>
        <v>849800</v>
      </c>
      <c r="H88" s="108">
        <v>765000</v>
      </c>
      <c r="I88" s="183">
        <f>IFERROR(VLOOKUP($C87,[1]HK!$B$5:$C$20,2,FALSE),"")*$J1</f>
        <v>1169000</v>
      </c>
      <c r="J88" s="184">
        <f>I88-H88</f>
        <v>404000</v>
      </c>
      <c r="K88" s="103">
        <v>1</v>
      </c>
      <c r="M88" s="20" t="str">
        <f>$C$87</f>
        <v>CARPORT</v>
      </c>
    </row>
    <row r="89" spans="1:13" s="20" customFormat="1" ht="18" customHeight="1" x14ac:dyDescent="0.25">
      <c r="A89" s="1"/>
      <c r="B89" s="34">
        <v>2</v>
      </c>
      <c r="C89" s="35" t="s">
        <v>19</v>
      </c>
      <c r="D89" s="36">
        <f>IFERROR(HLOOKUP($J$1,[1]DB!$C$1:$K$172,89,FALSE),"")</f>
        <v>8</v>
      </c>
      <c r="E89" s="36">
        <f>SUMIFS('[1]Rincian Keluar'!$G:$G,'[1]Rincian Keluar'!$E:$E,'PELANGI 01'!C89,'[1]Rincian Keluar'!$D:$D,'PELANGI 01'!$D$1,'[1]Rincian Keluar'!$H:$H,'PELANGI 01'!$J$1,'[1]Rincian Keluar'!$F:$F,'PELANGI 01'!M89)</f>
        <v>5</v>
      </c>
      <c r="F89" s="46">
        <v>11000</v>
      </c>
      <c r="G89" s="98">
        <f t="shared" ref="G89:G95" si="18">E89*F89</f>
        <v>55000</v>
      </c>
      <c r="H89" s="110"/>
      <c r="I89" s="185"/>
      <c r="J89" s="186"/>
      <c r="K89" s="105"/>
      <c r="M89" s="20" t="str">
        <f t="shared" ref="M89:M96" si="19">$C$87</f>
        <v>CARPORT</v>
      </c>
    </row>
    <row r="90" spans="1:13" s="20" customFormat="1" ht="18" customHeight="1" x14ac:dyDescent="0.25">
      <c r="A90" s="1"/>
      <c r="B90" s="34">
        <v>3</v>
      </c>
      <c r="C90" s="35" t="s">
        <v>20</v>
      </c>
      <c r="D90" s="36">
        <f>IFERROR(HLOOKUP($J$1,[1]DB!$C$1:$K$172,90,FALSE),"")</f>
        <v>5</v>
      </c>
      <c r="E90" s="36">
        <f>SUMIFS('[1]Rincian Keluar'!$G:$G,'[1]Rincian Keluar'!$E:$E,'PELANGI 01'!C90,'[1]Rincian Keluar'!$D:$D,'PELANGI 01'!$D$1,'[1]Rincian Keluar'!$H:$H,'PELANGI 01'!$J$1,'[1]Rincian Keluar'!$F:$F,'PELANGI 01'!M90)</f>
        <v>5</v>
      </c>
      <c r="F90" s="37">
        <v>8000</v>
      </c>
      <c r="G90" s="98">
        <f t="shared" si="18"/>
        <v>40000</v>
      </c>
      <c r="H90" s="110"/>
      <c r="I90" s="185"/>
      <c r="J90" s="186"/>
      <c r="K90" s="105"/>
      <c r="M90" s="20" t="str">
        <f t="shared" si="19"/>
        <v>CARPORT</v>
      </c>
    </row>
    <row r="91" spans="1:13" s="20" customFormat="1" ht="18" customHeight="1" x14ac:dyDescent="0.25">
      <c r="A91" s="1"/>
      <c r="B91" s="34">
        <v>4</v>
      </c>
      <c r="C91" s="35" t="s">
        <v>21</v>
      </c>
      <c r="D91" s="36">
        <f>IFERROR(HLOOKUP($J$1,[1]DB!$C$1:$K$172,91,FALSE),"")</f>
        <v>10</v>
      </c>
      <c r="E91" s="36">
        <f>SUMIFS('[1]Rincian Keluar'!$G:$G,'[1]Rincian Keluar'!$E:$E,'PELANGI 01'!C91,'[1]Rincian Keluar'!$D:$D,'PELANGI 01'!$D$1,'[1]Rincian Keluar'!$H:$H,'PELANGI 01'!$J$1,'[1]Rincian Keluar'!$F:$F,'PELANGI 01'!M91)</f>
        <v>10</v>
      </c>
      <c r="F91" s="37">
        <v>11000</v>
      </c>
      <c r="G91" s="98">
        <f t="shared" si="18"/>
        <v>110000</v>
      </c>
      <c r="H91" s="110"/>
      <c r="I91" s="185"/>
      <c r="J91" s="186"/>
      <c r="K91" s="105"/>
      <c r="M91" s="20" t="str">
        <f t="shared" si="19"/>
        <v>CARPORT</v>
      </c>
    </row>
    <row r="92" spans="1:13" s="20" customFormat="1" ht="18" customHeight="1" x14ac:dyDescent="0.25">
      <c r="A92" s="1"/>
      <c r="B92" s="34">
        <v>5</v>
      </c>
      <c r="C92" s="35" t="s">
        <v>32</v>
      </c>
      <c r="D92" s="36">
        <f>IFERROR(HLOOKUP($J$1,[1]DB!$C$1:$K$172,92,FALSE),"")</f>
        <v>7</v>
      </c>
      <c r="E92" s="36">
        <f>SUMIFS('[1]Rincian Keluar'!$G:$G,'[1]Rincian Keluar'!$E:$E,'PELANGI 01'!C92,'[1]Rincian Keluar'!$D:$D,'PELANGI 01'!$D$1,'[1]Rincian Keluar'!$H:$H,'PELANGI 01'!$J$1,'[1]Rincian Keluar'!$F:$F,'PELANGI 01'!M92)</f>
        <v>7</v>
      </c>
      <c r="F92" s="57">
        <v>15000</v>
      </c>
      <c r="G92" s="98">
        <f t="shared" si="18"/>
        <v>105000</v>
      </c>
      <c r="H92" s="110"/>
      <c r="I92" s="185"/>
      <c r="J92" s="186"/>
      <c r="K92" s="105"/>
      <c r="M92" s="20" t="str">
        <f t="shared" si="19"/>
        <v>CARPORT</v>
      </c>
    </row>
    <row r="93" spans="1:13" s="20" customFormat="1" ht="18" customHeight="1" x14ac:dyDescent="0.25">
      <c r="A93" s="1"/>
      <c r="B93" s="34">
        <v>6</v>
      </c>
      <c r="C93" s="45" t="s">
        <v>17</v>
      </c>
      <c r="D93" s="36">
        <f>IFERROR(HLOOKUP($J$1,[1]DB!$C$1:$K$172,93,FALSE),"")</f>
        <v>2</v>
      </c>
      <c r="E93" s="36">
        <f>SUMIFS('[1]Rincian Keluar'!$G:$G,'[1]Rincian Keluar'!$E:$E,'PELANGI 01'!C93,'[1]Rincian Keluar'!$D:$D,'PELANGI 01'!$D$1,'[1]Rincian Keluar'!$H:$H,'PELANGI 01'!$J$1,'[1]Rincian Keluar'!$F:$F,'PELANGI 01'!M93)</f>
        <v>2</v>
      </c>
      <c r="F93" s="37">
        <v>22000</v>
      </c>
      <c r="G93" s="98">
        <f t="shared" si="18"/>
        <v>44000</v>
      </c>
      <c r="H93" s="110"/>
      <c r="I93" s="185"/>
      <c r="J93" s="186"/>
      <c r="K93" s="105"/>
      <c r="M93" s="20" t="str">
        <f t="shared" si="19"/>
        <v>CARPORT</v>
      </c>
    </row>
    <row r="94" spans="1:13" s="20" customFormat="1" ht="18" customHeight="1" x14ac:dyDescent="0.25">
      <c r="A94" s="1"/>
      <c r="B94" s="34">
        <v>7</v>
      </c>
      <c r="C94" s="45" t="s">
        <v>57</v>
      </c>
      <c r="D94" s="36">
        <f>IFERROR(HLOOKUP($J$1,[1]DB!$C$1:$K$172,94,FALSE),"")</f>
        <v>15</v>
      </c>
      <c r="E94" s="36">
        <f>SUMIFS('[1]Rincian Keluar'!$G:$G,'[1]Rincian Keluar'!$E:$E,'PELANGI 01'!C94,'[1]Rincian Keluar'!$D:$D,'PELANGI 01'!$D$1,'[1]Rincian Keluar'!$H:$H,'PELANGI 01'!$J$1,'[1]Rincian Keluar'!$F:$F,'PELANGI 01'!M94)</f>
        <v>4</v>
      </c>
      <c r="F94" s="37">
        <v>35000</v>
      </c>
      <c r="G94" s="98">
        <f t="shared" si="18"/>
        <v>140000</v>
      </c>
      <c r="H94" s="110"/>
      <c r="I94" s="185"/>
      <c r="J94" s="186"/>
      <c r="K94" s="105"/>
      <c r="M94" s="20" t="str">
        <f t="shared" si="19"/>
        <v>CARPORT</v>
      </c>
    </row>
    <row r="95" spans="1:13" s="20" customFormat="1" ht="18" customHeight="1" x14ac:dyDescent="0.25">
      <c r="A95" s="1"/>
      <c r="B95" s="34">
        <v>8</v>
      </c>
      <c r="C95" s="45" t="s">
        <v>23</v>
      </c>
      <c r="D95" s="36">
        <f>IFERROR(HLOOKUP($J$1,[1]DB!$C$1:$K$172,95,FALSE),"")</f>
        <v>1</v>
      </c>
      <c r="E95" s="36">
        <f>SUMIFS('[1]Rincian Keluar'!$G:$G,'[1]Rincian Keluar'!$E:$E,'PELANGI 01'!C95,'[1]Rincian Keluar'!$D:$D,'PELANGI 01'!$D$1,'[1]Rincian Keluar'!$H:$H,'PELANGI 01'!$J$1,'[1]Rincian Keluar'!$F:$F,'PELANGI 01'!M95)</f>
        <v>0.5</v>
      </c>
      <c r="F95" s="37">
        <v>500000</v>
      </c>
      <c r="G95" s="98">
        <f t="shared" si="18"/>
        <v>250000</v>
      </c>
      <c r="H95" s="110"/>
      <c r="I95" s="185"/>
      <c r="J95" s="186"/>
      <c r="K95" s="105"/>
      <c r="M95" s="20" t="str">
        <f t="shared" si="19"/>
        <v>CARPORT</v>
      </c>
    </row>
    <row r="96" spans="1:13" s="20" customFormat="1" ht="18" customHeight="1" x14ac:dyDescent="0.25">
      <c r="A96" s="1"/>
      <c r="B96" s="34">
        <v>9</v>
      </c>
      <c r="C96" s="45" t="s">
        <v>31</v>
      </c>
      <c r="D96" s="36">
        <f>IFERROR(HLOOKUP($J$1,[1]DB!$C$1:$K$172,96,FALSE),"")</f>
        <v>6</v>
      </c>
      <c r="E96" s="36">
        <f>SUMIFS('[1]Rincian Keluar'!$G:$G,'[1]Rincian Keluar'!$E:$E,'PELANGI 01'!C96,'[1]Rincian Keluar'!$D:$D,'PELANGI 01'!$D$1,'[1]Rincian Keluar'!$H:$H,'PELANGI 01'!$J$1,'[1]Rincian Keluar'!$F:$F,'PELANGI 01'!M96)</f>
        <v>6</v>
      </c>
      <c r="F96" s="37">
        <v>150000</v>
      </c>
      <c r="G96" s="98">
        <f>E96*F96</f>
        <v>900000</v>
      </c>
      <c r="H96" s="110"/>
      <c r="I96" s="185"/>
      <c r="J96" s="186"/>
      <c r="K96" s="105"/>
      <c r="M96" s="20" t="str">
        <f t="shared" si="19"/>
        <v>CARPORT</v>
      </c>
    </row>
    <row r="97" spans="1:13" s="20" customFormat="1" ht="18" customHeight="1" x14ac:dyDescent="0.25">
      <c r="A97" s="1"/>
      <c r="B97" s="34">
        <v>10</v>
      </c>
      <c r="C97" s="45" t="s">
        <v>83</v>
      </c>
      <c r="D97" s="36">
        <f>IFERROR(HLOOKUP($J$1,[1]DB!$C$1:$K$172,97,FALSE),"")</f>
        <v>31</v>
      </c>
      <c r="E97" s="36">
        <f>SUMIFS('[1]Rincian Keluar'!$G:$G,'[1]Rincian Keluar'!$E:$E,'PELANGI 01'!C97,'[1]Rincian Keluar'!$D:$D,'PELANGI 01'!$D$1,'[1]Rincian Keluar'!$H:$H,'PELANGI 01'!$J$1,'[1]Rincian Keluar'!$F:$F,'PELANGI 01'!M97)</f>
        <v>0</v>
      </c>
      <c r="F97" s="37">
        <v>165000</v>
      </c>
      <c r="G97" s="98">
        <f>E97*F97</f>
        <v>0</v>
      </c>
      <c r="H97" s="112"/>
      <c r="I97" s="187"/>
      <c r="J97" s="188"/>
      <c r="K97" s="107"/>
    </row>
    <row r="98" spans="1:13" s="20" customFormat="1" ht="18" customHeight="1" x14ac:dyDescent="0.25">
      <c r="A98" s="1"/>
      <c r="B98" s="29" t="s">
        <v>86</v>
      </c>
      <c r="C98" s="50" t="s">
        <v>87</v>
      </c>
      <c r="D98" s="31"/>
      <c r="E98" s="31"/>
      <c r="F98" s="31"/>
      <c r="G98" s="31"/>
      <c r="H98" s="31"/>
      <c r="I98" s="32"/>
      <c r="J98" s="31"/>
      <c r="K98" s="33"/>
    </row>
    <row r="99" spans="1:13" s="20" customFormat="1" ht="18" customHeight="1" x14ac:dyDescent="0.25">
      <c r="A99" s="1"/>
      <c r="B99" s="34">
        <v>1</v>
      </c>
      <c r="C99" s="45" t="s">
        <v>88</v>
      </c>
      <c r="D99" s="36">
        <f>IFERROR(HLOOKUP($J$1,[1]DB!$C$1:$K$172,99,FALSE),"")</f>
        <v>45</v>
      </c>
      <c r="E99" s="36">
        <f>SUMIFS('[1]Rincian Keluar'!$G:$G,'[1]Rincian Keluar'!$E:$E,'PELANGI 01'!C99,'[1]Rincian Keluar'!$D:$D,'PELANGI 01'!$D$1,'[1]Rincian Keluar'!$H:$H,'PELANGI 01'!$J$1,'[1]Rincian Keluar'!$F:$F,'PELANGI 01'!M99)</f>
        <v>0</v>
      </c>
      <c r="F99" s="37">
        <v>118000</v>
      </c>
      <c r="G99" s="98">
        <f>E99*F99</f>
        <v>0</v>
      </c>
      <c r="H99" s="172"/>
      <c r="I99" s="39">
        <f>IFERROR(VLOOKUP($C98,[1]HK!$B$5:$C$20,2,FALSE),"")*$J1</f>
        <v>1946000</v>
      </c>
      <c r="J99" s="172"/>
      <c r="K99" s="174"/>
      <c r="M99" s="20" t="str">
        <f>$C$98</f>
        <v>KERAMIK</v>
      </c>
    </row>
    <row r="100" spans="1:13" s="20" customFormat="1" ht="18" customHeight="1" x14ac:dyDescent="0.25">
      <c r="A100" s="1"/>
      <c r="B100" s="34">
        <v>2</v>
      </c>
      <c r="C100" s="45" t="s">
        <v>83</v>
      </c>
      <c r="D100" s="36">
        <f>IFERROR(HLOOKUP($J$1,[1]DB!$C$1:$K$172,100,FALSE),"")</f>
        <v>18</v>
      </c>
      <c r="E100" s="36">
        <f>SUMIFS('[1]Rincian Keluar'!$G:$G,'[1]Rincian Keluar'!$E:$E,'PELANGI 01'!C100,'[1]Rincian Keluar'!$D:$D,'PELANGI 01'!$D$1,'[1]Rincian Keluar'!$H:$H,'PELANGI 01'!$J$1,'[1]Rincian Keluar'!$F:$F,'PELANGI 01'!M100)</f>
        <v>0</v>
      </c>
      <c r="F100" s="37">
        <v>165000</v>
      </c>
      <c r="G100" s="98">
        <f t="shared" ref="G100:G103" si="20">E100*F100</f>
        <v>0</v>
      </c>
      <c r="H100" s="119"/>
      <c r="I100" s="42"/>
      <c r="J100" s="119"/>
      <c r="K100" s="175"/>
      <c r="M100" s="20" t="str">
        <f t="shared" ref="M100:M103" si="21">$C$98</f>
        <v>KERAMIK</v>
      </c>
    </row>
    <row r="101" spans="1:13" s="20" customFormat="1" ht="18" customHeight="1" x14ac:dyDescent="0.25">
      <c r="A101" s="1"/>
      <c r="B101" s="34">
        <v>3</v>
      </c>
      <c r="C101" s="45" t="s">
        <v>31</v>
      </c>
      <c r="D101" s="36">
        <f>IFERROR(HLOOKUP($J$1,[1]DB!$C$1:$K$172,101,FALSE),"")</f>
        <v>7</v>
      </c>
      <c r="E101" s="36">
        <f>SUMIFS('[1]Rincian Keluar'!$G:$G,'[1]Rincian Keluar'!$E:$E,'PELANGI 01'!C101,'[1]Rincian Keluar'!$D:$D,'PELANGI 01'!$D$1,'[1]Rincian Keluar'!$H:$H,'PELANGI 01'!$J$1,'[1]Rincian Keluar'!$F:$F,'PELANGI 01'!M101)</f>
        <v>0</v>
      </c>
      <c r="F101" s="37">
        <v>150000</v>
      </c>
      <c r="G101" s="98">
        <f t="shared" si="20"/>
        <v>0</v>
      </c>
      <c r="H101" s="119"/>
      <c r="I101" s="42"/>
      <c r="J101" s="119"/>
      <c r="K101" s="175"/>
      <c r="M101" s="20" t="str">
        <f t="shared" si="21"/>
        <v>KERAMIK</v>
      </c>
    </row>
    <row r="102" spans="1:13" s="20" customFormat="1" ht="18" customHeight="1" x14ac:dyDescent="0.25">
      <c r="A102" s="1"/>
      <c r="B102" s="34">
        <v>4</v>
      </c>
      <c r="C102" s="45" t="s">
        <v>24</v>
      </c>
      <c r="D102" s="36">
        <f>IFERROR(HLOOKUP($J$1,[1]DB!$C$1:$K$172,102,FALSE),"")</f>
        <v>31</v>
      </c>
      <c r="E102" s="36">
        <f>SUMIFS('[1]Rincian Keluar'!$G:$G,'[1]Rincian Keluar'!$E:$E,'PELANGI 01'!C102,'[1]Rincian Keluar'!$D:$D,'PELANGI 01'!$D$1,'[1]Rincian Keluar'!$H:$H,'PELANGI 01'!$J$1,'[1]Rincian Keluar'!$F:$F,'PELANGI 01'!M102)</f>
        <v>0</v>
      </c>
      <c r="F102" s="37">
        <v>60700</v>
      </c>
      <c r="G102" s="98">
        <f t="shared" si="20"/>
        <v>0</v>
      </c>
      <c r="H102" s="119"/>
      <c r="I102" s="42"/>
      <c r="J102" s="119"/>
      <c r="K102" s="175"/>
      <c r="M102" s="20" t="str">
        <f t="shared" si="21"/>
        <v>KERAMIK</v>
      </c>
    </row>
    <row r="103" spans="1:13" s="20" customFormat="1" ht="18" customHeight="1" x14ac:dyDescent="0.25">
      <c r="A103" s="1"/>
      <c r="B103" s="34">
        <v>5</v>
      </c>
      <c r="C103" s="45" t="s">
        <v>89</v>
      </c>
      <c r="D103" s="36">
        <f>IFERROR(HLOOKUP($J$1,[1]DB!$C$1:$K$172,103,FALSE),"")</f>
        <v>5</v>
      </c>
      <c r="E103" s="36">
        <v>0</v>
      </c>
      <c r="F103" s="121">
        <v>15000</v>
      </c>
      <c r="G103" s="98">
        <f t="shared" si="20"/>
        <v>0</v>
      </c>
      <c r="H103" s="176"/>
      <c r="I103" s="47"/>
      <c r="J103" s="122"/>
      <c r="K103" s="177"/>
      <c r="M103" s="20" t="str">
        <f t="shared" si="21"/>
        <v>KERAMIK</v>
      </c>
    </row>
    <row r="104" spans="1:13" s="20" customFormat="1" ht="18" customHeight="1" x14ac:dyDescent="0.25">
      <c r="A104" s="1"/>
      <c r="B104" s="29" t="s">
        <v>90</v>
      </c>
      <c r="C104" s="50" t="s">
        <v>91</v>
      </c>
      <c r="D104" s="31"/>
      <c r="E104" s="31"/>
      <c r="F104" s="31"/>
      <c r="G104" s="31"/>
      <c r="H104" s="31"/>
      <c r="I104" s="32"/>
      <c r="J104" s="31"/>
      <c r="K104" s="33"/>
    </row>
    <row r="105" spans="1:13" s="20" customFormat="1" ht="18" customHeight="1" x14ac:dyDescent="0.25">
      <c r="A105" s="1"/>
      <c r="B105" s="34">
        <v>1</v>
      </c>
      <c r="C105" s="45" t="s">
        <v>92</v>
      </c>
      <c r="D105" s="36">
        <f>IFERROR(HLOOKUP($J$1,[1]DB!$C$1:$K$172,105,FALSE),"")</f>
        <v>6</v>
      </c>
      <c r="E105" s="36">
        <f>SUMIFS('[1]Rincian Keluar'!$G:$G,'[1]Rincian Keluar'!$E:$E,'PELANGI 01'!C105,'[1]Rincian Keluar'!$D:$D,'PELANGI 01'!$D$1,'[1]Rincian Keluar'!$H:$H,'PELANGI 01'!$J$1,'[1]Rincian Keluar'!$F:$F,'PELANGI 01'!M105)</f>
        <v>0</v>
      </c>
      <c r="F105" s="57">
        <v>60000</v>
      </c>
      <c r="G105" s="98">
        <f>E105*F105</f>
        <v>0</v>
      </c>
      <c r="H105" s="172"/>
      <c r="I105" s="39">
        <f>IFERROR(VLOOKUP($C104,[1]HK!$B$5:$C$27,2,FALSE),"")*$J1</f>
        <v>315000</v>
      </c>
      <c r="J105" s="173"/>
      <c r="K105" s="103"/>
      <c r="M105" s="20" t="str">
        <f t="shared" ref="M105:M116" si="22">$C$104</f>
        <v>WC</v>
      </c>
    </row>
    <row r="106" spans="1:13" s="20" customFormat="1" ht="18" customHeight="1" x14ac:dyDescent="0.25">
      <c r="A106" s="1"/>
      <c r="B106" s="34">
        <v>2</v>
      </c>
      <c r="C106" s="45" t="s">
        <v>93</v>
      </c>
      <c r="D106" s="36">
        <f>IFERROR(HLOOKUP($J$1,[1]DB!$C$1:$K$172,106,FALSE),"")</f>
        <v>22</v>
      </c>
      <c r="E106" s="36">
        <f>SUMIFS('[1]Rincian Keluar'!$G:$G,'[1]Rincian Keluar'!$E:$E,'PELANGI 01'!C106,'[1]Rincian Keluar'!$D:$D,'PELANGI 01'!$D$1,'[1]Rincian Keluar'!$H:$H,'PELANGI 01'!$J$1,'[1]Rincian Keluar'!$F:$F,'PELANGI 01'!M106)</f>
        <v>0</v>
      </c>
      <c r="F106" s="57">
        <v>60000</v>
      </c>
      <c r="G106" s="98">
        <f t="shared" ref="G106:G116" si="23">E106*F106</f>
        <v>0</v>
      </c>
      <c r="H106" s="119"/>
      <c r="I106" s="42"/>
      <c r="J106" s="111"/>
      <c r="K106" s="105"/>
      <c r="M106" s="20" t="str">
        <f t="shared" si="22"/>
        <v>WC</v>
      </c>
    </row>
    <row r="107" spans="1:13" s="20" customFormat="1" ht="18" customHeight="1" x14ac:dyDescent="0.25">
      <c r="A107" s="1"/>
      <c r="B107" s="34">
        <v>3</v>
      </c>
      <c r="C107" s="45" t="s">
        <v>94</v>
      </c>
      <c r="D107" s="36">
        <f>IFERROR(HLOOKUP($J$1,[1]DB!$C$1:$K$172,107,FALSE),"")</f>
        <v>2</v>
      </c>
      <c r="E107" s="36">
        <f>SUMIFS('[1]Rincian Keluar'!$G:$G,'[1]Rincian Keluar'!$E:$E,'PELANGI 01'!C107,'[1]Rincian Keluar'!$D:$D,'PELANGI 01'!$D$1,'[1]Rincian Keluar'!$H:$H,'PELANGI 01'!$J$1,'[1]Rincian Keluar'!$F:$F,'PELANGI 01'!M107)</f>
        <v>0</v>
      </c>
      <c r="F107" s="57">
        <v>270000</v>
      </c>
      <c r="G107" s="98">
        <f t="shared" si="23"/>
        <v>0</v>
      </c>
      <c r="H107" s="119"/>
      <c r="I107" s="42"/>
      <c r="J107" s="111"/>
      <c r="K107" s="105"/>
      <c r="M107" s="20" t="str">
        <f t="shared" si="22"/>
        <v>WC</v>
      </c>
    </row>
    <row r="108" spans="1:13" s="20" customFormat="1" ht="18" customHeight="1" x14ac:dyDescent="0.25">
      <c r="A108" s="1"/>
      <c r="B108" s="34">
        <v>4</v>
      </c>
      <c r="C108" s="45" t="s">
        <v>95</v>
      </c>
      <c r="D108" s="36">
        <f>IFERROR(HLOOKUP($J$1,[1]DB!$C$1:$K$172,108,FALSE),"")</f>
        <v>1</v>
      </c>
      <c r="E108" s="36">
        <f>SUMIFS('[1]Rincian Keluar'!$G:$G,'[1]Rincian Keluar'!$E:$E,'PELANGI 01'!C108,'[1]Rincian Keluar'!$D:$D,'PELANGI 01'!$D$1,'[1]Rincian Keluar'!$H:$H,'PELANGI 01'!$J$1,'[1]Rincian Keluar'!$F:$F,'PELANGI 01'!M108)</f>
        <v>0</v>
      </c>
      <c r="F108" s="57">
        <v>780000</v>
      </c>
      <c r="G108" s="98">
        <f t="shared" si="23"/>
        <v>0</v>
      </c>
      <c r="H108" s="119"/>
      <c r="I108" s="42"/>
      <c r="J108" s="111"/>
      <c r="K108" s="105"/>
      <c r="M108" s="20" t="str">
        <f t="shared" si="22"/>
        <v>WC</v>
      </c>
    </row>
    <row r="109" spans="1:13" s="20" customFormat="1" ht="18" customHeight="1" x14ac:dyDescent="0.25">
      <c r="A109" s="1"/>
      <c r="B109" s="34">
        <v>5</v>
      </c>
      <c r="C109" s="45" t="s">
        <v>96</v>
      </c>
      <c r="D109" s="36">
        <f>IFERROR(HLOOKUP($J$1,[1]DB!$C$1:$K$172,109,FALSE),"")</f>
        <v>2</v>
      </c>
      <c r="E109" s="36">
        <f>SUMIFS('[1]Rincian Keluar'!$G:$G,'[1]Rincian Keluar'!$E:$E,'PELANGI 01'!C109,'[1]Rincian Keluar'!$D:$D,'PELANGI 01'!$D$1,'[1]Rincian Keluar'!$H:$H,'PELANGI 01'!$J$1,'[1]Rincian Keluar'!$F:$F,'PELANGI 01'!M109)</f>
        <v>0</v>
      </c>
      <c r="F109" s="57">
        <v>5000</v>
      </c>
      <c r="G109" s="98">
        <f t="shared" si="23"/>
        <v>0</v>
      </c>
      <c r="H109" s="119"/>
      <c r="I109" s="42"/>
      <c r="J109" s="111"/>
      <c r="K109" s="105"/>
      <c r="M109" s="20" t="str">
        <f t="shared" si="22"/>
        <v>WC</v>
      </c>
    </row>
    <row r="110" spans="1:13" s="20" customFormat="1" ht="18" customHeight="1" x14ac:dyDescent="0.25">
      <c r="A110" s="1"/>
      <c r="B110" s="34">
        <v>6</v>
      </c>
      <c r="C110" s="45" t="s">
        <v>31</v>
      </c>
      <c r="D110" s="36">
        <f>IFERROR(HLOOKUP($J$1,[1]DB!$C$1:$K$172,110,FALSE),"")</f>
        <v>1</v>
      </c>
      <c r="E110" s="36">
        <f>SUMIFS('[1]Rincian Keluar'!$G:$G,'[1]Rincian Keluar'!$E:$E,'PELANGI 01'!C110,'[1]Rincian Keluar'!$D:$D,'PELANGI 01'!$D$1,'[1]Rincian Keluar'!$H:$H,'PELANGI 01'!$J$1,'[1]Rincian Keluar'!$F:$F,'PELANGI 01'!M110)</f>
        <v>0</v>
      </c>
      <c r="F110" s="57">
        <v>150000</v>
      </c>
      <c r="G110" s="98">
        <f t="shared" si="23"/>
        <v>0</v>
      </c>
      <c r="H110" s="119"/>
      <c r="I110" s="42"/>
      <c r="J110" s="111"/>
      <c r="K110" s="105"/>
      <c r="M110" s="20" t="str">
        <f t="shared" si="22"/>
        <v>WC</v>
      </c>
    </row>
    <row r="111" spans="1:13" s="20" customFormat="1" ht="18" customHeight="1" x14ac:dyDescent="0.25">
      <c r="A111" s="1"/>
      <c r="B111" s="34">
        <v>7</v>
      </c>
      <c r="C111" s="45" t="s">
        <v>24</v>
      </c>
      <c r="D111" s="36">
        <f>IFERROR(HLOOKUP($J$1,[1]DB!$C$1:$K$172,111,FALSE),"")</f>
        <v>4</v>
      </c>
      <c r="E111" s="36">
        <f>SUMIFS('[1]Rincian Keluar'!$G:$G,'[1]Rincian Keluar'!$E:$E,'PELANGI 01'!C111,'[1]Rincian Keluar'!$D:$D,'PELANGI 01'!$D$1,'[1]Rincian Keluar'!$H:$H,'PELANGI 01'!$J$1,'[1]Rincian Keluar'!$F:$F,'PELANGI 01'!M111)</f>
        <v>0</v>
      </c>
      <c r="F111" s="37">
        <v>60700</v>
      </c>
      <c r="G111" s="98">
        <f t="shared" si="23"/>
        <v>0</v>
      </c>
      <c r="H111" s="119"/>
      <c r="I111" s="42"/>
      <c r="J111" s="111"/>
      <c r="K111" s="105"/>
      <c r="M111" s="20" t="str">
        <f t="shared" si="22"/>
        <v>WC</v>
      </c>
    </row>
    <row r="112" spans="1:13" s="20" customFormat="1" ht="18" customHeight="1" x14ac:dyDescent="0.25">
      <c r="A112" s="1"/>
      <c r="B112" s="34">
        <v>8</v>
      </c>
      <c r="C112" s="45" t="s">
        <v>97</v>
      </c>
      <c r="D112" s="36">
        <f>IFERROR(HLOOKUP($J$1,[1]DB!$C$1:$K$172,112,FALSE),"")</f>
        <v>2</v>
      </c>
      <c r="E112" s="36">
        <f>SUMIFS('[1]Rincian Keluar'!$G:$G,'[1]Rincian Keluar'!$E:$E,'PELANGI 01'!C112,'[1]Rincian Keluar'!$D:$D,'PELANGI 01'!$D$1,'[1]Rincian Keluar'!$H:$H,'PELANGI 01'!$J$1,'[1]Rincian Keluar'!$F:$F,'PELANGI 01'!M112)</f>
        <v>0</v>
      </c>
      <c r="F112" s="57">
        <v>140000</v>
      </c>
      <c r="G112" s="98">
        <f t="shared" si="23"/>
        <v>0</v>
      </c>
      <c r="H112" s="119"/>
      <c r="I112" s="42"/>
      <c r="J112" s="111"/>
      <c r="K112" s="105"/>
      <c r="M112" s="20" t="str">
        <f t="shared" si="22"/>
        <v>WC</v>
      </c>
    </row>
    <row r="113" spans="1:13" s="20" customFormat="1" ht="18" customHeight="1" x14ac:dyDescent="0.25">
      <c r="A113" s="1"/>
      <c r="B113" s="34">
        <v>9</v>
      </c>
      <c r="C113" s="45" t="s">
        <v>98</v>
      </c>
      <c r="D113" s="36">
        <f>IFERROR(HLOOKUP($J$1,[1]DB!$C$1:$K$172,113,FALSE),"")</f>
        <v>2</v>
      </c>
      <c r="E113" s="36">
        <f>SUMIFS('[1]Rincian Keluar'!$G:$G,'[1]Rincian Keluar'!$E:$E,'PELANGI 01'!C113,'[1]Rincian Keluar'!$D:$D,'PELANGI 01'!$D$1,'[1]Rincian Keluar'!$H:$H,'PELANGI 01'!$J$1,'[1]Rincian Keluar'!$F:$F,'PELANGI 01'!M113)</f>
        <v>0</v>
      </c>
      <c r="F113" s="57">
        <v>18000</v>
      </c>
      <c r="G113" s="98">
        <f t="shared" si="23"/>
        <v>0</v>
      </c>
      <c r="H113" s="119"/>
      <c r="I113" s="42"/>
      <c r="J113" s="111"/>
      <c r="K113" s="105"/>
      <c r="M113" s="20" t="str">
        <f t="shared" si="22"/>
        <v>WC</v>
      </c>
    </row>
    <row r="114" spans="1:13" s="20" customFormat="1" ht="18" customHeight="1" x14ac:dyDescent="0.25">
      <c r="A114" s="1"/>
      <c r="B114" s="34">
        <v>10</v>
      </c>
      <c r="C114" s="45" t="s">
        <v>99</v>
      </c>
      <c r="D114" s="36">
        <f>IFERROR(HLOOKUP($J$1,[1]DB!$C$1:$K$172,114,FALSE),"")</f>
        <v>6</v>
      </c>
      <c r="E114" s="36">
        <f>SUMIFS('[1]Rincian Keluar'!$G:$G,'[1]Rincian Keluar'!$E:$E,'PELANGI 01'!C114,'[1]Rincian Keluar'!$D:$D,'PELANGI 01'!$D$1,'[1]Rincian Keluar'!$H:$H,'PELANGI 01'!$J$1,'[1]Rincian Keluar'!$F:$F,'PELANGI 01'!M114)</f>
        <v>0</v>
      </c>
      <c r="F114" s="57">
        <v>2500</v>
      </c>
      <c r="G114" s="98">
        <f t="shared" si="23"/>
        <v>0</v>
      </c>
      <c r="H114" s="119"/>
      <c r="I114" s="42"/>
      <c r="J114" s="111"/>
      <c r="K114" s="105"/>
      <c r="M114" s="20" t="str">
        <f t="shared" si="22"/>
        <v>WC</v>
      </c>
    </row>
    <row r="115" spans="1:13" s="20" customFormat="1" ht="18" customHeight="1" x14ac:dyDescent="0.25">
      <c r="A115" s="1"/>
      <c r="B115" s="34">
        <v>11</v>
      </c>
      <c r="C115" s="45" t="s">
        <v>100</v>
      </c>
      <c r="D115" s="36">
        <f>IFERROR(HLOOKUP($J$1,[1]DB!$C$1:$K$172,115,FALSE),"")</f>
        <v>3</v>
      </c>
      <c r="E115" s="36">
        <f>SUMIFS('[1]Rincian Keluar'!$G:$G,'[1]Rincian Keluar'!$E:$E,'PELANGI 01'!C115,'[1]Rincian Keluar'!$D:$D,'PELANGI 01'!$D$1,'[1]Rincian Keluar'!$H:$H,'PELANGI 01'!$J$1,'[1]Rincian Keluar'!$F:$F,'PELANGI 01'!M115)</f>
        <v>0</v>
      </c>
      <c r="F115" s="57">
        <v>10000</v>
      </c>
      <c r="G115" s="98">
        <f t="shared" si="23"/>
        <v>0</v>
      </c>
      <c r="H115" s="119"/>
      <c r="I115" s="42"/>
      <c r="J115" s="111"/>
      <c r="K115" s="105"/>
      <c r="M115" s="20" t="str">
        <f t="shared" si="22"/>
        <v>WC</v>
      </c>
    </row>
    <row r="116" spans="1:13" ht="18" customHeight="1" x14ac:dyDescent="0.25">
      <c r="B116" s="34">
        <v>12</v>
      </c>
      <c r="C116" s="45" t="s">
        <v>101</v>
      </c>
      <c r="D116" s="36">
        <f>IFERROR(HLOOKUP($J$1,[1]DB!$C$1:$K$172,116,FALSE),"")</f>
        <v>1</v>
      </c>
      <c r="E116" s="36">
        <f>SUMIFS('[1]Rincian Keluar'!$G:$G,'[1]Rincian Keluar'!$E:$E,'PELANGI 01'!C116,'[1]Rincian Keluar'!$D:$D,'PELANGI 01'!$D$1,'[1]Rincian Keluar'!$H:$H,'PELANGI 01'!$J$1,'[1]Rincian Keluar'!$F:$F,'PELANGI 01'!M116)</f>
        <v>0</v>
      </c>
      <c r="F116" s="57">
        <v>5000</v>
      </c>
      <c r="G116" s="98">
        <f t="shared" si="23"/>
        <v>0</v>
      </c>
      <c r="H116" s="122"/>
      <c r="I116" s="47"/>
      <c r="J116" s="113"/>
      <c r="K116" s="107"/>
      <c r="M116" s="20" t="str">
        <f t="shared" si="22"/>
        <v>WC</v>
      </c>
    </row>
    <row r="117" spans="1:13" ht="18" customHeight="1" x14ac:dyDescent="0.25">
      <c r="B117" s="29" t="s">
        <v>102</v>
      </c>
      <c r="C117" s="124" t="s">
        <v>103</v>
      </c>
      <c r="D117" s="31"/>
      <c r="E117" s="31"/>
      <c r="F117" s="31"/>
      <c r="G117" s="31"/>
      <c r="H117" s="31"/>
      <c r="I117" s="32"/>
      <c r="J117" s="31"/>
      <c r="K117" s="33"/>
      <c r="M117" s="20"/>
    </row>
    <row r="118" spans="1:13" ht="18" customHeight="1" x14ac:dyDescent="0.25">
      <c r="B118" s="34">
        <v>1</v>
      </c>
      <c r="C118" s="72" t="s">
        <v>104</v>
      </c>
      <c r="D118" s="36">
        <f>IFERROR(HLOOKUP($J$1,[1]DB!$C$1:$K$172,118,FALSE),"")</f>
        <v>4</v>
      </c>
      <c r="E118" s="36">
        <f>SUMIFS('[1]Rincian Keluar'!$G:$G,'[1]Rincian Keluar'!$E:$E,'PELANGI 01'!C118,'[1]Rincian Keluar'!$D:$D,'PELANGI 01'!$D$1,'[1]Rincian Keluar'!$H:$H,'PELANGI 01'!$J$1,'[1]Rincian Keluar'!$F:$F,'PELANGI 01'!M118)</f>
        <v>0</v>
      </c>
      <c r="F118" s="57">
        <v>124500</v>
      </c>
      <c r="G118" s="98">
        <f>E118*F118</f>
        <v>0</v>
      </c>
      <c r="H118" s="36"/>
      <c r="I118" s="126">
        <f>IFERROR(VLOOKUP($C117,[1]HK!$B$5:$C$20,2,FALSE),"")*$J1</f>
        <v>759500</v>
      </c>
      <c r="J118" s="127"/>
      <c r="K118" s="178"/>
      <c r="M118" s="20" t="str">
        <f>$C$117</f>
        <v>ACI MINIMALIS</v>
      </c>
    </row>
    <row r="119" spans="1:13" ht="18" customHeight="1" x14ac:dyDescent="0.25">
      <c r="B119" s="29" t="s">
        <v>105</v>
      </c>
      <c r="C119" s="124" t="s">
        <v>106</v>
      </c>
      <c r="D119" s="31"/>
      <c r="E119" s="31"/>
      <c r="F119" s="31"/>
      <c r="G119" s="31"/>
      <c r="H119" s="31"/>
      <c r="I119" s="32"/>
      <c r="J119" s="31"/>
      <c r="K119" s="33"/>
      <c r="M119" s="20"/>
    </row>
    <row r="120" spans="1:13" ht="18" customHeight="1" x14ac:dyDescent="0.25">
      <c r="B120" s="34">
        <v>1</v>
      </c>
      <c r="C120" s="35" t="s">
        <v>107</v>
      </c>
      <c r="D120" s="36">
        <f>IFERROR(HLOOKUP($J$1,[1]DB!$C$1:$K$172,120,FALSE),"")</f>
        <v>2</v>
      </c>
      <c r="E120" s="36">
        <f>SUMIFS('[1]Rincian Keluar'!$G:$G,'[1]Rincian Keluar'!$E:$E,'PELANGI 01'!C120,'[1]Rincian Keluar'!$D:$D,'PELANGI 01'!$D$1,'[1]Rincian Keluar'!$H:$H,'PELANGI 01'!$J$1,'[1]Rincian Keluar'!$F:$F,'PELANGI 01'!M120)</f>
        <v>0</v>
      </c>
      <c r="F120" s="64">
        <v>2434900</v>
      </c>
      <c r="G120" s="98">
        <f>E120*F120</f>
        <v>0</v>
      </c>
      <c r="H120" s="172"/>
      <c r="I120" s="39">
        <f>IFERROR(VLOOKUP($C119,[1]HK!$B$5:$C$20,2,FALSE),"")*$J1</f>
        <v>2432500</v>
      </c>
      <c r="J120" s="173"/>
      <c r="K120" s="103"/>
      <c r="M120" s="20" t="str">
        <f>$C$119</f>
        <v>CAT</v>
      </c>
    </row>
    <row r="121" spans="1:13" ht="18" customHeight="1" x14ac:dyDescent="0.25">
      <c r="B121" s="34">
        <v>2</v>
      </c>
      <c r="C121" s="35" t="s">
        <v>108</v>
      </c>
      <c r="D121" s="36">
        <f>IFERROR(HLOOKUP($J$1,[1]DB!$C$1:$K$172,121,FALSE),"")</f>
        <v>4</v>
      </c>
      <c r="E121" s="36">
        <f>SUMIFS('[1]Rincian Keluar'!$G:$G,'[1]Rincian Keluar'!$E:$E,'PELANGI 01'!C121,'[1]Rincian Keluar'!$D:$D,'PELANGI 01'!$D$1,'[1]Rincian Keluar'!$H:$H,'PELANGI 01'!$J$1,'[1]Rincian Keluar'!$F:$F,'PELANGI 01'!M121)</f>
        <v>0</v>
      </c>
      <c r="F121" s="64">
        <v>275000</v>
      </c>
      <c r="G121" s="98">
        <f t="shared" ref="G121:G123" si="24">E121*F121</f>
        <v>0</v>
      </c>
      <c r="H121" s="119"/>
      <c r="I121" s="42"/>
      <c r="J121" s="111"/>
      <c r="K121" s="105"/>
      <c r="M121" s="20" t="str">
        <f>$C$119</f>
        <v>CAT</v>
      </c>
    </row>
    <row r="122" spans="1:13" ht="18" customHeight="1" x14ac:dyDescent="0.25">
      <c r="B122" s="34">
        <v>3</v>
      </c>
      <c r="C122" s="72" t="s">
        <v>104</v>
      </c>
      <c r="D122" s="36">
        <f>IFERROR(HLOOKUP($J$1,[1]DB!$C$1:$K$172,122,FALSE),"")</f>
        <v>17</v>
      </c>
      <c r="E122" s="36">
        <f>SUMIFS('[1]Rincian Keluar'!$G:$G,'[1]Rincian Keluar'!$E:$E,'PELANGI 01'!C122,'[1]Rincian Keluar'!$D:$D,'PELANGI 01'!$D$1,'[1]Rincian Keluar'!$H:$H,'PELANGI 01'!$J$1,'[1]Rincian Keluar'!$F:$F,'PELANGI 01'!M122)</f>
        <v>0</v>
      </c>
      <c r="F122" s="57">
        <v>124500</v>
      </c>
      <c r="G122" s="98">
        <f t="shared" si="24"/>
        <v>0</v>
      </c>
      <c r="H122" s="119"/>
      <c r="I122" s="42"/>
      <c r="J122" s="111"/>
      <c r="K122" s="105"/>
      <c r="M122" s="20" t="str">
        <f>$C$119</f>
        <v>CAT</v>
      </c>
    </row>
    <row r="123" spans="1:13" ht="18" customHeight="1" x14ac:dyDescent="0.25">
      <c r="B123" s="34">
        <v>4</v>
      </c>
      <c r="C123" s="72" t="s">
        <v>109</v>
      </c>
      <c r="D123" s="36">
        <f>IFERROR(HLOOKUP($J$1,[1]DB!$C$1:$K$172,123,FALSE),"")</f>
        <v>2</v>
      </c>
      <c r="E123" s="36">
        <f>SUMIFS('[1]Rincian Keluar'!$G:$G,'[1]Rincian Keluar'!$E:$E,'PELANGI 01'!C123,'[1]Rincian Keluar'!$D:$D,'PELANGI 01'!$D$1,'[1]Rincian Keluar'!$H:$H,'PELANGI 01'!$J$1,'[1]Rincian Keluar'!$F:$F,'PELANGI 01'!M123)</f>
        <v>0</v>
      </c>
      <c r="F123" s="57">
        <v>115000</v>
      </c>
      <c r="G123" s="98">
        <f t="shared" si="24"/>
        <v>0</v>
      </c>
      <c r="H123" s="122"/>
      <c r="I123" s="47"/>
      <c r="J123" s="113"/>
      <c r="K123" s="107"/>
      <c r="M123" s="20" t="str">
        <f>$C$119</f>
        <v>CAT</v>
      </c>
    </row>
    <row r="124" spans="1:13" ht="18" customHeight="1" x14ac:dyDescent="0.25">
      <c r="B124" s="29" t="s">
        <v>110</v>
      </c>
      <c r="C124" s="124" t="s">
        <v>111</v>
      </c>
      <c r="D124" s="132"/>
      <c r="E124" s="132"/>
      <c r="F124" s="132"/>
      <c r="G124" s="132"/>
      <c r="H124" s="132"/>
      <c r="I124" s="133"/>
      <c r="J124" s="132"/>
      <c r="K124" s="134"/>
      <c r="M124" s="20"/>
    </row>
    <row r="125" spans="1:13" ht="18" customHeight="1" x14ac:dyDescent="0.25">
      <c r="B125" s="34">
        <v>1</v>
      </c>
      <c r="C125" s="35" t="s">
        <v>54</v>
      </c>
      <c r="D125" s="36">
        <f>IFERROR(HLOOKUP($J$1,[1]DB!$C$1:$K$172,125,FALSE),"")</f>
        <v>100</v>
      </c>
      <c r="E125" s="36">
        <f>SUMIFS('[1]Rincian Keluar'!$G:$G,'[1]Rincian Keluar'!$E:$E,'PELANGI 01'!C125,'[1]Rincian Keluar'!$D:$D,'PELANGI 01'!$D$1,'[1]Rincian Keluar'!$H:$H,'PELANGI 01'!$J$1,'[1]Rincian Keluar'!$F:$F,'PELANGI 01'!M125)</f>
        <v>0</v>
      </c>
      <c r="F125" s="37">
        <v>1850</v>
      </c>
      <c r="G125" s="135">
        <f>E125*F125</f>
        <v>0</v>
      </c>
      <c r="H125" s="172"/>
      <c r="I125" s="39">
        <f>IFERROR(VLOOKUP($C124,[1]HK!$B$5:$C$20,2,FALSE),"")*$J1</f>
        <v>311500</v>
      </c>
      <c r="J125" s="173"/>
      <c r="K125" s="103"/>
      <c r="M125" s="20" t="str">
        <f>$C$124</f>
        <v>PAGAR</v>
      </c>
    </row>
    <row r="126" spans="1:13" ht="18" customHeight="1" x14ac:dyDescent="0.25">
      <c r="B126" s="34">
        <v>2</v>
      </c>
      <c r="C126" s="35" t="s">
        <v>31</v>
      </c>
      <c r="D126" s="36">
        <f>IFERROR(HLOOKUP($J$1,[1]DB!$C$1:$K$172,126,FALSE),"")</f>
        <v>1</v>
      </c>
      <c r="E126" s="36">
        <f>SUMIFS('[1]Rincian Keluar'!$G:$G,'[1]Rincian Keluar'!$E:$E,'PELANGI 01'!C126,'[1]Rincian Keluar'!$D:$D,'PELANGI 01'!$D$1,'[1]Rincian Keluar'!$H:$H,'PELANGI 01'!$J$1,'[1]Rincian Keluar'!$F:$F,'PELANGI 01'!M126)</f>
        <v>0</v>
      </c>
      <c r="F126" s="37">
        <v>150000</v>
      </c>
      <c r="G126" s="135">
        <f t="shared" ref="G126:G129" si="25">E126*F126</f>
        <v>0</v>
      </c>
      <c r="H126" s="119"/>
      <c r="I126" s="42"/>
      <c r="J126" s="111"/>
      <c r="K126" s="105"/>
      <c r="M126" s="20" t="str">
        <f>$C$124</f>
        <v>PAGAR</v>
      </c>
    </row>
    <row r="127" spans="1:13" ht="18" customHeight="1" x14ac:dyDescent="0.25">
      <c r="B127" s="34">
        <v>3</v>
      </c>
      <c r="C127" s="45" t="s">
        <v>24</v>
      </c>
      <c r="D127" s="36">
        <f>IFERROR(HLOOKUP($J$1,[1]DB!$C$1:$K$172,127,FALSE),"")</f>
        <v>3</v>
      </c>
      <c r="E127" s="36">
        <f>SUMIFS('[1]Rincian Keluar'!$G:$G,'[1]Rincian Keluar'!$E:$E,'PELANGI 01'!C127,'[1]Rincian Keluar'!$D:$D,'PELANGI 01'!$D$1,'[1]Rincian Keluar'!$H:$H,'PELANGI 01'!$J$1,'[1]Rincian Keluar'!$F:$F,'PELANGI 01'!M127)</f>
        <v>0</v>
      </c>
      <c r="F127" s="37">
        <v>60700</v>
      </c>
      <c r="G127" s="135">
        <f t="shared" si="25"/>
        <v>0</v>
      </c>
      <c r="H127" s="119"/>
      <c r="I127" s="42"/>
      <c r="J127" s="111"/>
      <c r="K127" s="105"/>
      <c r="M127" s="20" t="str">
        <f>$C$124</f>
        <v>PAGAR</v>
      </c>
    </row>
    <row r="128" spans="1:13" ht="18" customHeight="1" x14ac:dyDescent="0.25">
      <c r="B128" s="34">
        <v>4</v>
      </c>
      <c r="C128" s="45" t="s">
        <v>51</v>
      </c>
      <c r="D128" s="36">
        <f>IFERROR(HLOOKUP($J$1,[1]DB!$C$1:$K$172,128,FALSE),"")</f>
        <v>2</v>
      </c>
      <c r="E128" s="36">
        <f>SUMIFS('[1]Rincian Keluar'!$G:$G,'[1]Rincian Keluar'!$E:$E,'PELANGI 01'!C128,'[1]Rincian Keluar'!$D:$D,'PELANGI 01'!$D$1,'[1]Rincian Keluar'!$H:$H,'PELANGI 01'!$J$1,'[1]Rincian Keluar'!$F:$F,'PELANGI 01'!M128)</f>
        <v>0</v>
      </c>
      <c r="F128" s="37">
        <v>22000</v>
      </c>
      <c r="G128" s="135">
        <f t="shared" si="25"/>
        <v>0</v>
      </c>
      <c r="H128" s="119"/>
      <c r="I128" s="42"/>
      <c r="J128" s="111"/>
      <c r="K128" s="105"/>
      <c r="M128" s="20" t="str">
        <f>$C$124</f>
        <v>PAGAR</v>
      </c>
    </row>
    <row r="129" spans="2:13" ht="18" customHeight="1" x14ac:dyDescent="0.25">
      <c r="B129" s="29">
        <v>5</v>
      </c>
      <c r="C129" s="45" t="s">
        <v>57</v>
      </c>
      <c r="D129" s="36">
        <f>IFERROR(HLOOKUP($J$1,[1]DB!$C$1:$K$172,129,FALSE),"")</f>
        <v>4</v>
      </c>
      <c r="E129" s="36">
        <f>SUMIFS('[1]Rincian Keluar'!$G:$G,'[1]Rincian Keluar'!$E:$E,'PELANGI 01'!C129,'[1]Rincian Keluar'!$D:$D,'PELANGI 01'!$D$1,'[1]Rincian Keluar'!$H:$H,'PELANGI 01'!$J$1,'[1]Rincian Keluar'!$F:$F,'PELANGI 01'!M129)</f>
        <v>0</v>
      </c>
      <c r="F129" s="37">
        <v>35000</v>
      </c>
      <c r="G129" s="135">
        <f t="shared" si="25"/>
        <v>0</v>
      </c>
      <c r="H129" s="122"/>
      <c r="I129" s="47"/>
      <c r="J129" s="113"/>
      <c r="K129" s="107"/>
      <c r="M129" s="20" t="str">
        <f>$C$124</f>
        <v>PAGAR</v>
      </c>
    </row>
    <row r="130" spans="2:13" ht="18" customHeight="1" x14ac:dyDescent="0.25">
      <c r="B130" s="29" t="s">
        <v>112</v>
      </c>
      <c r="C130" s="124" t="s">
        <v>113</v>
      </c>
      <c r="D130" s="132"/>
      <c r="E130" s="132"/>
      <c r="F130" s="132"/>
      <c r="G130" s="132"/>
      <c r="H130" s="132"/>
      <c r="I130" s="133"/>
      <c r="J130" s="132"/>
      <c r="K130" s="134"/>
      <c r="M130" s="20"/>
    </row>
    <row r="131" spans="2:13" ht="18" customHeight="1" x14ac:dyDescent="0.25">
      <c r="B131" s="34">
        <v>1</v>
      </c>
      <c r="C131" s="45" t="s">
        <v>24</v>
      </c>
      <c r="D131" s="36">
        <f>IFERROR(HLOOKUP($J$1,[1]DB!$C$1:$K$172,131,FALSE),"")</f>
        <v>9</v>
      </c>
      <c r="E131" s="36">
        <f>SUMIFS('[1]Rincian Keluar'!$G:$G,'[1]Rincian Keluar'!$E:$E,'PELANGI 01'!C131,'[1]Rincian Keluar'!$D:$D,'PELANGI 01'!$D$1,'[1]Rincian Keluar'!$H:$H,'PELANGI 01'!$J$1,'[1]Rincian Keluar'!$F:$F,'PELANGI 01'!M131)</f>
        <v>0</v>
      </c>
      <c r="F131" s="37">
        <v>60700</v>
      </c>
      <c r="G131" s="135">
        <f>E131*F131</f>
        <v>0</v>
      </c>
      <c r="H131" s="172"/>
      <c r="I131" s="39">
        <f>IFERROR(VLOOKUP($C130,[1]HK!$B$5:$C$20,2,FALSE),"")*$J1</f>
        <v>386750</v>
      </c>
      <c r="J131" s="173"/>
      <c r="K131" s="103"/>
      <c r="M131" s="20" t="str">
        <f>$C$130</f>
        <v>MINIMALIS CARPORT</v>
      </c>
    </row>
    <row r="132" spans="2:13" ht="18" customHeight="1" x14ac:dyDescent="0.25">
      <c r="B132" s="34">
        <v>2</v>
      </c>
      <c r="C132" s="35" t="s">
        <v>31</v>
      </c>
      <c r="D132" s="36">
        <f>IFERROR(HLOOKUP($J$1,[1]DB!$C$1:$K$172,132,FALSE),"")</f>
        <v>2</v>
      </c>
      <c r="E132" s="36">
        <f>SUMIFS('[1]Rincian Keluar'!$G:$G,'[1]Rincian Keluar'!$E:$E,'PELANGI 01'!C132,'[1]Rincian Keluar'!$D:$D,'PELANGI 01'!$D$1,'[1]Rincian Keluar'!$H:$H,'PELANGI 01'!$J$1,'[1]Rincian Keluar'!$F:$F,'PELANGI 01'!M132)</f>
        <v>0</v>
      </c>
      <c r="F132" s="37">
        <v>150000</v>
      </c>
      <c r="G132" s="135">
        <f>E132*F132</f>
        <v>0</v>
      </c>
      <c r="H132" s="122"/>
      <c r="I132" s="47"/>
      <c r="J132" s="113"/>
      <c r="K132" s="107"/>
      <c r="M132" s="20" t="str">
        <f>$C$130</f>
        <v>MINIMALIS CARPORT</v>
      </c>
    </row>
    <row r="133" spans="2:13" ht="18" customHeight="1" x14ac:dyDescent="0.25">
      <c r="B133" s="29" t="s">
        <v>114</v>
      </c>
      <c r="C133" s="124" t="s">
        <v>115</v>
      </c>
      <c r="D133" s="132"/>
      <c r="E133" s="132"/>
      <c r="F133" s="132"/>
      <c r="G133" s="132"/>
      <c r="H133" s="132"/>
      <c r="I133" s="133"/>
      <c r="J133" s="132"/>
      <c r="K133" s="134"/>
      <c r="M133" s="20"/>
    </row>
    <row r="134" spans="2:13" s="66" customFormat="1" ht="18" customHeight="1" x14ac:dyDescent="0.25">
      <c r="B134" s="34">
        <v>1</v>
      </c>
      <c r="C134" s="35" t="s">
        <v>116</v>
      </c>
      <c r="D134" s="36" t="str">
        <f>IFERROR(HLOOKUP($J$1,[1]DB!$C$1:$K$172,1334,FALSE),"")</f>
        <v/>
      </c>
      <c r="E134" s="36">
        <f>SUMIFS('[1]Rincian Keluar'!$G:$G,'[1]Rincian Keluar'!$E:$E,'PELANGI 01'!C134,'[1]Rincian Keluar'!$D:$D,'PELANGI 01'!$D$1,'[1]Rincian Keluar'!$H:$H,'PELANGI 01'!$J$1,'[1]Rincian Keluar'!$F:$F,'PELANGI 01'!M134)</f>
        <v>0</v>
      </c>
      <c r="F134" s="37">
        <v>82000</v>
      </c>
      <c r="G134" s="135">
        <f>E134*F134</f>
        <v>0</v>
      </c>
      <c r="H134" s="136"/>
      <c r="I134" s="39"/>
      <c r="J134" s="137"/>
      <c r="K134" s="84"/>
      <c r="M134" s="20" t="str">
        <f t="shared" ref="M134:M141" si="26">$C$133</f>
        <v>TALANG AIR</v>
      </c>
    </row>
    <row r="135" spans="2:13" s="66" customFormat="1" ht="18" customHeight="1" x14ac:dyDescent="0.25">
      <c r="B135" s="34">
        <v>2</v>
      </c>
      <c r="C135" s="35" t="s">
        <v>117</v>
      </c>
      <c r="D135" s="36">
        <f>IFERROR(HLOOKUP($J$1,[1]DB!$C$1:$K$172,135,FALSE),"")</f>
        <v>2</v>
      </c>
      <c r="E135" s="36">
        <f>SUMIFS('[1]Rincian Keluar'!$G:$G,'[1]Rincian Keluar'!$E:$E,'PELANGI 01'!C135,'[1]Rincian Keluar'!$D:$D,'PELANGI 01'!$D$1,'[1]Rincian Keluar'!$H:$H,'PELANGI 01'!$J$1,'[1]Rincian Keluar'!$F:$F,'PELANGI 01'!M135)</f>
        <v>0</v>
      </c>
      <c r="F135" s="37">
        <v>50000</v>
      </c>
      <c r="G135" s="135">
        <f t="shared" ref="G135:G141" si="27">E135*F135</f>
        <v>0</v>
      </c>
      <c r="H135" s="138"/>
      <c r="I135" s="42"/>
      <c r="J135" s="104"/>
      <c r="K135" s="87"/>
      <c r="M135" s="20" t="str">
        <f t="shared" si="26"/>
        <v>TALANG AIR</v>
      </c>
    </row>
    <row r="136" spans="2:13" s="66" customFormat="1" ht="18" customHeight="1" x14ac:dyDescent="0.25">
      <c r="B136" s="34">
        <v>3</v>
      </c>
      <c r="C136" s="35" t="s">
        <v>118</v>
      </c>
      <c r="D136" s="36">
        <f>IFERROR(HLOOKUP($J$1,[1]DB!$C$1:$K$172,136,FALSE),"")</f>
        <v>2</v>
      </c>
      <c r="E136" s="36">
        <f>SUMIFS('[1]Rincian Keluar'!$G:$G,'[1]Rincian Keluar'!$E:$E,'PELANGI 01'!C136,'[1]Rincian Keluar'!$D:$D,'PELANGI 01'!$D$1,'[1]Rincian Keluar'!$H:$H,'PELANGI 01'!$J$1,'[1]Rincian Keluar'!$F:$F,'PELANGI 01'!M136)</f>
        <v>0</v>
      </c>
      <c r="F136" s="37">
        <v>4000</v>
      </c>
      <c r="G136" s="135">
        <f t="shared" si="27"/>
        <v>0</v>
      </c>
      <c r="H136" s="138"/>
      <c r="I136" s="42"/>
      <c r="J136" s="104"/>
      <c r="K136" s="87"/>
      <c r="M136" s="20" t="str">
        <f t="shared" si="26"/>
        <v>TALANG AIR</v>
      </c>
    </row>
    <row r="137" spans="2:13" s="66" customFormat="1" ht="18" customHeight="1" x14ac:dyDescent="0.25">
      <c r="B137" s="34">
        <v>4</v>
      </c>
      <c r="C137" s="35" t="s">
        <v>119</v>
      </c>
      <c r="D137" s="36">
        <f>IFERROR(HLOOKUP($J$1,[1]DB!$C$1:$K$172,137,FALSE),"")</f>
        <v>1</v>
      </c>
      <c r="E137" s="36">
        <f>SUMIFS('[1]Rincian Keluar'!$G:$G,'[1]Rincian Keluar'!$E:$E,'PELANGI 01'!C137,'[1]Rincian Keluar'!$D:$D,'PELANGI 01'!$D$1,'[1]Rincian Keluar'!$H:$H,'PELANGI 01'!$J$1,'[1]Rincian Keluar'!$F:$F,'PELANGI 01'!M137)</f>
        <v>0</v>
      </c>
      <c r="F137" s="37">
        <v>15000</v>
      </c>
      <c r="G137" s="135">
        <f t="shared" si="27"/>
        <v>0</v>
      </c>
      <c r="H137" s="138"/>
      <c r="I137" s="42"/>
      <c r="J137" s="104"/>
      <c r="K137" s="87"/>
      <c r="M137" s="20" t="str">
        <f t="shared" si="26"/>
        <v>TALANG AIR</v>
      </c>
    </row>
    <row r="138" spans="2:13" s="66" customFormat="1" ht="18" customHeight="1" x14ac:dyDescent="0.25">
      <c r="B138" s="34">
        <v>5</v>
      </c>
      <c r="C138" s="35" t="s">
        <v>120</v>
      </c>
      <c r="D138" s="36">
        <f>IFERROR(HLOOKUP($J$1,[1]DB!$C$1:$K$172,138,FALSE),"")</f>
        <v>1</v>
      </c>
      <c r="E138" s="36">
        <f>SUMIFS('[1]Rincian Keluar'!$G:$G,'[1]Rincian Keluar'!$E:$E,'PELANGI 01'!C138,'[1]Rincian Keluar'!$D:$D,'PELANGI 01'!$D$1,'[1]Rincian Keluar'!$H:$H,'PELANGI 01'!$J$1,'[1]Rincian Keluar'!$F:$F,'PELANGI 01'!M138)</f>
        <v>0</v>
      </c>
      <c r="F138" s="37">
        <v>12000</v>
      </c>
      <c r="G138" s="135">
        <f t="shared" si="27"/>
        <v>0</v>
      </c>
      <c r="H138" s="138"/>
      <c r="I138" s="42"/>
      <c r="J138" s="104"/>
      <c r="K138" s="87"/>
      <c r="M138" s="20" t="str">
        <f t="shared" si="26"/>
        <v>TALANG AIR</v>
      </c>
    </row>
    <row r="139" spans="2:13" s="66" customFormat="1" ht="18" customHeight="1" x14ac:dyDescent="0.25">
      <c r="B139" s="34">
        <v>6</v>
      </c>
      <c r="C139" s="35" t="s">
        <v>121</v>
      </c>
      <c r="D139" s="36">
        <f>IFERROR(HLOOKUP($J$1,[1]DB!$C$1:$K$172,139,FALSE),"")</f>
        <v>3</v>
      </c>
      <c r="E139" s="36">
        <f>SUMIFS('[1]Rincian Keluar'!$G:$G,'[1]Rincian Keluar'!$E:$E,'PELANGI 01'!C139,'[1]Rincian Keluar'!$D:$D,'PELANGI 01'!$D$1,'[1]Rincian Keluar'!$H:$H,'PELANGI 01'!$J$1,'[1]Rincian Keluar'!$F:$F,'PELANGI 01'!M139)</f>
        <v>0</v>
      </c>
      <c r="F139" s="37">
        <v>4000</v>
      </c>
      <c r="G139" s="135">
        <f t="shared" si="27"/>
        <v>0</v>
      </c>
      <c r="H139" s="138"/>
      <c r="I139" s="42"/>
      <c r="J139" s="104"/>
      <c r="K139" s="87"/>
      <c r="M139" s="20" t="str">
        <f t="shared" si="26"/>
        <v>TALANG AIR</v>
      </c>
    </row>
    <row r="140" spans="2:13" s="66" customFormat="1" ht="18" customHeight="1" x14ac:dyDescent="0.25">
      <c r="B140" s="34">
        <v>7</v>
      </c>
      <c r="C140" s="35" t="s">
        <v>122</v>
      </c>
      <c r="D140" s="36">
        <f>IFERROR(HLOOKUP($J$1,[1]DB!$C$1:$K$172,140,FALSE),"")</f>
        <v>1</v>
      </c>
      <c r="E140" s="36">
        <f>SUMIFS('[1]Rincian Keluar'!$G:$G,'[1]Rincian Keluar'!$E:$E,'PELANGI 01'!C140,'[1]Rincian Keluar'!$D:$D,'PELANGI 01'!$D$1,'[1]Rincian Keluar'!$H:$H,'PELANGI 01'!$J$1,'[1]Rincian Keluar'!$F:$F,'PELANGI 01'!M140)</f>
        <v>0</v>
      </c>
      <c r="F140" s="37">
        <v>8000</v>
      </c>
      <c r="G140" s="135">
        <f t="shared" si="27"/>
        <v>0</v>
      </c>
      <c r="H140" s="138"/>
      <c r="I140" s="42"/>
      <c r="J140" s="104"/>
      <c r="K140" s="87"/>
      <c r="M140" s="20" t="str">
        <f t="shared" si="26"/>
        <v>TALANG AIR</v>
      </c>
    </row>
    <row r="141" spans="2:13" s="66" customFormat="1" ht="18" customHeight="1" x14ac:dyDescent="0.25">
      <c r="B141" s="34">
        <v>8</v>
      </c>
      <c r="C141" s="139" t="s">
        <v>123</v>
      </c>
      <c r="D141" s="36">
        <f>IFERROR(HLOOKUP($J$1,[1]DB!$C$1:$K$172,141,FALSE),"")</f>
        <v>1</v>
      </c>
      <c r="E141" s="36">
        <f>SUMIFS('[1]Rincian Keluar'!$G:$G,'[1]Rincian Keluar'!$E:$E,'PELANGI 01'!C141,'[1]Rincian Keluar'!$D:$D,'PELANGI 01'!$D$1,'[1]Rincian Keluar'!$H:$H,'PELANGI 01'!$J$1,'[1]Rincian Keluar'!$F:$F,'PELANGI 01'!M141)</f>
        <v>0</v>
      </c>
      <c r="F141" s="37">
        <v>22000</v>
      </c>
      <c r="G141" s="135">
        <f t="shared" si="27"/>
        <v>0</v>
      </c>
      <c r="H141" s="140"/>
      <c r="I141" s="47"/>
      <c r="J141" s="106"/>
      <c r="K141" s="90"/>
      <c r="M141" s="20" t="str">
        <f t="shared" si="26"/>
        <v>TALANG AIR</v>
      </c>
    </row>
    <row r="142" spans="2:13" ht="18" customHeight="1" x14ac:dyDescent="0.25">
      <c r="B142" s="29" t="s">
        <v>124</v>
      </c>
      <c r="C142" s="124" t="s">
        <v>125</v>
      </c>
      <c r="D142" s="132"/>
      <c r="E142" s="132"/>
      <c r="F142" s="132"/>
      <c r="G142" s="132"/>
      <c r="H142" s="132"/>
      <c r="I142" s="133"/>
      <c r="J142" s="132"/>
      <c r="K142" s="134"/>
      <c r="M142" s="20"/>
    </row>
    <row r="143" spans="2:13" s="142" customFormat="1" ht="18" customHeight="1" x14ac:dyDescent="0.25">
      <c r="B143" s="34">
        <v>1</v>
      </c>
      <c r="C143" s="139" t="s">
        <v>126</v>
      </c>
      <c r="D143" s="36">
        <f>IFERROR(HLOOKUP($J$1,[1]DB!$C$1:$K$172,143,FALSE),"")</f>
        <v>4</v>
      </c>
      <c r="E143" s="36">
        <f>SUMIFS('[1]Rincian Keluar'!$G:$G,'[1]Rincian Keluar'!$E:$E,'PELANGI 01'!C143,'[1]Rincian Keluar'!$D:$D,'PELANGI 01'!$D$1,'[1]Rincian Keluar'!$H:$H,'PELANGI 01'!$J$1,'[1]Rincian Keluar'!$F:$F,'PELANGI 01'!M143)</f>
        <v>0</v>
      </c>
      <c r="F143" s="141">
        <v>165000</v>
      </c>
      <c r="G143" s="98">
        <f>E143*F143</f>
        <v>0</v>
      </c>
      <c r="H143" s="136"/>
      <c r="I143" s="39"/>
      <c r="J143" s="137"/>
      <c r="K143" s="84"/>
      <c r="M143" s="20" t="str">
        <f t="shared" ref="M143:M161" si="28">$C$142</f>
        <v xml:space="preserve">JENDELA </v>
      </c>
    </row>
    <row r="144" spans="2:13" s="142" customFormat="1" ht="18" customHeight="1" x14ac:dyDescent="0.25">
      <c r="B144" s="34">
        <v>2</v>
      </c>
      <c r="C144" s="139" t="s">
        <v>127</v>
      </c>
      <c r="D144" s="36">
        <f>IFERROR(HLOOKUP($J$1,[1]DB!$C$1:$K$172,144,FALSE),"")</f>
        <v>2</v>
      </c>
      <c r="E144" s="36">
        <f>SUMIFS('[1]Rincian Keluar'!$G:$G,'[1]Rincian Keluar'!$E:$E,'PELANGI 01'!C144,'[1]Rincian Keluar'!$D:$D,'PELANGI 01'!$D$1,'[1]Rincian Keluar'!$H:$H,'PELANGI 01'!$J$1,'[1]Rincian Keluar'!$F:$F,'PELANGI 01'!M144)</f>
        <v>0</v>
      </c>
      <c r="F144" s="141">
        <v>198000</v>
      </c>
      <c r="G144" s="98">
        <f t="shared" ref="G144:G161" si="29">E144*F144</f>
        <v>0</v>
      </c>
      <c r="H144" s="138"/>
      <c r="I144" s="42"/>
      <c r="J144" s="104"/>
      <c r="K144" s="87"/>
      <c r="M144" s="20" t="str">
        <f t="shared" si="28"/>
        <v xml:space="preserve">JENDELA </v>
      </c>
    </row>
    <row r="145" spans="2:13" s="142" customFormat="1" ht="18" customHeight="1" x14ac:dyDescent="0.25">
      <c r="B145" s="34">
        <v>3</v>
      </c>
      <c r="C145" s="139" t="s">
        <v>128</v>
      </c>
      <c r="D145" s="36">
        <f>IFERROR(HLOOKUP($J$1,[1]DB!$C$1:$K$172,145,FALSE),"")</f>
        <v>6</v>
      </c>
      <c r="E145" s="36">
        <f>SUMIFS('[1]Rincian Keluar'!$G:$G,'[1]Rincian Keluar'!$E:$E,'PELANGI 01'!C145,'[1]Rincian Keluar'!$D:$D,'PELANGI 01'!$D$1,'[1]Rincian Keluar'!$H:$H,'PELANGI 01'!$J$1,'[1]Rincian Keluar'!$F:$F,'PELANGI 01'!M145)</f>
        <v>0</v>
      </c>
      <c r="F145" s="141">
        <v>86000</v>
      </c>
      <c r="G145" s="98">
        <f t="shared" si="29"/>
        <v>0</v>
      </c>
      <c r="H145" s="138"/>
      <c r="I145" s="42"/>
      <c r="J145" s="104"/>
      <c r="K145" s="87"/>
      <c r="M145" s="20" t="str">
        <f t="shared" si="28"/>
        <v xml:space="preserve">JENDELA </v>
      </c>
    </row>
    <row r="146" spans="2:13" s="142" customFormat="1" ht="18" customHeight="1" x14ac:dyDescent="0.25">
      <c r="B146" s="34">
        <v>4</v>
      </c>
      <c r="C146" s="139" t="s">
        <v>129</v>
      </c>
      <c r="D146" s="36">
        <f>IFERROR(HLOOKUP($J$1,[1]DB!$C$1:$K$172,146,FALSE),"")</f>
        <v>6</v>
      </c>
      <c r="E146" s="36">
        <f>SUMIFS('[1]Rincian Keluar'!$G:$G,'[1]Rincian Keluar'!$E:$E,'PELANGI 01'!C146,'[1]Rincian Keluar'!$D:$D,'PELANGI 01'!$D$1,'[1]Rincian Keluar'!$H:$H,'PELANGI 01'!$J$1,'[1]Rincian Keluar'!$F:$F,'PELANGI 01'!M146)</f>
        <v>0</v>
      </c>
      <c r="F146" s="141">
        <v>50000</v>
      </c>
      <c r="G146" s="98">
        <f t="shared" si="29"/>
        <v>0</v>
      </c>
      <c r="H146" s="138"/>
      <c r="I146" s="42"/>
      <c r="J146" s="104"/>
      <c r="K146" s="87"/>
      <c r="M146" s="20" t="str">
        <f t="shared" si="28"/>
        <v xml:space="preserve">JENDELA </v>
      </c>
    </row>
    <row r="147" spans="2:13" s="142" customFormat="1" ht="18" customHeight="1" x14ac:dyDescent="0.25">
      <c r="B147" s="34">
        <v>5</v>
      </c>
      <c r="C147" s="139" t="s">
        <v>130</v>
      </c>
      <c r="D147" s="36">
        <f>IFERROR(HLOOKUP($J$1,[1]DB!$C$1:$K$172,147,FALSE),"")</f>
        <v>1</v>
      </c>
      <c r="E147" s="36">
        <f>SUMIFS('[1]Rincian Keluar'!$G:$G,'[1]Rincian Keluar'!$E:$E,'PELANGI 01'!C147,'[1]Rincian Keluar'!$D:$D,'PELANGI 01'!$D$1,'[1]Rincian Keluar'!$H:$H,'PELANGI 01'!$J$1,'[1]Rincian Keluar'!$F:$F,'PELANGI 01'!M147)</f>
        <v>0</v>
      </c>
      <c r="F147" s="141">
        <v>60000</v>
      </c>
      <c r="G147" s="98">
        <f t="shared" si="29"/>
        <v>0</v>
      </c>
      <c r="H147" s="138"/>
      <c r="I147" s="42"/>
      <c r="J147" s="104"/>
      <c r="K147" s="87"/>
      <c r="M147" s="20" t="str">
        <f t="shared" si="28"/>
        <v xml:space="preserve">JENDELA </v>
      </c>
    </row>
    <row r="148" spans="2:13" s="142" customFormat="1" ht="18" customHeight="1" x14ac:dyDescent="0.25">
      <c r="B148" s="34">
        <v>6</v>
      </c>
      <c r="C148" s="139" t="s">
        <v>131</v>
      </c>
      <c r="D148" s="36">
        <f>IFERROR(HLOOKUP($J$1,[1]DB!$C$1:$K$172,148,FALSE),"")</f>
        <v>2</v>
      </c>
      <c r="E148" s="36">
        <f>SUMIFS('[1]Rincian Keluar'!$G:$G,'[1]Rincian Keluar'!$E:$E,'PELANGI 01'!C148,'[1]Rincian Keluar'!$D:$D,'PELANGI 01'!$D$1,'[1]Rincian Keluar'!$H:$H,'PELANGI 01'!$J$1,'[1]Rincian Keluar'!$F:$F,'PELANGI 01'!M148)</f>
        <v>0</v>
      </c>
      <c r="F148" s="141">
        <v>55000</v>
      </c>
      <c r="G148" s="98">
        <f t="shared" si="29"/>
        <v>0</v>
      </c>
      <c r="H148" s="138"/>
      <c r="I148" s="42"/>
      <c r="J148" s="104"/>
      <c r="K148" s="87"/>
      <c r="M148" s="20" t="str">
        <f t="shared" si="28"/>
        <v xml:space="preserve">JENDELA </v>
      </c>
    </row>
    <row r="149" spans="2:13" s="142" customFormat="1" ht="18" customHeight="1" x14ac:dyDescent="0.25">
      <c r="B149" s="34">
        <v>7</v>
      </c>
      <c r="C149" s="139" t="s">
        <v>132</v>
      </c>
      <c r="D149" s="36">
        <f>IFERROR(HLOOKUP($J$1,[1]DB!$C$1:$K$172,149,FALSE),"")</f>
        <v>2</v>
      </c>
      <c r="E149" s="36">
        <f>SUMIFS('[1]Rincian Keluar'!$G:$G,'[1]Rincian Keluar'!$E:$E,'PELANGI 01'!C149,'[1]Rincian Keluar'!$D:$D,'PELANGI 01'!$D$1,'[1]Rincian Keluar'!$H:$H,'PELANGI 01'!$J$1,'[1]Rincian Keluar'!$F:$F,'PELANGI 01'!M149)</f>
        <v>0</v>
      </c>
      <c r="F149" s="141">
        <v>50000</v>
      </c>
      <c r="G149" s="98">
        <f t="shared" si="29"/>
        <v>0</v>
      </c>
      <c r="H149" s="138"/>
      <c r="I149" s="42"/>
      <c r="J149" s="104"/>
      <c r="K149" s="87"/>
      <c r="M149" s="20" t="str">
        <f t="shared" si="28"/>
        <v xml:space="preserve">JENDELA </v>
      </c>
    </row>
    <row r="150" spans="2:13" s="142" customFormat="1" ht="18" customHeight="1" x14ac:dyDescent="0.25">
      <c r="B150" s="34">
        <v>8</v>
      </c>
      <c r="C150" s="139" t="s">
        <v>133</v>
      </c>
      <c r="D150" s="36">
        <f>IFERROR(HLOOKUP($J$1,[1]DB!$C$1:$K$172,150,FALSE),"")</f>
        <v>3</v>
      </c>
      <c r="E150" s="36">
        <f>SUMIFS('[1]Rincian Keluar'!$G:$G,'[1]Rincian Keluar'!$E:$E,'PELANGI 01'!C150,'[1]Rincian Keluar'!$D:$D,'PELANGI 01'!$D$1,'[1]Rincian Keluar'!$H:$H,'PELANGI 01'!$J$1,'[1]Rincian Keluar'!$F:$F,'PELANGI 01'!M150)</f>
        <v>0</v>
      </c>
      <c r="F150" s="141">
        <v>11000</v>
      </c>
      <c r="G150" s="98">
        <f t="shared" si="29"/>
        <v>0</v>
      </c>
      <c r="H150" s="138"/>
      <c r="I150" s="42"/>
      <c r="J150" s="104"/>
      <c r="K150" s="87"/>
      <c r="M150" s="20" t="str">
        <f t="shared" si="28"/>
        <v xml:space="preserve">JENDELA </v>
      </c>
    </row>
    <row r="151" spans="2:13" s="142" customFormat="1" ht="18" customHeight="1" x14ac:dyDescent="0.25">
      <c r="B151" s="34">
        <v>9</v>
      </c>
      <c r="C151" s="139" t="s">
        <v>134</v>
      </c>
      <c r="D151" s="36">
        <f>IFERROR(HLOOKUP($J$1,[1]DB!$C$1:$K$172,151,FALSE),"")</f>
        <v>2</v>
      </c>
      <c r="E151" s="36">
        <f>SUMIFS('[1]Rincian Keluar'!$G:$G,'[1]Rincian Keluar'!$E:$E,'PELANGI 01'!C151,'[1]Rincian Keluar'!$D:$D,'PELANGI 01'!$D$1,'[1]Rincian Keluar'!$H:$H,'PELANGI 01'!$J$1,'[1]Rincian Keluar'!$F:$F,'PELANGI 01'!M151)</f>
        <v>0</v>
      </c>
      <c r="F151" s="141">
        <v>11000</v>
      </c>
      <c r="G151" s="98">
        <f t="shared" si="29"/>
        <v>0</v>
      </c>
      <c r="H151" s="138"/>
      <c r="I151" s="42"/>
      <c r="J151" s="104"/>
      <c r="K151" s="87"/>
      <c r="M151" s="20" t="str">
        <f t="shared" si="28"/>
        <v xml:space="preserve">JENDELA </v>
      </c>
    </row>
    <row r="152" spans="2:13" s="142" customFormat="1" ht="18" customHeight="1" x14ac:dyDescent="0.25">
      <c r="B152" s="34">
        <v>10</v>
      </c>
      <c r="C152" s="139" t="s">
        <v>135</v>
      </c>
      <c r="D152" s="36">
        <f>IFERROR(HLOOKUP($J$1,[1]DB!$C$1:$K$172,152,FALSE),"")</f>
        <v>5</v>
      </c>
      <c r="E152" s="36">
        <f>SUMIFS('[1]Rincian Keluar'!$G:$G,'[1]Rincian Keluar'!$E:$E,'PELANGI 01'!C152,'[1]Rincian Keluar'!$D:$D,'PELANGI 01'!$D$1,'[1]Rincian Keluar'!$H:$H,'PELANGI 01'!$J$1,'[1]Rincian Keluar'!$F:$F,'PELANGI 01'!M152)</f>
        <v>0</v>
      </c>
      <c r="F152" s="141">
        <v>17000</v>
      </c>
      <c r="G152" s="98">
        <f t="shared" si="29"/>
        <v>0</v>
      </c>
      <c r="H152" s="138"/>
      <c r="I152" s="42"/>
      <c r="J152" s="104"/>
      <c r="K152" s="87"/>
      <c r="M152" s="20" t="str">
        <f t="shared" si="28"/>
        <v xml:space="preserve">JENDELA </v>
      </c>
    </row>
    <row r="153" spans="2:13" s="142" customFormat="1" ht="18" customHeight="1" x14ac:dyDescent="0.25">
      <c r="B153" s="34">
        <v>11</v>
      </c>
      <c r="C153" s="139" t="s">
        <v>136</v>
      </c>
      <c r="D153" s="36">
        <f>IFERROR(HLOOKUP($J$1,[1]DB!$C$1:$K$172,153,FALSE),"")</f>
        <v>4</v>
      </c>
      <c r="E153" s="36">
        <f>SUMIFS('[1]Rincian Keluar'!$G:$G,'[1]Rincian Keluar'!$E:$E,'PELANGI 01'!C153,'[1]Rincian Keluar'!$D:$D,'PELANGI 01'!$D$1,'[1]Rincian Keluar'!$H:$H,'PELANGI 01'!$J$1,'[1]Rincian Keluar'!$F:$F,'PELANGI 01'!M153)</f>
        <v>0</v>
      </c>
      <c r="F153" s="141">
        <v>40000</v>
      </c>
      <c r="G153" s="98">
        <f t="shared" si="29"/>
        <v>0</v>
      </c>
      <c r="H153" s="138"/>
      <c r="I153" s="42"/>
      <c r="J153" s="104"/>
      <c r="K153" s="87"/>
      <c r="M153" s="20" t="str">
        <f t="shared" si="28"/>
        <v xml:space="preserve">JENDELA </v>
      </c>
    </row>
    <row r="154" spans="2:13" s="142" customFormat="1" ht="18" customHeight="1" x14ac:dyDescent="0.25">
      <c r="B154" s="34">
        <v>12</v>
      </c>
      <c r="C154" s="139" t="s">
        <v>137</v>
      </c>
      <c r="D154" s="36">
        <f>IFERROR(HLOOKUP($J$1,[1]DB!$C$1:$K$172,154,FALSE),"")</f>
        <v>25</v>
      </c>
      <c r="E154" s="36">
        <f>SUMIFS('[1]Rincian Keluar'!$G:$G,'[1]Rincian Keluar'!$E:$E,'PELANGI 01'!C154,'[1]Rincian Keluar'!$D:$D,'PELANGI 01'!$D$1,'[1]Rincian Keluar'!$H:$H,'PELANGI 01'!$J$1,'[1]Rincian Keluar'!$F:$F,'PELANGI 01'!M154)</f>
        <v>0</v>
      </c>
      <c r="F154" s="141">
        <v>400</v>
      </c>
      <c r="G154" s="98">
        <f t="shared" si="29"/>
        <v>0</v>
      </c>
      <c r="H154" s="138"/>
      <c r="I154" s="42"/>
      <c r="J154" s="104"/>
      <c r="K154" s="87"/>
      <c r="M154" s="20" t="str">
        <f t="shared" si="28"/>
        <v xml:space="preserve">JENDELA </v>
      </c>
    </row>
    <row r="155" spans="2:13" s="142" customFormat="1" ht="18" customHeight="1" x14ac:dyDescent="0.25">
      <c r="B155" s="34">
        <v>13</v>
      </c>
      <c r="C155" s="139" t="s">
        <v>138</v>
      </c>
      <c r="D155" s="36">
        <f>IFERROR(HLOOKUP($J$1,[1]DB!$C$1:$K$172,155,FALSE),"")</f>
        <v>40</v>
      </c>
      <c r="E155" s="36">
        <f>SUMIFS('[1]Rincian Keluar'!$G:$G,'[1]Rincian Keluar'!$E:$E,'PELANGI 01'!C155,'[1]Rincian Keluar'!$D:$D,'PELANGI 01'!$D$1,'[1]Rincian Keluar'!$H:$H,'PELANGI 01'!$J$1,'[1]Rincian Keluar'!$F:$F,'PELANGI 01'!M155)</f>
        <v>0</v>
      </c>
      <c r="F155" s="141">
        <v>15000</v>
      </c>
      <c r="G155" s="98">
        <f t="shared" si="29"/>
        <v>0</v>
      </c>
      <c r="H155" s="138"/>
      <c r="I155" s="42"/>
      <c r="J155" s="104"/>
      <c r="K155" s="87"/>
      <c r="M155" s="20" t="str">
        <f t="shared" si="28"/>
        <v xml:space="preserve">JENDELA </v>
      </c>
    </row>
    <row r="156" spans="2:13" s="142" customFormat="1" ht="18" customHeight="1" x14ac:dyDescent="0.25">
      <c r="B156" s="34">
        <v>14</v>
      </c>
      <c r="C156" s="139" t="s">
        <v>139</v>
      </c>
      <c r="D156" s="36">
        <f>IFERROR(HLOOKUP($J$1,[1]DB!$C$1:$K$172,156,FALSE),"")</f>
        <v>40</v>
      </c>
      <c r="E156" s="36">
        <f>SUMIFS('[1]Rincian Keluar'!$G:$G,'[1]Rincian Keluar'!$E:$E,'PELANGI 01'!C156,'[1]Rincian Keluar'!$D:$D,'PELANGI 01'!$D$1,'[1]Rincian Keluar'!$H:$H,'PELANGI 01'!$J$1,'[1]Rincian Keluar'!$F:$F,'PELANGI 01'!M156)</f>
        <v>0</v>
      </c>
      <c r="F156" s="141">
        <v>200</v>
      </c>
      <c r="G156" s="98">
        <f t="shared" si="29"/>
        <v>0</v>
      </c>
      <c r="H156" s="138"/>
      <c r="I156" s="42"/>
      <c r="J156" s="104"/>
      <c r="K156" s="87"/>
      <c r="M156" s="20" t="str">
        <f t="shared" si="28"/>
        <v xml:space="preserve">JENDELA </v>
      </c>
    </row>
    <row r="157" spans="2:13" s="142" customFormat="1" ht="18" customHeight="1" x14ac:dyDescent="0.25">
      <c r="B157" s="34">
        <v>15</v>
      </c>
      <c r="C157" s="139" t="s">
        <v>140</v>
      </c>
      <c r="D157" s="36">
        <f>IFERROR(HLOOKUP($J$1,[1]DB!$C$1:$K$172,157,FALSE),"")</f>
        <v>80</v>
      </c>
      <c r="E157" s="36">
        <f>SUMIFS('[1]Rincian Keluar'!$G:$G,'[1]Rincian Keluar'!$E:$E,'PELANGI 01'!C157,'[1]Rincian Keluar'!$D:$D,'PELANGI 01'!$D$1,'[1]Rincian Keluar'!$H:$H,'PELANGI 01'!$J$1,'[1]Rincian Keluar'!$F:$F,'PELANGI 01'!M157)</f>
        <v>0</v>
      </c>
      <c r="F157" s="141">
        <v>100</v>
      </c>
      <c r="G157" s="98">
        <f t="shared" si="29"/>
        <v>0</v>
      </c>
      <c r="H157" s="138"/>
      <c r="I157" s="42"/>
      <c r="J157" s="104"/>
      <c r="K157" s="87"/>
      <c r="M157" s="20" t="str">
        <f t="shared" si="28"/>
        <v xml:space="preserve">JENDELA </v>
      </c>
    </row>
    <row r="158" spans="2:13" s="142" customFormat="1" ht="18" customHeight="1" x14ac:dyDescent="0.25">
      <c r="B158" s="34">
        <v>16</v>
      </c>
      <c r="C158" s="139" t="s">
        <v>141</v>
      </c>
      <c r="D158" s="36">
        <f>IFERROR(HLOOKUP($J$1,[1]DB!$C$1:$K$172,158,FALSE),"")</f>
        <v>1</v>
      </c>
      <c r="E158" s="36">
        <f>SUMIFS('[1]Rincian Keluar'!$G:$G,'[1]Rincian Keluar'!$E:$E,'PELANGI 01'!C158,'[1]Rincian Keluar'!$D:$D,'PELANGI 01'!$D$1,'[1]Rincian Keluar'!$H:$H,'PELANGI 01'!$J$1,'[1]Rincian Keluar'!$F:$F,'PELANGI 01'!M158)</f>
        <v>0</v>
      </c>
      <c r="F158" s="141">
        <v>55000</v>
      </c>
      <c r="G158" s="98">
        <f t="shared" si="29"/>
        <v>0</v>
      </c>
      <c r="H158" s="138"/>
      <c r="I158" s="42"/>
      <c r="J158" s="104"/>
      <c r="K158" s="87"/>
      <c r="M158" s="20" t="str">
        <f t="shared" si="28"/>
        <v xml:space="preserve">JENDELA </v>
      </c>
    </row>
    <row r="159" spans="2:13" s="142" customFormat="1" ht="18" customHeight="1" x14ac:dyDescent="0.25">
      <c r="B159" s="34">
        <v>17</v>
      </c>
      <c r="C159" s="139" t="s">
        <v>142</v>
      </c>
      <c r="D159" s="36">
        <f>IFERROR(HLOOKUP($J$1,[1]DB!$C$1:$K$172,159,FALSE),"")</f>
        <v>1</v>
      </c>
      <c r="E159" s="36">
        <f>SUMIFS('[1]Rincian Keluar'!$G:$G,'[1]Rincian Keluar'!$E:$E,'PELANGI 01'!C159,'[1]Rincian Keluar'!$D:$D,'PELANGI 01'!$D$1,'[1]Rincian Keluar'!$H:$H,'PELANGI 01'!$J$1,'[1]Rincian Keluar'!$F:$F,'PELANGI 01'!M159)</f>
        <v>0</v>
      </c>
      <c r="F159" s="141">
        <v>10000</v>
      </c>
      <c r="G159" s="98">
        <f t="shared" si="29"/>
        <v>0</v>
      </c>
      <c r="H159" s="138"/>
      <c r="I159" s="42"/>
      <c r="J159" s="104"/>
      <c r="K159" s="87"/>
      <c r="M159" s="20" t="str">
        <f t="shared" si="28"/>
        <v xml:space="preserve">JENDELA </v>
      </c>
    </row>
    <row r="160" spans="2:13" s="142" customFormat="1" ht="18" customHeight="1" x14ac:dyDescent="0.25">
      <c r="B160" s="34">
        <v>18</v>
      </c>
      <c r="C160" s="139" t="s">
        <v>143</v>
      </c>
      <c r="D160" s="36">
        <f>IFERROR(HLOOKUP($J$1,[1]DB!$C$1:$K$172,160,FALSE),"")</f>
        <v>6</v>
      </c>
      <c r="E160" s="36">
        <f>SUMIFS('[1]Rincian Keluar'!$G:$G,'[1]Rincian Keluar'!$E:$E,'PELANGI 01'!C160,'[1]Rincian Keluar'!$D:$D,'PELANGI 01'!$D$1,'[1]Rincian Keluar'!$H:$H,'PELANGI 01'!$J$1,'[1]Rincian Keluar'!$F:$F,'PELANGI 01'!M160)</f>
        <v>0</v>
      </c>
      <c r="F160" s="141">
        <v>300000</v>
      </c>
      <c r="G160" s="98">
        <f t="shared" si="29"/>
        <v>0</v>
      </c>
      <c r="H160" s="138"/>
      <c r="I160" s="42"/>
      <c r="J160" s="104"/>
      <c r="K160" s="87"/>
      <c r="M160" s="20" t="str">
        <f t="shared" si="28"/>
        <v xml:space="preserve">JENDELA </v>
      </c>
    </row>
    <row r="161" spans="1:13" s="142" customFormat="1" ht="18" customHeight="1" x14ac:dyDescent="0.25">
      <c r="B161" s="34">
        <v>19</v>
      </c>
      <c r="C161" s="139" t="s">
        <v>144</v>
      </c>
      <c r="D161" s="36">
        <f>IFERROR(HLOOKUP($J$1,[1]DB!$C$1:$K$172,161,FALSE),"")</f>
        <v>4</v>
      </c>
      <c r="E161" s="36">
        <f>SUMIFS('[1]Rincian Keluar'!$G:$G,'[1]Rincian Keluar'!$E:$E,'PELANGI 01'!C161,'[1]Rincian Keluar'!$D:$D,'PELANGI 01'!$D$1,'[1]Rincian Keluar'!$H:$H,'PELANGI 01'!$J$1,'[1]Rincian Keluar'!$F:$F,'PELANGI 01'!M161)</f>
        <v>0</v>
      </c>
      <c r="F161" s="141">
        <v>40000</v>
      </c>
      <c r="G161" s="98">
        <f t="shared" si="29"/>
        <v>0</v>
      </c>
      <c r="H161" s="140"/>
      <c r="I161" s="47"/>
      <c r="J161" s="106"/>
      <c r="K161" s="90"/>
      <c r="M161" s="20" t="str">
        <f t="shared" si="28"/>
        <v xml:space="preserve">JENDELA </v>
      </c>
    </row>
    <row r="162" spans="1:13" ht="18" customHeight="1" x14ac:dyDescent="0.25">
      <c r="B162" s="29" t="s">
        <v>145</v>
      </c>
      <c r="C162" s="124" t="s">
        <v>146</v>
      </c>
      <c r="D162" s="132"/>
      <c r="E162" s="132"/>
      <c r="F162" s="132"/>
      <c r="G162" s="132"/>
      <c r="H162" s="132"/>
      <c r="I162" s="133"/>
      <c r="J162" s="132"/>
      <c r="K162" s="134"/>
      <c r="M162" s="20"/>
    </row>
    <row r="163" spans="1:13" s="66" customFormat="1" ht="18" customHeight="1" x14ac:dyDescent="0.25">
      <c r="B163" s="34">
        <v>1</v>
      </c>
      <c r="C163" s="35" t="s">
        <v>147</v>
      </c>
      <c r="D163" s="36">
        <f>IFERROR(HLOOKUP($J$1,[1]DB!$C$1:$K$172,163,FALSE),"")</f>
        <v>6</v>
      </c>
      <c r="E163" s="36">
        <f>SUMIFS('[1]Rincian Keluar'!$G:$G,'[1]Rincian Keluar'!$E:$E,'PELANGI 01'!C163,'[1]Rincian Keluar'!$D:$D,'PELANGI 01'!$D$1,'[1]Rincian Keluar'!$H:$H,'PELANGI 01'!$J$1,'[1]Rincian Keluar'!$F:$F,'PELANGI 01'!M163)</f>
        <v>0</v>
      </c>
      <c r="F163" s="37">
        <v>14000</v>
      </c>
      <c r="G163" s="135">
        <f>E163*F163</f>
        <v>0</v>
      </c>
      <c r="H163" s="136"/>
      <c r="I163" s="39"/>
      <c r="J163" s="137"/>
      <c r="K163" s="84"/>
      <c r="M163" s="20" t="str">
        <f>$C$162</f>
        <v>ELEKTICAL</v>
      </c>
    </row>
    <row r="164" spans="1:13" s="66" customFormat="1" ht="18" customHeight="1" x14ac:dyDescent="0.25">
      <c r="B164" s="34">
        <v>2</v>
      </c>
      <c r="C164" s="35" t="s">
        <v>148</v>
      </c>
      <c r="D164" s="36">
        <f>IFERROR(HLOOKUP($J$1,[1]DB!$C$1:$K$172,164,FALSE),"")</f>
        <v>1</v>
      </c>
      <c r="E164" s="36">
        <f>SUMIFS('[1]Rincian Keluar'!$G:$G,'[1]Rincian Keluar'!$E:$E,'PELANGI 01'!C164,'[1]Rincian Keluar'!$D:$D,'PELANGI 01'!$D$1,'[1]Rincian Keluar'!$H:$H,'PELANGI 01'!$J$1,'[1]Rincian Keluar'!$F:$F,'PELANGI 01'!M164)</f>
        <v>0</v>
      </c>
      <c r="F164" s="37">
        <v>18000</v>
      </c>
      <c r="G164" s="135">
        <f t="shared" ref="G164:G172" si="30">E164*F164</f>
        <v>0</v>
      </c>
      <c r="H164" s="138"/>
      <c r="I164" s="42"/>
      <c r="J164" s="104"/>
      <c r="K164" s="87"/>
      <c r="M164" s="20" t="str">
        <f t="shared" ref="M164:M172" si="31">$C$162</f>
        <v>ELEKTICAL</v>
      </c>
    </row>
    <row r="165" spans="1:13" s="66" customFormat="1" ht="18" customHeight="1" x14ac:dyDescent="0.25">
      <c r="B165" s="34">
        <v>3</v>
      </c>
      <c r="C165" s="35" t="s">
        <v>149</v>
      </c>
      <c r="D165" s="36">
        <f>IFERROR(HLOOKUP($J$1,[1]DB!$C$1:$K$172,165,FALSE),"")</f>
        <v>11</v>
      </c>
      <c r="E165" s="36">
        <f>SUMIFS('[1]Rincian Keluar'!$G:$G,'[1]Rincian Keluar'!$E:$E,'PELANGI 01'!C165,'[1]Rincian Keluar'!$D:$D,'PELANGI 01'!$D$1,'[1]Rincian Keluar'!$H:$H,'PELANGI 01'!$J$1,'[1]Rincian Keluar'!$F:$F,'PELANGI 01'!M165)</f>
        <v>0</v>
      </c>
      <c r="F165" s="37">
        <v>15000</v>
      </c>
      <c r="G165" s="135">
        <f t="shared" si="30"/>
        <v>0</v>
      </c>
      <c r="H165" s="138"/>
      <c r="I165" s="42"/>
      <c r="J165" s="104"/>
      <c r="K165" s="87"/>
      <c r="M165" s="20" t="str">
        <f t="shared" si="31"/>
        <v>ELEKTICAL</v>
      </c>
    </row>
    <row r="166" spans="1:13" s="66" customFormat="1" ht="18" customHeight="1" x14ac:dyDescent="0.25">
      <c r="B166" s="34">
        <v>4</v>
      </c>
      <c r="C166" s="35" t="s">
        <v>150</v>
      </c>
      <c r="D166" s="36">
        <f>IFERROR(HLOOKUP($J$1,[1]DB!$C$1:$K$172,166,FALSE),"")</f>
        <v>1</v>
      </c>
      <c r="E166" s="36">
        <f>SUMIFS('[1]Rincian Keluar'!$G:$G,'[1]Rincian Keluar'!$E:$E,'PELANGI 01'!C166,'[1]Rincian Keluar'!$D:$D,'PELANGI 01'!$D$1,'[1]Rincian Keluar'!$H:$H,'PELANGI 01'!$J$1,'[1]Rincian Keluar'!$F:$F,'PELANGI 01'!M166)</f>
        <v>0</v>
      </c>
      <c r="F166" s="37">
        <v>336000</v>
      </c>
      <c r="G166" s="135">
        <f t="shared" si="30"/>
        <v>0</v>
      </c>
      <c r="H166" s="138"/>
      <c r="I166" s="42"/>
      <c r="J166" s="104"/>
      <c r="K166" s="87"/>
      <c r="M166" s="20" t="str">
        <f t="shared" si="31"/>
        <v>ELEKTICAL</v>
      </c>
    </row>
    <row r="167" spans="1:13" s="66" customFormat="1" ht="18" customHeight="1" x14ac:dyDescent="0.25">
      <c r="B167" s="34">
        <v>5</v>
      </c>
      <c r="C167" s="35" t="s">
        <v>151</v>
      </c>
      <c r="D167" s="36">
        <f>IFERROR(HLOOKUP($J$1,[1]DB!$C$1:$K$172,167,FALSE),"")</f>
        <v>7</v>
      </c>
      <c r="E167" s="36">
        <f>SUMIFS('[1]Rincian Keluar'!$G:$G,'[1]Rincian Keluar'!$E:$E,'PELANGI 01'!C167,'[1]Rincian Keluar'!$D:$D,'PELANGI 01'!$D$1,'[1]Rincian Keluar'!$H:$H,'PELANGI 01'!$J$1,'[1]Rincian Keluar'!$F:$F,'PELANGI 01'!M167)</f>
        <v>0</v>
      </c>
      <c r="F167" s="37">
        <v>5500</v>
      </c>
      <c r="G167" s="135">
        <f t="shared" si="30"/>
        <v>0</v>
      </c>
      <c r="H167" s="138"/>
      <c r="I167" s="42"/>
      <c r="J167" s="104"/>
      <c r="K167" s="87"/>
      <c r="M167" s="20" t="str">
        <f t="shared" si="31"/>
        <v>ELEKTICAL</v>
      </c>
    </row>
    <row r="168" spans="1:13" s="66" customFormat="1" ht="18" customHeight="1" x14ac:dyDescent="0.25">
      <c r="B168" s="34">
        <v>6</v>
      </c>
      <c r="C168" s="35" t="s">
        <v>152</v>
      </c>
      <c r="D168" s="36">
        <f>IFERROR(HLOOKUP($J$1,[1]DB!$C$1:$K$172,168,FALSE),"")</f>
        <v>25</v>
      </c>
      <c r="E168" s="36">
        <f>SUMIFS('[1]Rincian Keluar'!$G:$G,'[1]Rincian Keluar'!$E:$E,'PELANGI 01'!C168,'[1]Rincian Keluar'!$D:$D,'PELANGI 01'!$D$1,'[1]Rincian Keluar'!$H:$H,'PELANGI 01'!$J$1,'[1]Rincian Keluar'!$F:$F,'PELANGI 01'!M168)</f>
        <v>0</v>
      </c>
      <c r="F168" s="37">
        <v>8200</v>
      </c>
      <c r="G168" s="135">
        <f t="shared" si="30"/>
        <v>0</v>
      </c>
      <c r="H168" s="138"/>
      <c r="I168" s="42"/>
      <c r="J168" s="104"/>
      <c r="K168" s="87"/>
      <c r="M168" s="20" t="str">
        <f t="shared" si="31"/>
        <v>ELEKTICAL</v>
      </c>
    </row>
    <row r="169" spans="1:13" s="66" customFormat="1" ht="18" customHeight="1" x14ac:dyDescent="0.25">
      <c r="B169" s="34">
        <v>7</v>
      </c>
      <c r="C169" s="35" t="s">
        <v>153</v>
      </c>
      <c r="D169" s="36">
        <f>IFERROR(HLOOKUP($J$1,[1]DB!$C$1:$K$172,169,FALSE),"")</f>
        <v>35</v>
      </c>
      <c r="E169" s="36">
        <f>SUMIFS('[1]Rincian Keluar'!$G:$G,'[1]Rincian Keluar'!$E:$E,'PELANGI 01'!C169,'[1]Rincian Keluar'!$D:$D,'PELANGI 01'!$D$1,'[1]Rincian Keluar'!$H:$H,'PELANGI 01'!$J$1,'[1]Rincian Keluar'!$F:$F,'PELANGI 01'!M169)</f>
        <v>0</v>
      </c>
      <c r="F169" s="37">
        <v>12500</v>
      </c>
      <c r="G169" s="135">
        <f t="shared" si="30"/>
        <v>0</v>
      </c>
      <c r="H169" s="138"/>
      <c r="I169" s="42"/>
      <c r="J169" s="104"/>
      <c r="K169" s="87"/>
      <c r="M169" s="20" t="str">
        <f t="shared" si="31"/>
        <v>ELEKTICAL</v>
      </c>
    </row>
    <row r="170" spans="1:13" s="66" customFormat="1" ht="18" customHeight="1" x14ac:dyDescent="0.25">
      <c r="B170" s="34">
        <v>8</v>
      </c>
      <c r="C170" s="35" t="s">
        <v>154</v>
      </c>
      <c r="D170" s="36">
        <f>IFERROR(HLOOKUP($J$1,[1]DB!$C$1:$K$172,170,FALSE),"")</f>
        <v>1</v>
      </c>
      <c r="E170" s="36">
        <f>SUMIFS('[1]Rincian Keluar'!$G:$G,'[1]Rincian Keluar'!$E:$E,'PELANGI 01'!C170,'[1]Rincian Keluar'!$D:$D,'PELANGI 01'!$D$1,'[1]Rincian Keluar'!$H:$H,'PELANGI 01'!$J$1,'[1]Rincian Keluar'!$F:$F,'PELANGI 01'!M170)</f>
        <v>0</v>
      </c>
      <c r="F170" s="37">
        <v>19000</v>
      </c>
      <c r="G170" s="135">
        <f t="shared" si="30"/>
        <v>0</v>
      </c>
      <c r="H170" s="138"/>
      <c r="I170" s="42"/>
      <c r="J170" s="104"/>
      <c r="K170" s="87"/>
      <c r="M170" s="20" t="str">
        <f t="shared" si="31"/>
        <v>ELEKTICAL</v>
      </c>
    </row>
    <row r="171" spans="1:13" s="66" customFormat="1" ht="18" customHeight="1" x14ac:dyDescent="0.25">
      <c r="B171" s="34">
        <v>9</v>
      </c>
      <c r="C171" s="35" t="s">
        <v>155</v>
      </c>
      <c r="D171" s="36">
        <f>IFERROR(HLOOKUP($J$1,[1]DB!$C$1:$K$172,171,FALSE),"")</f>
        <v>1</v>
      </c>
      <c r="E171" s="36">
        <f>SUMIFS('[1]Rincian Keluar'!$G:$G,'[1]Rincian Keluar'!$E:$E,'PELANGI 01'!C171,'[1]Rincian Keluar'!$D:$D,'PELANGI 01'!$D$1,'[1]Rincian Keluar'!$H:$H,'PELANGI 01'!$J$1,'[1]Rincian Keluar'!$F:$F,'PELANGI 01'!M171)</f>
        <v>0</v>
      </c>
      <c r="F171" s="37">
        <v>14000</v>
      </c>
      <c r="G171" s="135">
        <f t="shared" si="30"/>
        <v>0</v>
      </c>
      <c r="H171" s="138"/>
      <c r="I171" s="42"/>
      <c r="J171" s="104"/>
      <c r="K171" s="87"/>
      <c r="M171" s="20" t="str">
        <f t="shared" si="31"/>
        <v>ELEKTICAL</v>
      </c>
    </row>
    <row r="172" spans="1:13" s="66" customFormat="1" ht="18" customHeight="1" x14ac:dyDescent="0.25">
      <c r="A172" s="66" t="s">
        <v>156</v>
      </c>
      <c r="B172" s="34">
        <v>10</v>
      </c>
      <c r="C172" s="35" t="s">
        <v>157</v>
      </c>
      <c r="D172" s="36">
        <f>IFERROR(HLOOKUP($J$1,[1]DB!$C$1:$K$172,172,FALSE),"")</f>
        <v>1</v>
      </c>
      <c r="E172" s="36">
        <f>SUMIFS('[1]Rincian Keluar'!$G:$G,'[1]Rincian Keluar'!$E:$E,'PELANGI 01'!C172,'[1]Rincian Keluar'!$D:$D,'PELANGI 01'!$D$1,'[1]Rincian Keluar'!$H:$H,'PELANGI 01'!$J$1,'[1]Rincian Keluar'!$F:$F,'PELANGI 01'!M172)</f>
        <v>0</v>
      </c>
      <c r="F172" s="37">
        <v>60000</v>
      </c>
      <c r="G172" s="135">
        <f t="shared" si="30"/>
        <v>0</v>
      </c>
      <c r="H172" s="140"/>
      <c r="I172" s="47"/>
      <c r="J172" s="106"/>
      <c r="K172" s="90"/>
      <c r="M172" s="20" t="str">
        <f t="shared" si="31"/>
        <v>ELEKTICAL</v>
      </c>
    </row>
    <row r="173" spans="1:13" ht="18" customHeight="1" x14ac:dyDescent="0.25">
      <c r="B173" s="143" t="s">
        <v>158</v>
      </c>
      <c r="C173" s="144"/>
      <c r="D173" s="144"/>
      <c r="E173" s="144"/>
      <c r="F173" s="145"/>
      <c r="G173" s="146">
        <f>SUM(G7:G172)</f>
        <v>20683550</v>
      </c>
      <c r="H173" s="146"/>
      <c r="I173" s="147"/>
      <c r="J173" s="146">
        <f>SUM(J7:J172)</f>
        <v>3739000</v>
      </c>
      <c r="K173" s="148"/>
    </row>
    <row r="174" spans="1:13" ht="18" customHeight="1" thickBot="1" x14ac:dyDescent="0.3">
      <c r="B174" s="149" t="s">
        <v>159</v>
      </c>
      <c r="C174" s="150"/>
      <c r="D174" s="150"/>
      <c r="E174" s="150"/>
      <c r="F174" s="150"/>
      <c r="G174" s="151">
        <f>SUM(G173,J173)</f>
        <v>24422550</v>
      </c>
      <c r="H174" s="152"/>
      <c r="I174" s="153"/>
      <c r="J174" s="154"/>
      <c r="K174" s="155"/>
    </row>
    <row r="175" spans="1:13" x14ac:dyDescent="0.25">
      <c r="C175" s="156"/>
    </row>
    <row r="176" spans="1:13" x14ac:dyDescent="0.25">
      <c r="C176" s="156"/>
    </row>
    <row r="177" spans="3:3" x14ac:dyDescent="0.25">
      <c r="C177" s="156"/>
    </row>
    <row r="178" spans="3:3" x14ac:dyDescent="0.25">
      <c r="C178" s="156"/>
    </row>
    <row r="179" spans="3:3" x14ac:dyDescent="0.25">
      <c r="C179" s="156"/>
    </row>
    <row r="180" spans="3:3" x14ac:dyDescent="0.25">
      <c r="C180" s="156"/>
    </row>
    <row r="181" spans="3:3" x14ac:dyDescent="0.25">
      <c r="C181" s="156"/>
    </row>
    <row r="182" spans="3:3" x14ac:dyDescent="0.25">
      <c r="C182" s="156"/>
    </row>
    <row r="183" spans="3:3" x14ac:dyDescent="0.25">
      <c r="C183" s="156"/>
    </row>
    <row r="184" spans="3:3" x14ac:dyDescent="0.25">
      <c r="C184" s="156"/>
    </row>
    <row r="185" spans="3:3" x14ac:dyDescent="0.25">
      <c r="C185" s="156"/>
    </row>
    <row r="186" spans="3:3" x14ac:dyDescent="0.25">
      <c r="C186" s="156"/>
    </row>
    <row r="187" spans="3:3" x14ac:dyDescent="0.25">
      <c r="C187" s="156"/>
    </row>
  </sheetData>
  <autoFilter ref="B4:K174"/>
  <mergeCells count="75">
    <mergeCell ref="B173:F173"/>
    <mergeCell ref="B174:F174"/>
    <mergeCell ref="H143:H161"/>
    <mergeCell ref="I143:I161"/>
    <mergeCell ref="J143:J161"/>
    <mergeCell ref="K143:K161"/>
    <mergeCell ref="H163:H172"/>
    <mergeCell ref="I163:I172"/>
    <mergeCell ref="J163:J172"/>
    <mergeCell ref="K163:K172"/>
    <mergeCell ref="H131:H132"/>
    <mergeCell ref="I131:I132"/>
    <mergeCell ref="J131:J132"/>
    <mergeCell ref="K131:K132"/>
    <mergeCell ref="H134:H141"/>
    <mergeCell ref="I134:I141"/>
    <mergeCell ref="J134:J141"/>
    <mergeCell ref="K134:K141"/>
    <mergeCell ref="H120:H123"/>
    <mergeCell ref="I120:I123"/>
    <mergeCell ref="J120:J123"/>
    <mergeCell ref="K120:K123"/>
    <mergeCell ref="H125:H129"/>
    <mergeCell ref="I125:I129"/>
    <mergeCell ref="J125:J129"/>
    <mergeCell ref="K125:K129"/>
    <mergeCell ref="H99:H102"/>
    <mergeCell ref="I99:I103"/>
    <mergeCell ref="J99:J103"/>
    <mergeCell ref="K99:K102"/>
    <mergeCell ref="H105:H116"/>
    <mergeCell ref="I105:I116"/>
    <mergeCell ref="J105:J116"/>
    <mergeCell ref="K105:K116"/>
    <mergeCell ref="H83:H86"/>
    <mergeCell ref="I83:I86"/>
    <mergeCell ref="J83:J86"/>
    <mergeCell ref="K83:K86"/>
    <mergeCell ref="H88:H97"/>
    <mergeCell ref="I88:I97"/>
    <mergeCell ref="J88:J97"/>
    <mergeCell ref="K88:K97"/>
    <mergeCell ref="H65:H74"/>
    <mergeCell ref="I65:I74"/>
    <mergeCell ref="J65:J74"/>
    <mergeCell ref="K65:K74"/>
    <mergeCell ref="H76:H81"/>
    <mergeCell ref="I76:I81"/>
    <mergeCell ref="J76:J81"/>
    <mergeCell ref="K76:K81"/>
    <mergeCell ref="H38:H59"/>
    <mergeCell ref="I38:I59"/>
    <mergeCell ref="J38:J59"/>
    <mergeCell ref="K38:K59"/>
    <mergeCell ref="H61:H63"/>
    <mergeCell ref="I61:I63"/>
    <mergeCell ref="J61:J63"/>
    <mergeCell ref="K61:K63"/>
    <mergeCell ref="H20:H23"/>
    <mergeCell ref="I20:I23"/>
    <mergeCell ref="J20:J23"/>
    <mergeCell ref="K20:K23"/>
    <mergeCell ref="H25:H36"/>
    <mergeCell ref="I25:I36"/>
    <mergeCell ref="J25:J36"/>
    <mergeCell ref="K25:K36"/>
    <mergeCell ref="B3:K3"/>
    <mergeCell ref="H7:H14"/>
    <mergeCell ref="I7:I14"/>
    <mergeCell ref="J7:J14"/>
    <mergeCell ref="K7:K14"/>
    <mergeCell ref="H16:H18"/>
    <mergeCell ref="I16:I18"/>
    <mergeCell ref="J16:J18"/>
    <mergeCell ref="K16:K18"/>
  </mergeCells>
  <printOptions horizontalCentered="1"/>
  <pageMargins left="0.19685039370078741" right="0.19685039370078741" top="0.19685039370078741" bottom="0.19685039370078741" header="0" footer="0"/>
  <pageSetup paperSize="346" scale="59" fitToHeight="0" orientation="portrait" r:id="rId1"/>
  <rowBreaks count="1" manualBreakCount="1">
    <brk id="86" min="1" max="11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87"/>
  <sheetViews>
    <sheetView zoomScale="70" zoomScaleNormal="70" zoomScaleSheetLayoutView="87" workbookViewId="0">
      <selection activeCell="B87" sqref="B87:K174"/>
    </sheetView>
  </sheetViews>
  <sheetFormatPr defaultColWidth="8.85546875" defaultRowHeight="15.75" x14ac:dyDescent="0.25"/>
  <cols>
    <col min="1" max="1" width="1.7109375" style="1" bestFit="1" customWidth="1"/>
    <col min="2" max="2" width="4.42578125" style="1" bestFit="1" customWidth="1"/>
    <col min="3" max="3" width="39.5703125" style="1" bestFit="1" customWidth="1"/>
    <col min="4" max="4" width="9.7109375" style="1" bestFit="1" customWidth="1"/>
    <col min="5" max="5" width="11.5703125" style="157" bestFit="1" customWidth="1"/>
    <col min="6" max="6" width="20.28515625" style="158" bestFit="1" customWidth="1"/>
    <col min="7" max="7" width="19.140625" style="159" bestFit="1" customWidth="1"/>
    <col min="8" max="8" width="15.42578125" style="1" customWidth="1"/>
    <col min="9" max="9" width="19.140625" style="160" bestFit="1" customWidth="1"/>
    <col min="10" max="10" width="21.5703125" style="161" bestFit="1" customWidth="1"/>
    <col min="11" max="11" width="13.42578125" style="162" bestFit="1" customWidth="1"/>
    <col min="12" max="13" width="8.85546875" style="1"/>
    <col min="14" max="14" width="34.5703125" style="1" customWidth="1"/>
    <col min="15" max="16384" width="8.85546875" style="1"/>
  </cols>
  <sheetData>
    <row r="1" spans="1:13" x14ac:dyDescent="0.25">
      <c r="B1" s="2" t="s">
        <v>0</v>
      </c>
      <c r="C1" s="3"/>
      <c r="D1" s="4" t="s">
        <v>160</v>
      </c>
      <c r="E1" s="5"/>
      <c r="F1" s="5"/>
      <c r="G1" s="5"/>
      <c r="H1" s="2" t="s">
        <v>2</v>
      </c>
      <c r="I1" s="6"/>
      <c r="J1" s="7">
        <v>40</v>
      </c>
      <c r="K1" s="8"/>
    </row>
    <row r="2" spans="1:13" ht="16.5" thickBot="1" x14ac:dyDescent="0.3">
      <c r="B2" s="9"/>
      <c r="C2" s="10"/>
      <c r="D2" s="11"/>
      <c r="E2" s="12"/>
      <c r="F2" s="12"/>
      <c r="G2" s="12"/>
      <c r="H2" s="9"/>
      <c r="I2" s="13"/>
      <c r="J2" s="14"/>
      <c r="K2" s="15"/>
    </row>
    <row r="3" spans="1:13" s="20" customFormat="1" ht="8.25" customHeight="1" x14ac:dyDescent="0.25">
      <c r="A3" s="1"/>
      <c r="B3" s="16"/>
      <c r="C3" s="17"/>
      <c r="D3" s="17"/>
      <c r="E3" s="17"/>
      <c r="F3" s="17"/>
      <c r="G3" s="17"/>
      <c r="H3" s="17"/>
      <c r="I3" s="17"/>
      <c r="J3" s="18"/>
      <c r="K3" s="19"/>
    </row>
    <row r="4" spans="1:13" s="20" customFormat="1" x14ac:dyDescent="0.25">
      <c r="A4" s="1"/>
      <c r="B4" s="21" t="s">
        <v>3</v>
      </c>
      <c r="C4" s="22" t="s">
        <v>4</v>
      </c>
      <c r="D4" s="23" t="s">
        <v>5</v>
      </c>
      <c r="E4" s="23"/>
      <c r="F4" s="24" t="s">
        <v>6</v>
      </c>
      <c r="G4" s="25" t="s">
        <v>7</v>
      </c>
      <c r="H4" s="22" t="s">
        <v>8</v>
      </c>
      <c r="I4" s="23" t="s">
        <v>9</v>
      </c>
      <c r="J4" s="23" t="s">
        <v>10</v>
      </c>
      <c r="K4" s="26" t="s">
        <v>11</v>
      </c>
    </row>
    <row r="5" spans="1:13" s="20" customFormat="1" x14ac:dyDescent="0.25">
      <c r="A5" s="1"/>
      <c r="B5" s="21"/>
      <c r="C5" s="27"/>
      <c r="D5" s="24" t="s">
        <v>12</v>
      </c>
      <c r="E5" s="24" t="s">
        <v>13</v>
      </c>
      <c r="F5" s="24" t="s">
        <v>14</v>
      </c>
      <c r="G5" s="25" t="s">
        <v>14</v>
      </c>
      <c r="H5" s="22"/>
      <c r="I5" s="23"/>
      <c r="J5" s="28"/>
      <c r="K5" s="26"/>
    </row>
    <row r="6" spans="1:13" s="20" customFormat="1" ht="18" customHeight="1" x14ac:dyDescent="0.25">
      <c r="A6" s="1"/>
      <c r="B6" s="91" t="s">
        <v>15</v>
      </c>
      <c r="C6" s="163" t="s">
        <v>16</v>
      </c>
      <c r="D6" s="93"/>
      <c r="E6" s="93"/>
      <c r="F6" s="93"/>
      <c r="G6" s="93"/>
      <c r="H6" s="93"/>
      <c r="I6" s="94"/>
      <c r="J6" s="93"/>
      <c r="K6" s="95"/>
    </row>
    <row r="7" spans="1:13" s="20" customFormat="1" ht="18" customHeight="1" x14ac:dyDescent="0.25">
      <c r="A7" s="1"/>
      <c r="B7" s="34">
        <v>1</v>
      </c>
      <c r="C7" s="35" t="s">
        <v>17</v>
      </c>
      <c r="D7" s="36">
        <f>IFERROR(HLOOKUP($J$1,[1]DB!$C$1:$K$172,7,FALSE),"")</f>
        <v>9</v>
      </c>
      <c r="E7" s="36">
        <f>SUMIFS('[1]Rincian Keluar'!$G:$G,'[1]Rincian Keluar'!$E:$E,'KARYA HILS  01'!C7,'[1]Rincian Keluar'!$D:$D,'KARYA HILS  01'!$D$1,'[1]Rincian Keluar'!$H:$H,'KARYA HILS  01'!$J$1,'[1]Rincian Keluar'!$F:$F,'KARYA HILS  01'!M7)</f>
        <v>9</v>
      </c>
      <c r="F7" s="37">
        <v>21500</v>
      </c>
      <c r="G7" s="38">
        <f>E7*F7</f>
        <v>193500</v>
      </c>
      <c r="H7" s="39">
        <v>2076000</v>
      </c>
      <c r="I7" s="39">
        <f>IFERROR(VLOOKUP($C6,[1]HK!$B$5:$C$14,2,FALSE),"")*$J1</f>
        <v>1668000</v>
      </c>
      <c r="J7" s="164">
        <f>I7-H7</f>
        <v>-408000</v>
      </c>
      <c r="K7" s="41">
        <v>1</v>
      </c>
      <c r="M7" s="20" t="str">
        <f>$C$6</f>
        <v>PONDASI</v>
      </c>
    </row>
    <row r="8" spans="1:13" s="20" customFormat="1" ht="18" customHeight="1" x14ac:dyDescent="0.25">
      <c r="A8" s="1"/>
      <c r="B8" s="34">
        <v>2</v>
      </c>
      <c r="C8" s="35" t="s">
        <v>18</v>
      </c>
      <c r="D8" s="36">
        <f>IFERROR(HLOOKUP($J$1,[1]DB!$C$1:$K$172,8,FALSE),"")</f>
        <v>33</v>
      </c>
      <c r="E8" s="36">
        <f>SUMIFS('[1]Rincian Keluar'!$G:$G,'[1]Rincian Keluar'!$E:$E,'KARYA HILS  01'!C8,'[1]Rincian Keluar'!$D:$D,'KARYA HILS  01'!$D$1,'[1]Rincian Keluar'!$H:$H,'KARYA HILS  01'!$J$1,'[1]Rincian Keluar'!$F:$F,'KARYA HILS  01'!M8)</f>
        <v>13</v>
      </c>
      <c r="F8" s="37">
        <v>49000</v>
      </c>
      <c r="G8" s="38">
        <f t="shared" ref="G8:G14" si="0">E8*F8</f>
        <v>637000</v>
      </c>
      <c r="H8" s="42"/>
      <c r="I8" s="42"/>
      <c r="J8" s="165"/>
      <c r="K8" s="44"/>
      <c r="M8" s="20" t="str">
        <f t="shared" ref="M8:M14" si="1">$C$6</f>
        <v>PONDASI</v>
      </c>
    </row>
    <row r="9" spans="1:13" s="20" customFormat="1" ht="18" customHeight="1" x14ac:dyDescent="0.25">
      <c r="A9" s="1"/>
      <c r="B9" s="34">
        <v>3</v>
      </c>
      <c r="C9" s="45" t="s">
        <v>19</v>
      </c>
      <c r="D9" s="36">
        <f>IFERROR(HLOOKUP($J$1,[1]DB!$C$1:$K$172,9,FALSE),"")</f>
        <v>28</v>
      </c>
      <c r="E9" s="36">
        <f>SUMIFS('[1]Rincian Keluar'!$G:$G,'[1]Rincian Keluar'!$E:$E,'KARYA HILS  01'!C9,'[1]Rincian Keluar'!$D:$D,'KARYA HILS  01'!$D$1,'[1]Rincian Keluar'!$H:$H,'KARYA HILS  01'!$J$1,'[1]Rincian Keluar'!$F:$F,'KARYA HILS  01'!M9)</f>
        <v>28</v>
      </c>
      <c r="F9" s="46">
        <v>11000</v>
      </c>
      <c r="G9" s="38">
        <f t="shared" si="0"/>
        <v>308000</v>
      </c>
      <c r="H9" s="42"/>
      <c r="I9" s="42"/>
      <c r="J9" s="165"/>
      <c r="K9" s="44"/>
      <c r="M9" s="20" t="str">
        <f t="shared" si="1"/>
        <v>PONDASI</v>
      </c>
    </row>
    <row r="10" spans="1:13" s="20" customFormat="1" ht="18" customHeight="1" x14ac:dyDescent="0.25">
      <c r="A10" s="1"/>
      <c r="B10" s="34">
        <v>4</v>
      </c>
      <c r="C10" s="45" t="s">
        <v>20</v>
      </c>
      <c r="D10" s="36">
        <f>IFERROR(HLOOKUP($J$1,[1]DB!$C$1:$K$172,10,FALSE),"")</f>
        <v>59</v>
      </c>
      <c r="E10" s="36">
        <f>SUMIFS('[1]Rincian Keluar'!$G:$G,'[1]Rincian Keluar'!$E:$E,'KARYA HILS  01'!C10,'[1]Rincian Keluar'!$D:$D,'KARYA HILS  01'!$D$1,'[1]Rincian Keluar'!$H:$H,'KARYA HILS  01'!$J$1,'[1]Rincian Keluar'!$F:$F,'KARYA HILS  01'!M10)</f>
        <v>71</v>
      </c>
      <c r="F10" s="37">
        <v>8000</v>
      </c>
      <c r="G10" s="38">
        <f t="shared" si="0"/>
        <v>568000</v>
      </c>
      <c r="H10" s="42"/>
      <c r="I10" s="42"/>
      <c r="J10" s="165"/>
      <c r="K10" s="44"/>
      <c r="M10" s="20" t="str">
        <f t="shared" si="1"/>
        <v>PONDASI</v>
      </c>
    </row>
    <row r="11" spans="1:13" s="20" customFormat="1" ht="18" customHeight="1" x14ac:dyDescent="0.25">
      <c r="A11" s="1"/>
      <c r="B11" s="34">
        <v>5</v>
      </c>
      <c r="C11" s="45" t="s">
        <v>21</v>
      </c>
      <c r="D11" s="36">
        <f>IFERROR(HLOOKUP($J$1,[1]DB!$C$1:$K$172,11,FALSE),"")</f>
        <v>131</v>
      </c>
      <c r="E11" s="36">
        <f>SUMIFS('[1]Rincian Keluar'!$G:$G,'[1]Rincian Keluar'!$E:$E,'KARYA HILS  01'!C11,'[1]Rincian Keluar'!$D:$D,'KARYA HILS  01'!$D$1,'[1]Rincian Keluar'!$H:$H,'KARYA HILS  01'!$J$1,'[1]Rincian Keluar'!$F:$F,'KARYA HILS  01'!M11)</f>
        <v>131</v>
      </c>
      <c r="F11" s="37">
        <v>11000</v>
      </c>
      <c r="G11" s="38">
        <f t="shared" si="0"/>
        <v>1441000</v>
      </c>
      <c r="H11" s="42"/>
      <c r="I11" s="42"/>
      <c r="J11" s="165"/>
      <c r="K11" s="44"/>
      <c r="M11" s="20" t="str">
        <f t="shared" si="1"/>
        <v>PONDASI</v>
      </c>
    </row>
    <row r="12" spans="1:13" s="20" customFormat="1" ht="18" customHeight="1" x14ac:dyDescent="0.25">
      <c r="A12" s="1"/>
      <c r="B12" s="34">
        <v>6</v>
      </c>
      <c r="C12" s="45" t="s">
        <v>22</v>
      </c>
      <c r="D12" s="36">
        <f>IFERROR(HLOOKUP($J$1,[1]DB!$C$1:$K$172,12,FALSE),"")</f>
        <v>10</v>
      </c>
      <c r="E12" s="36">
        <f>SUMIFS('[1]Rincian Keluar'!$G:$G,'[1]Rincian Keluar'!$E:$E,'KARYA HILS  01'!C12,'[1]Rincian Keluar'!$D:$D,'KARYA HILS  01'!$D$1,'[1]Rincian Keluar'!$H:$H,'KARYA HILS  01'!$J$1,'[1]Rincian Keluar'!$F:$F,'KARYA HILS  01'!M12)</f>
        <v>10</v>
      </c>
      <c r="F12" s="37">
        <v>150000</v>
      </c>
      <c r="G12" s="38">
        <f t="shared" si="0"/>
        <v>1500000</v>
      </c>
      <c r="H12" s="42"/>
      <c r="I12" s="42"/>
      <c r="J12" s="165"/>
      <c r="K12" s="44"/>
      <c r="M12" s="20" t="str">
        <f t="shared" si="1"/>
        <v>PONDASI</v>
      </c>
    </row>
    <row r="13" spans="1:13" s="20" customFormat="1" ht="18" customHeight="1" x14ac:dyDescent="0.25">
      <c r="A13" s="1"/>
      <c r="B13" s="34">
        <v>7</v>
      </c>
      <c r="C13" s="45" t="s">
        <v>23</v>
      </c>
      <c r="D13" s="36">
        <f>IFERROR(HLOOKUP($J$1,[1]DB!$C$1:$K$172,13,FALSE),"")</f>
        <v>1</v>
      </c>
      <c r="E13" s="36">
        <f>SUMIFS('[1]Rincian Keluar'!$G:$G,'[1]Rincian Keluar'!$E:$E,'KARYA HILS  01'!C13,'[1]Rincian Keluar'!$D:$D,'KARYA HILS  01'!$D$1,'[1]Rincian Keluar'!$H:$H,'KARYA HILS  01'!$J$1,'[1]Rincian Keluar'!$F:$F,'KARYA HILS  01'!M13)</f>
        <v>1</v>
      </c>
      <c r="F13" s="37">
        <v>500000</v>
      </c>
      <c r="G13" s="38">
        <f t="shared" si="0"/>
        <v>500000</v>
      </c>
      <c r="H13" s="42"/>
      <c r="I13" s="42"/>
      <c r="J13" s="165"/>
      <c r="K13" s="44"/>
      <c r="M13" s="20" t="str">
        <f t="shared" si="1"/>
        <v>PONDASI</v>
      </c>
    </row>
    <row r="14" spans="1:13" s="20" customFormat="1" ht="18" customHeight="1" x14ac:dyDescent="0.25">
      <c r="A14" s="1"/>
      <c r="B14" s="34">
        <v>8</v>
      </c>
      <c r="C14" s="45" t="s">
        <v>24</v>
      </c>
      <c r="D14" s="36">
        <f>IFERROR(HLOOKUP($J$1,[1]DB!$C$1:$K$172,14,FALSE),"")</f>
        <v>31</v>
      </c>
      <c r="E14" s="36">
        <f>SUMIFS('[1]Rincian Keluar'!$G:$G,'[1]Rincian Keluar'!$E:$E,'KARYA HILS  01'!C14,'[1]Rincian Keluar'!$D:$D,'KARYA HILS  01'!$D$1,'[1]Rincian Keluar'!$H:$H,'KARYA HILS  01'!$J$1,'[1]Rincian Keluar'!$F:$F,'KARYA HILS  01'!M14)</f>
        <v>33</v>
      </c>
      <c r="F14" s="37">
        <v>60700</v>
      </c>
      <c r="G14" s="38">
        <f t="shared" si="0"/>
        <v>2003100</v>
      </c>
      <c r="H14" s="47"/>
      <c r="I14" s="47"/>
      <c r="J14" s="166"/>
      <c r="K14" s="49"/>
      <c r="M14" s="20" t="str">
        <f t="shared" si="1"/>
        <v>PONDASI</v>
      </c>
    </row>
    <row r="15" spans="1:13" ht="18" customHeight="1" x14ac:dyDescent="0.25">
      <c r="B15" s="91" t="s">
        <v>25</v>
      </c>
      <c r="C15" s="92" t="s">
        <v>26</v>
      </c>
      <c r="D15" s="93"/>
      <c r="E15" s="93"/>
      <c r="F15" s="93"/>
      <c r="G15" s="93"/>
      <c r="H15" s="167"/>
      <c r="I15" s="94"/>
      <c r="J15" s="93"/>
      <c r="K15" s="95"/>
    </row>
    <row r="16" spans="1:13" ht="18" customHeight="1" x14ac:dyDescent="0.25">
      <c r="B16" s="34">
        <v>1</v>
      </c>
      <c r="C16" s="35" t="s">
        <v>22</v>
      </c>
      <c r="D16" s="36">
        <f>IFERROR(HLOOKUP($J$1,[1]DB!$C$1:$K$172,16,FALSE),"")</f>
        <v>25</v>
      </c>
      <c r="E16" s="36">
        <f>SUMIFS('[1]Rincian Keluar'!$G:$G,'[1]Rincian Keluar'!$E:$E,'KARYA HILS  01'!C16,'[1]Rincian Keluar'!$D:$D,'KARYA HILS  01'!$D$1,'[1]Rincian Keluar'!$H:$H,'KARYA HILS  01'!$J$1,'[1]Rincian Keluar'!$F:$F,'KARYA HILS  01'!M16)</f>
        <v>0</v>
      </c>
      <c r="F16" s="37">
        <v>150000</v>
      </c>
      <c r="G16" s="38">
        <f>E16*F16</f>
        <v>0</v>
      </c>
      <c r="H16" s="51">
        <v>390000</v>
      </c>
      <c r="I16" s="39">
        <f>IFERROR(VLOOKUP($C15,[1]HK!$B$5:$C$14,2,FALSE),"")*$J1</f>
        <v>668000</v>
      </c>
      <c r="J16" s="52">
        <f>I16-H16</f>
        <v>278000</v>
      </c>
      <c r="K16" s="41">
        <v>0.6</v>
      </c>
      <c r="M16" s="20" t="str">
        <f>$C$15</f>
        <v>URUG</v>
      </c>
    </row>
    <row r="17" spans="2:13" ht="18" customHeight="1" x14ac:dyDescent="0.25">
      <c r="B17" s="34">
        <v>2</v>
      </c>
      <c r="C17" s="35" t="s">
        <v>27</v>
      </c>
      <c r="D17" s="36">
        <f>IFERROR(HLOOKUP($J$1,[1]DB!$C$1:$K$172,17,FALSE),"")</f>
        <v>2</v>
      </c>
      <c r="E17" s="36">
        <f>SUMIFS('[1]Rincian Keluar'!$G:$G,'[1]Rincian Keluar'!$E:$E,'KARYA HILS  01'!C17,'[1]Rincian Keluar'!$D:$D,'KARYA HILS  01'!$D$1,'[1]Rincian Keluar'!$H:$H,'KARYA HILS  01'!$J$1,'[1]Rincian Keluar'!$F:$F,'KARYA HILS  01'!M17)</f>
        <v>1</v>
      </c>
      <c r="F17" s="37">
        <v>133500</v>
      </c>
      <c r="G17" s="38">
        <f t="shared" ref="G17:G18" si="2">E17*F17</f>
        <v>133500</v>
      </c>
      <c r="H17" s="53"/>
      <c r="I17" s="42"/>
      <c r="J17" s="54"/>
      <c r="K17" s="44"/>
      <c r="M17" s="20" t="str">
        <f t="shared" ref="M17:M18" si="3">$C$15</f>
        <v>URUG</v>
      </c>
    </row>
    <row r="18" spans="2:13" ht="18" customHeight="1" x14ac:dyDescent="0.25">
      <c r="B18" s="34">
        <v>3</v>
      </c>
      <c r="C18" s="35" t="s">
        <v>28</v>
      </c>
      <c r="D18" s="36">
        <f>IFERROR(HLOOKUP($J$1,[1]DB!$C$1:$K$172,18,FALSE),"")</f>
        <v>2</v>
      </c>
      <c r="E18" s="36">
        <f>SUMIFS('[1]Rincian Keluar'!$G:$G,'[1]Rincian Keluar'!$E:$E,'KARYA HILS  01'!C18,'[1]Rincian Keluar'!$D:$D,'KARYA HILS  01'!$D$1,'[1]Rincian Keluar'!$H:$H,'KARYA HILS  01'!$J$1,'[1]Rincian Keluar'!$F:$F,'KARYA HILS  01'!M18)</f>
        <v>1</v>
      </c>
      <c r="F18" s="37">
        <v>48000</v>
      </c>
      <c r="G18" s="38">
        <f t="shared" si="2"/>
        <v>48000</v>
      </c>
      <c r="H18" s="55"/>
      <c r="I18" s="47"/>
      <c r="J18" s="56"/>
      <c r="K18" s="49"/>
      <c r="M18" s="20" t="str">
        <f t="shared" si="3"/>
        <v>URUG</v>
      </c>
    </row>
    <row r="19" spans="2:13" ht="18" customHeight="1" x14ac:dyDescent="0.25">
      <c r="B19" s="29" t="s">
        <v>29</v>
      </c>
      <c r="C19" s="50" t="s">
        <v>30</v>
      </c>
      <c r="D19" s="31"/>
      <c r="E19" s="31"/>
      <c r="F19" s="31"/>
      <c r="G19" s="31"/>
      <c r="H19" s="31"/>
      <c r="I19" s="32"/>
      <c r="J19" s="31"/>
      <c r="K19" s="33"/>
    </row>
    <row r="20" spans="2:13" ht="18" customHeight="1" x14ac:dyDescent="0.25">
      <c r="B20" s="34">
        <v>1</v>
      </c>
      <c r="C20" s="35" t="s">
        <v>17</v>
      </c>
      <c r="D20" s="36">
        <f>IFERROR(HLOOKUP($J$1,[1]DB!$C$1:$K$172,20,FALSE),"")</f>
        <v>12</v>
      </c>
      <c r="E20" s="36">
        <f>SUMIFS('[1]Rincian Keluar'!$G:$G,'[1]Rincian Keluar'!$E:$E,'KARYA HILS  01'!C20,'[1]Rincian Keluar'!$D:$D,'KARYA HILS  01'!$D$1,'[1]Rincian Keluar'!$H:$H,'KARYA HILS  01'!$J$1,'[1]Rincian Keluar'!$F:$F,'KARYA HILS  01'!M20)</f>
        <v>0</v>
      </c>
      <c r="F20" s="37">
        <v>22000</v>
      </c>
      <c r="G20" s="38">
        <f>E20*F20</f>
        <v>0</v>
      </c>
      <c r="H20" s="51"/>
      <c r="I20" s="39">
        <f>IFERROR(VLOOKUP($C19,[1]HK!$B$5:$C$14,2,FALSE),"")*$J1</f>
        <v>400000</v>
      </c>
      <c r="J20" s="40"/>
      <c r="K20" s="41"/>
      <c r="M20" s="20" t="str">
        <f>$C$19</f>
        <v>COR LANTAI</v>
      </c>
    </row>
    <row r="21" spans="2:13" ht="18" customHeight="1" x14ac:dyDescent="0.25">
      <c r="B21" s="34">
        <v>2</v>
      </c>
      <c r="C21" s="35" t="s">
        <v>31</v>
      </c>
      <c r="D21" s="36">
        <f>IFERROR(HLOOKUP($J$1,[1]DB!$C$1:$K$172,21,FALSE),"")</f>
        <v>4</v>
      </c>
      <c r="E21" s="36">
        <f>SUMIFS('[1]Rincian Keluar'!$G:$G,'[1]Rincian Keluar'!$E:$E,'KARYA HILS  01'!C21,'[1]Rincian Keluar'!$D:$D,'KARYA HILS  01'!$D$1,'[1]Rincian Keluar'!$H:$H,'KARYA HILS  01'!$J$1,'[1]Rincian Keluar'!$F:$F,'KARYA HILS  01'!M21)</f>
        <v>0</v>
      </c>
      <c r="F21" s="37">
        <v>150000</v>
      </c>
      <c r="G21" s="38">
        <f t="shared" ref="G21:G23" si="4">E21*F21</f>
        <v>0</v>
      </c>
      <c r="H21" s="53"/>
      <c r="I21" s="42"/>
      <c r="J21" s="43"/>
      <c r="K21" s="44"/>
      <c r="M21" s="20" t="str">
        <f t="shared" ref="M21:M23" si="5">$C$19</f>
        <v>COR LANTAI</v>
      </c>
    </row>
    <row r="22" spans="2:13" ht="18" customHeight="1" x14ac:dyDescent="0.25">
      <c r="B22" s="34">
        <v>3</v>
      </c>
      <c r="C22" s="45" t="s">
        <v>24</v>
      </c>
      <c r="D22" s="36">
        <f>IFERROR(HLOOKUP($J$1,[1]DB!$C$1:$K$172,22,FALSE),"")</f>
        <v>11</v>
      </c>
      <c r="E22" s="36">
        <f>SUMIFS('[1]Rincian Keluar'!$G:$G,'[1]Rincian Keluar'!$E:$E,'KARYA HILS  01'!C22,'[1]Rincian Keluar'!$D:$D,'KARYA HILS  01'!$D$1,'[1]Rincian Keluar'!$H:$H,'KARYA HILS  01'!$J$1,'[1]Rincian Keluar'!$F:$F,'KARYA HILS  01'!M22)</f>
        <v>0</v>
      </c>
      <c r="F22" s="37">
        <v>60700</v>
      </c>
      <c r="G22" s="38">
        <f t="shared" si="4"/>
        <v>0</v>
      </c>
      <c r="H22" s="53"/>
      <c r="I22" s="42"/>
      <c r="J22" s="43"/>
      <c r="K22" s="44"/>
      <c r="M22" s="20" t="str">
        <f t="shared" si="5"/>
        <v>COR LANTAI</v>
      </c>
    </row>
    <row r="23" spans="2:13" ht="18" customHeight="1" x14ac:dyDescent="0.25">
      <c r="B23" s="34">
        <v>4</v>
      </c>
      <c r="C23" s="35" t="s">
        <v>32</v>
      </c>
      <c r="D23" s="36">
        <f>IFERROR(HLOOKUP($J$1,[1]DB!$C$1:$K$172,23,FALSE),"")</f>
        <v>5</v>
      </c>
      <c r="E23" s="36">
        <f>SUMIFS('[1]Rincian Keluar'!$G:$G,'[1]Rincian Keluar'!$E:$E,'KARYA HILS  01'!C23,'[1]Rincian Keluar'!$D:$D,'KARYA HILS  01'!$D$1,'[1]Rincian Keluar'!$H:$H,'KARYA HILS  01'!$J$1,'[1]Rincian Keluar'!$F:$F,'KARYA HILS  01'!M23)</f>
        <v>0</v>
      </c>
      <c r="F23" s="57">
        <v>15000</v>
      </c>
      <c r="G23" s="38">
        <f t="shared" si="4"/>
        <v>0</v>
      </c>
      <c r="H23" s="55"/>
      <c r="I23" s="47"/>
      <c r="J23" s="48"/>
      <c r="K23" s="49"/>
      <c r="M23" s="20" t="str">
        <f t="shared" si="5"/>
        <v>COR LANTAI</v>
      </c>
    </row>
    <row r="24" spans="2:13" ht="18" customHeight="1" x14ac:dyDescent="0.25">
      <c r="B24" s="29" t="s">
        <v>33</v>
      </c>
      <c r="C24" s="58" t="s">
        <v>34</v>
      </c>
      <c r="D24" s="31"/>
      <c r="E24" s="31"/>
      <c r="F24" s="31"/>
      <c r="G24" s="31"/>
      <c r="H24" s="31"/>
      <c r="I24" s="32"/>
      <c r="J24" s="31"/>
      <c r="K24" s="33"/>
    </row>
    <row r="25" spans="2:13" ht="18" customHeight="1" x14ac:dyDescent="0.25">
      <c r="B25" s="34">
        <v>1</v>
      </c>
      <c r="C25" s="45" t="s">
        <v>35</v>
      </c>
      <c r="D25" s="36">
        <f>IFERROR(HLOOKUP($J$1,[1]DB!$C$1:$K$172,25,FALSE),"")</f>
        <v>1</v>
      </c>
      <c r="E25" s="36">
        <f>SUMIFS('[1]Rincian Keluar'!$G:$G,'[1]Rincian Keluar'!$E:$E,'KARYA HILS  01'!C25,'[1]Rincian Keluar'!$D:$D,'KARYA HILS  01'!$D$1,'[1]Rincian Keluar'!$H:$H,'KARYA HILS  01'!$J$1,'[1]Rincian Keluar'!$F:$F,'KARYA HILS  01'!M25)</f>
        <v>0</v>
      </c>
      <c r="F25" s="46">
        <v>1550000</v>
      </c>
      <c r="G25" s="59">
        <f>E25*F25</f>
        <v>0</v>
      </c>
      <c r="H25" s="60"/>
      <c r="I25" s="61" t="e">
        <f>IFERROR(VLOOKUP($C24,[1]HK!$B$5:$C$14,2,FALSE),"")*$J1</f>
        <v>#VALUE!</v>
      </c>
      <c r="J25" s="62"/>
      <c r="K25" s="63"/>
      <c r="M25" s="20" t="str">
        <f>$C$24</f>
        <v>PINTU</v>
      </c>
    </row>
    <row r="26" spans="2:13" ht="18" customHeight="1" x14ac:dyDescent="0.25">
      <c r="B26" s="34">
        <v>2</v>
      </c>
      <c r="C26" s="45" t="s">
        <v>36</v>
      </c>
      <c r="D26" s="36">
        <f>IFERROR(HLOOKUP($J$1,[1]DB!$C$1:$K$172,26,FALSE),"")</f>
        <v>3</v>
      </c>
      <c r="E26" s="36">
        <f>SUMIFS('[1]Rincian Keluar'!$G:$G,'[1]Rincian Keluar'!$E:$E,'KARYA HILS  01'!C26,'[1]Rincian Keluar'!$D:$D,'KARYA HILS  01'!$D$1,'[1]Rincian Keluar'!$H:$H,'KARYA HILS  01'!$J$1,'[1]Rincian Keluar'!$F:$F,'KARYA HILS  01'!M26)</f>
        <v>0</v>
      </c>
      <c r="F26" s="46">
        <v>775000</v>
      </c>
      <c r="G26" s="59">
        <f t="shared" ref="G26:G36" si="6">E26*F26</f>
        <v>0</v>
      </c>
      <c r="H26" s="60"/>
      <c r="I26" s="61"/>
      <c r="J26" s="62"/>
      <c r="K26" s="63"/>
      <c r="M26" s="20" t="str">
        <f t="shared" ref="M26:M36" si="7">$C$24</f>
        <v>PINTU</v>
      </c>
    </row>
    <row r="27" spans="2:13" ht="18" customHeight="1" x14ac:dyDescent="0.25">
      <c r="B27" s="34">
        <v>3</v>
      </c>
      <c r="C27" s="45" t="s">
        <v>37</v>
      </c>
      <c r="D27" s="36">
        <f>IFERROR(HLOOKUP($J$1,[1]DB!$C$1:$K$172,27,FALSE),"")</f>
        <v>2</v>
      </c>
      <c r="E27" s="36">
        <f>SUMIFS('[1]Rincian Keluar'!$G:$G,'[1]Rincian Keluar'!$E:$E,'KARYA HILS  01'!C27,'[1]Rincian Keluar'!$D:$D,'KARYA HILS  01'!$D$1,'[1]Rincian Keluar'!$H:$H,'KARYA HILS  01'!$J$1,'[1]Rincian Keluar'!$F:$F,'KARYA HILS  01'!M27)</f>
        <v>0</v>
      </c>
      <c r="F27" s="46">
        <v>260000</v>
      </c>
      <c r="G27" s="59">
        <f t="shared" si="6"/>
        <v>0</v>
      </c>
      <c r="H27" s="60"/>
      <c r="I27" s="61"/>
      <c r="J27" s="62"/>
      <c r="K27" s="63"/>
      <c r="M27" s="20" t="str">
        <f t="shared" si="7"/>
        <v>PINTU</v>
      </c>
    </row>
    <row r="28" spans="2:13" ht="18" customHeight="1" x14ac:dyDescent="0.25">
      <c r="B28" s="34">
        <v>4</v>
      </c>
      <c r="C28" s="45" t="s">
        <v>38</v>
      </c>
      <c r="D28" s="36">
        <f>IFERROR(HLOOKUP($J$1,[1]DB!$C$1:$K$172,28,FALSE),"")</f>
        <v>1</v>
      </c>
      <c r="E28" s="36">
        <f>SUMIFS('[1]Rincian Keluar'!$G:$G,'[1]Rincian Keluar'!$E:$E,'KARYA HILS  01'!C28,'[1]Rincian Keluar'!$D:$D,'KARYA HILS  01'!$D$1,'[1]Rincian Keluar'!$H:$H,'KARYA HILS  01'!$J$1,'[1]Rincian Keluar'!$F:$F,'KARYA HILS  01'!M28)</f>
        <v>0</v>
      </c>
      <c r="F28" s="46">
        <v>799000</v>
      </c>
      <c r="G28" s="59">
        <f t="shared" si="6"/>
        <v>0</v>
      </c>
      <c r="H28" s="60"/>
      <c r="I28" s="61"/>
      <c r="J28" s="62"/>
      <c r="K28" s="63"/>
      <c r="M28" s="20" t="str">
        <f t="shared" si="7"/>
        <v>PINTU</v>
      </c>
    </row>
    <row r="29" spans="2:13" ht="18" customHeight="1" x14ac:dyDescent="0.25">
      <c r="B29" s="34">
        <v>5</v>
      </c>
      <c r="C29" s="45" t="s">
        <v>39</v>
      </c>
      <c r="D29" s="36">
        <f>IFERROR(HLOOKUP($J$1,[1]DB!$C$1:$K$172,29,FALSE),"")</f>
        <v>15</v>
      </c>
      <c r="E29" s="36">
        <f>SUMIFS('[1]Rincian Keluar'!$G:$G,'[1]Rincian Keluar'!$E:$E,'KARYA HILS  01'!C29,'[1]Rincian Keluar'!$D:$D,'KARYA HILS  01'!$D$1,'[1]Rincian Keluar'!$H:$H,'KARYA HILS  01'!$J$1,'[1]Rincian Keluar'!$F:$F,'KARYA HILS  01'!M29)</f>
        <v>0</v>
      </c>
      <c r="F29" s="46">
        <v>15000</v>
      </c>
      <c r="G29" s="59">
        <f t="shared" si="6"/>
        <v>0</v>
      </c>
      <c r="H29" s="60"/>
      <c r="I29" s="61"/>
      <c r="J29" s="62"/>
      <c r="K29" s="63"/>
      <c r="M29" s="20" t="str">
        <f t="shared" si="7"/>
        <v>PINTU</v>
      </c>
    </row>
    <row r="30" spans="2:13" ht="18" customHeight="1" x14ac:dyDescent="0.25">
      <c r="B30" s="34">
        <v>6</v>
      </c>
      <c r="C30" s="45" t="s">
        <v>40</v>
      </c>
      <c r="D30" s="36">
        <f>IFERROR(HLOOKUP($J$1,[1]DB!$C$1:$K$172,30,FALSE),"")</f>
        <v>2</v>
      </c>
      <c r="E30" s="36">
        <f>SUMIFS('[1]Rincian Keluar'!$G:$G,'[1]Rincian Keluar'!$E:$E,'KARYA HILS  01'!C30,'[1]Rincian Keluar'!$D:$D,'KARYA HILS  01'!$D$1,'[1]Rincian Keluar'!$H:$H,'KARYA HILS  01'!$J$1,'[1]Rincian Keluar'!$F:$F,'KARYA HILS  01'!M30)</f>
        <v>0</v>
      </c>
      <c r="F30" s="46">
        <v>100000</v>
      </c>
      <c r="G30" s="59">
        <f t="shared" si="6"/>
        <v>0</v>
      </c>
      <c r="H30" s="60"/>
      <c r="I30" s="61"/>
      <c r="J30" s="62"/>
      <c r="K30" s="63"/>
      <c r="M30" s="20" t="str">
        <f t="shared" si="7"/>
        <v>PINTU</v>
      </c>
    </row>
    <row r="31" spans="2:13" ht="18" customHeight="1" x14ac:dyDescent="0.25">
      <c r="B31" s="34">
        <v>7</v>
      </c>
      <c r="C31" s="45" t="s">
        <v>41</v>
      </c>
      <c r="D31" s="36">
        <f>IFERROR(HLOOKUP($J$1,[1]DB!$C$1:$K$172,31,FALSE),"")</f>
        <v>1</v>
      </c>
      <c r="E31" s="36">
        <f>SUMIFS('[1]Rincian Keluar'!$G:$G,'[1]Rincian Keluar'!$E:$E,'KARYA HILS  01'!C31,'[1]Rincian Keluar'!$D:$D,'KARYA HILS  01'!$D$1,'[1]Rincian Keluar'!$H:$H,'KARYA HILS  01'!$J$1,'[1]Rincian Keluar'!$F:$F,'KARYA HILS  01'!M31)</f>
        <v>0</v>
      </c>
      <c r="F31" s="46">
        <v>60000</v>
      </c>
      <c r="G31" s="59">
        <f t="shared" si="6"/>
        <v>0</v>
      </c>
      <c r="H31" s="60"/>
      <c r="I31" s="61"/>
      <c r="J31" s="62"/>
      <c r="K31" s="63"/>
      <c r="M31" s="20" t="str">
        <f t="shared" si="7"/>
        <v>PINTU</v>
      </c>
    </row>
    <row r="32" spans="2:13" ht="18" customHeight="1" x14ac:dyDescent="0.25">
      <c r="B32" s="34">
        <v>8</v>
      </c>
      <c r="C32" s="45" t="s">
        <v>42</v>
      </c>
      <c r="D32" s="36">
        <f>IFERROR(HLOOKUP($J$1,[1]DB!$C$1:$K$172,32,FALSE),"")</f>
        <v>3</v>
      </c>
      <c r="E32" s="36">
        <f>SUMIFS('[1]Rincian Keluar'!$G:$G,'[1]Rincian Keluar'!$E:$E,'KARYA HILS  01'!C32,'[1]Rincian Keluar'!$D:$D,'KARYA HILS  01'!$D$1,'[1]Rincian Keluar'!$H:$H,'KARYA HILS  01'!$J$1,'[1]Rincian Keluar'!$F:$F,'KARYA HILS  01'!M32)</f>
        <v>0</v>
      </c>
      <c r="F32" s="46">
        <v>65000</v>
      </c>
      <c r="G32" s="59">
        <f t="shared" si="6"/>
        <v>0</v>
      </c>
      <c r="H32" s="60"/>
      <c r="I32" s="61"/>
      <c r="J32" s="62"/>
      <c r="K32" s="63"/>
      <c r="M32" s="20" t="str">
        <f t="shared" si="7"/>
        <v>PINTU</v>
      </c>
    </row>
    <row r="33" spans="1:13" ht="18" customHeight="1" x14ac:dyDescent="0.25">
      <c r="B33" s="34">
        <v>9</v>
      </c>
      <c r="C33" s="35" t="s">
        <v>43</v>
      </c>
      <c r="D33" s="36">
        <f>IFERROR(HLOOKUP($J$1,[1]DB!$C$1:$K$172,33,FALSE),"")</f>
        <v>4</v>
      </c>
      <c r="E33" s="36">
        <f>SUMIFS('[1]Rincian Keluar'!$G:$G,'[1]Rincian Keluar'!$E:$E,'KARYA HILS  01'!C33,'[1]Rincian Keluar'!$D:$D,'KARYA HILS  01'!$D$1,'[1]Rincian Keluar'!$H:$H,'KARYA HILS  01'!$J$1,'[1]Rincian Keluar'!$F:$F,'KARYA HILS  01'!M33)</f>
        <v>0</v>
      </c>
      <c r="F33" s="64">
        <v>83000</v>
      </c>
      <c r="G33" s="59">
        <f t="shared" si="6"/>
        <v>0</v>
      </c>
      <c r="H33" s="60"/>
      <c r="I33" s="61"/>
      <c r="J33" s="62"/>
      <c r="K33" s="63"/>
      <c r="M33" s="20" t="str">
        <f t="shared" si="7"/>
        <v>PINTU</v>
      </c>
    </row>
    <row r="34" spans="1:13" ht="18" customHeight="1" x14ac:dyDescent="0.25">
      <c r="B34" s="34">
        <v>10</v>
      </c>
      <c r="C34" s="35" t="s">
        <v>44</v>
      </c>
      <c r="D34" s="36">
        <f>IFERROR(HLOOKUP($J$1,[1]DB!$C$1:$K$172,34,FALSE),"")</f>
        <v>2</v>
      </c>
      <c r="E34" s="36">
        <f>SUMIFS('[1]Rincian Keluar'!$G:$G,'[1]Rincian Keluar'!$E:$E,'KARYA HILS  01'!C34,'[1]Rincian Keluar'!$D:$D,'KARYA HILS  01'!$D$1,'[1]Rincian Keluar'!$H:$H,'KARYA HILS  01'!$J$1,'[1]Rincian Keluar'!$F:$F,'KARYA HILS  01'!M34)</f>
        <v>0</v>
      </c>
      <c r="F34" s="64">
        <v>23000</v>
      </c>
      <c r="G34" s="59">
        <f t="shared" si="6"/>
        <v>0</v>
      </c>
      <c r="H34" s="60"/>
      <c r="I34" s="61"/>
      <c r="J34" s="62"/>
      <c r="K34" s="63"/>
      <c r="M34" s="20" t="str">
        <f t="shared" si="7"/>
        <v>PINTU</v>
      </c>
    </row>
    <row r="35" spans="1:13" ht="18" customHeight="1" x14ac:dyDescent="0.25">
      <c r="B35" s="34">
        <v>11</v>
      </c>
      <c r="C35" s="35" t="s">
        <v>45</v>
      </c>
      <c r="D35" s="36">
        <f>IFERROR(HLOOKUP($J$1,[1]DB!$C$1:$K$172,35,FALSE),"")</f>
        <v>1</v>
      </c>
      <c r="E35" s="36">
        <f>SUMIFS('[1]Rincian Keluar'!$G:$G,'[1]Rincian Keluar'!$E:$E,'KARYA HILS  01'!C35,'[1]Rincian Keluar'!$D:$D,'KARYA HILS  01'!$D$1,'[1]Rincian Keluar'!$H:$H,'KARYA HILS  01'!$J$1,'[1]Rincian Keluar'!$F:$F,'KARYA HILS  01'!M35)</f>
        <v>0</v>
      </c>
      <c r="F35" s="64">
        <v>17000</v>
      </c>
      <c r="G35" s="59">
        <f t="shared" si="6"/>
        <v>0</v>
      </c>
      <c r="H35" s="60"/>
      <c r="I35" s="61"/>
      <c r="J35" s="62"/>
      <c r="K35" s="63"/>
      <c r="M35" s="20" t="str">
        <f t="shared" si="7"/>
        <v>PINTU</v>
      </c>
    </row>
    <row r="36" spans="1:13" ht="18" customHeight="1" x14ac:dyDescent="0.25">
      <c r="B36" s="34">
        <v>12</v>
      </c>
      <c r="C36" s="35" t="s">
        <v>46</v>
      </c>
      <c r="D36" s="36">
        <f>IFERROR(HLOOKUP($J$1,[1]DB!$C$1:$K$172,36,FALSE),"")</f>
        <v>1</v>
      </c>
      <c r="E36" s="36">
        <f>SUMIFS('[1]Rincian Keluar'!$G:$G,'[1]Rincian Keluar'!$E:$E,'KARYA HILS  01'!C36,'[1]Rincian Keluar'!$D:$D,'KARYA HILS  01'!$D$1,'[1]Rincian Keluar'!$H:$H,'KARYA HILS  01'!$J$1,'[1]Rincian Keluar'!$F:$F,'KARYA HILS  01'!M36)</f>
        <v>0</v>
      </c>
      <c r="F36" s="64">
        <v>11000</v>
      </c>
      <c r="G36" s="59">
        <f t="shared" si="6"/>
        <v>0</v>
      </c>
      <c r="H36" s="60"/>
      <c r="I36" s="61"/>
      <c r="J36" s="62"/>
      <c r="K36" s="63"/>
      <c r="M36" s="20" t="str">
        <f t="shared" si="7"/>
        <v>PINTU</v>
      </c>
    </row>
    <row r="37" spans="1:13" ht="18" customHeight="1" x14ac:dyDescent="0.25">
      <c r="B37" s="29" t="s">
        <v>47</v>
      </c>
      <c r="C37" s="65" t="s">
        <v>48</v>
      </c>
      <c r="D37" s="31"/>
      <c r="E37" s="31"/>
      <c r="F37" s="31"/>
      <c r="G37" s="31"/>
      <c r="H37" s="31"/>
      <c r="I37" s="32"/>
      <c r="J37" s="31"/>
      <c r="K37" s="33"/>
      <c r="M37" s="20"/>
    </row>
    <row r="38" spans="1:13" s="66" customFormat="1" ht="18" customHeight="1" x14ac:dyDescent="0.25">
      <c r="B38" s="34">
        <v>1</v>
      </c>
      <c r="C38" s="45" t="s">
        <v>49</v>
      </c>
      <c r="D38" s="36">
        <f>IFERROR(HLOOKUP($J$1,[1]DB!$C$1:$K$172,38,FALSE),"")</f>
        <v>19</v>
      </c>
      <c r="E38" s="36">
        <f>SUMIFS('[1]Rincian Keluar'!$G:$G,'[1]Rincian Keluar'!$E:$E,'KARYA HILS  01'!C38,'[1]Rincian Keluar'!$D:$D,'KARYA HILS  01'!$D$1,'[1]Rincian Keluar'!$H:$H,'KARYA HILS  01'!$J$1,'[1]Rincian Keluar'!$F:$F,'KARYA HILS  01'!M38)</f>
        <v>0</v>
      </c>
      <c r="F38" s="37">
        <v>11000</v>
      </c>
      <c r="G38" s="67">
        <f>E38*F38</f>
        <v>0</v>
      </c>
      <c r="H38" s="168"/>
      <c r="I38" s="61">
        <f>IFERROR(VLOOKUP($C37,[1]HK!$B$5:$C$14,2,FALSE),"")*$J1</f>
        <v>2780000</v>
      </c>
      <c r="J38" s="71"/>
      <c r="K38" s="70"/>
      <c r="M38" s="20" t="str">
        <f>$C$37</f>
        <v>BATA</v>
      </c>
    </row>
    <row r="39" spans="1:13" s="66" customFormat="1" ht="18" customHeight="1" x14ac:dyDescent="0.25">
      <c r="B39" s="34">
        <v>2</v>
      </c>
      <c r="C39" s="45" t="s">
        <v>19</v>
      </c>
      <c r="D39" s="36">
        <f>IFERROR(HLOOKUP($J$1,[1]DB!$C$1:$K$172,39,FALSE),"")</f>
        <v>20</v>
      </c>
      <c r="E39" s="36">
        <f>SUMIFS('[1]Rincian Keluar'!$G:$G,'[1]Rincian Keluar'!$E:$E,'KARYA HILS  01'!C39,'[1]Rincian Keluar'!$D:$D,'KARYA HILS  01'!$D$1,'[1]Rincian Keluar'!$H:$H,'KARYA HILS  01'!$J$1,'[1]Rincian Keluar'!$F:$F,'KARYA HILS  01'!M39)</f>
        <v>0</v>
      </c>
      <c r="F39" s="46">
        <v>11000</v>
      </c>
      <c r="G39" s="67">
        <f t="shared" ref="G39:G59" si="8">E39*F39</f>
        <v>0</v>
      </c>
      <c r="H39" s="168"/>
      <c r="I39" s="61"/>
      <c r="J39" s="71"/>
      <c r="K39" s="70"/>
      <c r="M39" s="20" t="str">
        <f t="shared" ref="M39:M59" si="9">$C$37</f>
        <v>BATA</v>
      </c>
    </row>
    <row r="40" spans="1:13" ht="18" customHeight="1" x14ac:dyDescent="0.25">
      <c r="B40" s="34">
        <v>3</v>
      </c>
      <c r="C40" s="45" t="s">
        <v>17</v>
      </c>
      <c r="D40" s="36">
        <f>IFERROR(HLOOKUP($J$1,[1]DB!$C$1:$K$172,40,FALSE),"")</f>
        <v>4</v>
      </c>
      <c r="E40" s="36">
        <f>SUMIFS('[1]Rincian Keluar'!$G:$G,'[1]Rincian Keluar'!$E:$E,'KARYA HILS  01'!C40,'[1]Rincian Keluar'!$D:$D,'KARYA HILS  01'!$D$1,'[1]Rincian Keluar'!$H:$H,'KARYA HILS  01'!$J$1,'[1]Rincian Keluar'!$F:$F,'KARYA HILS  01'!M40)</f>
        <v>0</v>
      </c>
      <c r="F40" s="37">
        <v>22000</v>
      </c>
      <c r="G40" s="67">
        <f t="shared" si="8"/>
        <v>0</v>
      </c>
      <c r="H40" s="168"/>
      <c r="I40" s="61"/>
      <c r="J40" s="71"/>
      <c r="K40" s="70"/>
      <c r="M40" s="20" t="str">
        <f t="shared" si="9"/>
        <v>BATA</v>
      </c>
    </row>
    <row r="41" spans="1:13" ht="18" customHeight="1" x14ac:dyDescent="0.25">
      <c r="B41" s="34">
        <v>4</v>
      </c>
      <c r="C41" s="45" t="s">
        <v>50</v>
      </c>
      <c r="D41" s="36">
        <f>IFERROR(HLOOKUP($J$1,[1]DB!$C$1:$K$172,41,FALSE),"")</f>
        <v>7</v>
      </c>
      <c r="E41" s="36">
        <f>SUMIFS('[1]Rincian Keluar'!$G:$G,'[1]Rincian Keluar'!$E:$E,'KARYA HILS  01'!C41,'[1]Rincian Keluar'!$D:$D,'KARYA HILS  01'!$D$1,'[1]Rincian Keluar'!$H:$H,'KARYA HILS  01'!$J$1,'[1]Rincian Keluar'!$F:$F,'KARYA HILS  01'!M41)</f>
        <v>0</v>
      </c>
      <c r="F41" s="37">
        <v>35000</v>
      </c>
      <c r="G41" s="67">
        <f t="shared" si="8"/>
        <v>0</v>
      </c>
      <c r="H41" s="168"/>
      <c r="I41" s="61"/>
      <c r="J41" s="71"/>
      <c r="K41" s="70"/>
      <c r="M41" s="20" t="str">
        <f t="shared" si="9"/>
        <v>BATA</v>
      </c>
    </row>
    <row r="42" spans="1:13" ht="18" customHeight="1" x14ac:dyDescent="0.25">
      <c r="B42" s="34">
        <v>5</v>
      </c>
      <c r="C42" s="45" t="s">
        <v>51</v>
      </c>
      <c r="D42" s="36">
        <f>IFERROR(HLOOKUP($J$1,[1]DB!$C$1:$K$172,42,FALSE),"")</f>
        <v>1</v>
      </c>
      <c r="E42" s="36">
        <f>SUMIFS('[1]Rincian Keluar'!$G:$G,'[1]Rincian Keluar'!$E:$E,'KARYA HILS  01'!C42,'[1]Rincian Keluar'!$D:$D,'KARYA HILS  01'!$D$1,'[1]Rincian Keluar'!$H:$H,'KARYA HILS  01'!$J$1,'[1]Rincian Keluar'!$F:$F,'KARYA HILS  01'!M42)</f>
        <v>0</v>
      </c>
      <c r="F42" s="37">
        <f>F40</f>
        <v>22000</v>
      </c>
      <c r="G42" s="67">
        <f t="shared" si="8"/>
        <v>0</v>
      </c>
      <c r="H42" s="168"/>
      <c r="I42" s="61"/>
      <c r="J42" s="71"/>
      <c r="K42" s="70"/>
      <c r="M42" s="20" t="str">
        <f t="shared" si="9"/>
        <v>BATA</v>
      </c>
    </row>
    <row r="43" spans="1:13" ht="18" customHeight="1" x14ac:dyDescent="0.25">
      <c r="B43" s="34">
        <v>6</v>
      </c>
      <c r="C43" s="45" t="s">
        <v>52</v>
      </c>
      <c r="D43" s="36">
        <f>IFERROR(HLOOKUP($J$1,[1]DB!$C$1:$K$172,43,FALSE),"")</f>
        <v>1</v>
      </c>
      <c r="E43" s="36">
        <f>SUMIFS('[1]Rincian Keluar'!$G:$G,'[1]Rincian Keluar'!$E:$E,'KARYA HILS  01'!C43,'[1]Rincian Keluar'!$D:$D,'KARYA HILS  01'!$D$1,'[1]Rincian Keluar'!$H:$H,'KARYA HILS  01'!$J$1,'[1]Rincian Keluar'!$F:$F,'KARYA HILS  01'!M43)</f>
        <v>0</v>
      </c>
      <c r="F43" s="46">
        <v>363250</v>
      </c>
      <c r="G43" s="67">
        <f t="shared" si="8"/>
        <v>0</v>
      </c>
      <c r="H43" s="168"/>
      <c r="I43" s="61"/>
      <c r="J43" s="71"/>
      <c r="K43" s="70"/>
      <c r="M43" s="20" t="str">
        <f t="shared" si="9"/>
        <v>BATA</v>
      </c>
    </row>
    <row r="44" spans="1:13" ht="18" customHeight="1" x14ac:dyDescent="0.25">
      <c r="B44" s="34">
        <v>7</v>
      </c>
      <c r="C44" s="45" t="s">
        <v>53</v>
      </c>
      <c r="D44" s="36">
        <f>IFERROR(HLOOKUP($J$1,[1]DB!$C$1:$K$172,44,FALSE),"")</f>
        <v>3</v>
      </c>
      <c r="E44" s="36">
        <f>SUMIFS('[1]Rincian Keluar'!$G:$G,'[1]Rincian Keluar'!$E:$E,'KARYA HILS  01'!C44,'[1]Rincian Keluar'!$D:$D,'KARYA HILS  01'!$D$1,'[1]Rincian Keluar'!$H:$H,'KARYA HILS  01'!$J$1,'[1]Rincian Keluar'!$F:$F,'KARYA HILS  01'!M44)</f>
        <v>0</v>
      </c>
      <c r="F44" s="46">
        <v>337050</v>
      </c>
      <c r="G44" s="67">
        <f t="shared" si="8"/>
        <v>0</v>
      </c>
      <c r="H44" s="168"/>
      <c r="I44" s="61"/>
      <c r="J44" s="71"/>
      <c r="K44" s="70"/>
      <c r="M44" s="20" t="str">
        <f t="shared" si="9"/>
        <v>BATA</v>
      </c>
    </row>
    <row r="45" spans="1:13" ht="18" customHeight="1" x14ac:dyDescent="0.25">
      <c r="B45" s="34">
        <v>8</v>
      </c>
      <c r="C45" s="72" t="s">
        <v>54</v>
      </c>
      <c r="D45" s="36">
        <f>IFERROR(HLOOKUP($J$1,[1]DB!$C$1:$K$172,45,FALSE),"")</f>
        <v>1863</v>
      </c>
      <c r="E45" s="36">
        <f>SUMIFS('[1]Rincian Keluar'!$G:$G,'[1]Rincian Keluar'!$E:$E,'KARYA HILS  01'!C45,'[1]Rincian Keluar'!$D:$D,'KARYA HILS  01'!$D$1,'[1]Rincian Keluar'!$H:$H,'KARYA HILS  01'!$J$1,'[1]Rincian Keluar'!$F:$F,'KARYA HILS  01'!M45)</f>
        <v>0</v>
      </c>
      <c r="F45" s="37">
        <v>1850</v>
      </c>
      <c r="G45" s="67">
        <f t="shared" si="8"/>
        <v>0</v>
      </c>
      <c r="H45" s="168"/>
      <c r="I45" s="61"/>
      <c r="J45" s="71"/>
      <c r="K45" s="70"/>
      <c r="M45" s="20" t="str">
        <f t="shared" si="9"/>
        <v>BATA</v>
      </c>
    </row>
    <row r="46" spans="1:13" ht="18" customHeight="1" x14ac:dyDescent="0.25">
      <c r="B46" s="34">
        <v>9</v>
      </c>
      <c r="C46" s="45" t="s">
        <v>24</v>
      </c>
      <c r="D46" s="36">
        <f>IFERROR(HLOOKUP($J$1,[1]DB!$C$1:$K$172,46,FALSE),"")</f>
        <v>15</v>
      </c>
      <c r="E46" s="36">
        <f>SUMIFS('[1]Rincian Keluar'!$G:$G,'[1]Rincian Keluar'!$E:$E,'KARYA HILS  01'!C46,'[1]Rincian Keluar'!$D:$D,'KARYA HILS  01'!$D$1,'[1]Rincian Keluar'!$H:$H,'KARYA HILS  01'!$J$1,'[1]Rincian Keluar'!$F:$F,'KARYA HILS  01'!M46)</f>
        <v>0</v>
      </c>
      <c r="F46" s="37">
        <v>60700</v>
      </c>
      <c r="G46" s="67">
        <f t="shared" si="8"/>
        <v>0</v>
      </c>
      <c r="H46" s="168"/>
      <c r="I46" s="61"/>
      <c r="J46" s="71"/>
      <c r="K46" s="70"/>
      <c r="M46" s="20" t="str">
        <f t="shared" si="9"/>
        <v>BATA</v>
      </c>
    </row>
    <row r="47" spans="1:13" ht="18" customHeight="1" x14ac:dyDescent="0.25">
      <c r="B47" s="34">
        <v>10</v>
      </c>
      <c r="C47" s="72" t="s">
        <v>31</v>
      </c>
      <c r="D47" s="36">
        <f>IFERROR(HLOOKUP($J$1,[1]DB!$C$1:$K$172,47,FALSE),"")</f>
        <v>4</v>
      </c>
      <c r="E47" s="36">
        <f>SUMIFS('[1]Rincian Keluar'!$G:$G,'[1]Rincian Keluar'!$E:$E,'KARYA HILS  01'!C47,'[1]Rincian Keluar'!$D:$D,'KARYA HILS  01'!$D$1,'[1]Rincian Keluar'!$H:$H,'KARYA HILS  01'!$J$1,'[1]Rincian Keluar'!$F:$F,'KARYA HILS  01'!M47)</f>
        <v>0</v>
      </c>
      <c r="F47" s="37">
        <v>150000</v>
      </c>
      <c r="G47" s="67">
        <f t="shared" si="8"/>
        <v>0</v>
      </c>
      <c r="H47" s="168"/>
      <c r="I47" s="61"/>
      <c r="J47" s="71"/>
      <c r="K47" s="70"/>
      <c r="M47" s="20" t="str">
        <f t="shared" si="9"/>
        <v>BATA</v>
      </c>
    </row>
    <row r="48" spans="1:13" s="20" customFormat="1" ht="18" customHeight="1" x14ac:dyDescent="0.25">
      <c r="A48" s="1"/>
      <c r="B48" s="34">
        <v>11</v>
      </c>
      <c r="C48" s="72" t="s">
        <v>17</v>
      </c>
      <c r="D48" s="36">
        <f>IFERROR(HLOOKUP($J$1,[1]DB!$C$1:$K$172,48,FALSE),"")</f>
        <v>4</v>
      </c>
      <c r="E48" s="36">
        <f>SUMIFS('[1]Rincian Keluar'!$G:$G,'[1]Rincian Keluar'!$E:$E,'KARYA HILS  01'!C48,'[1]Rincian Keluar'!$D:$D,'KARYA HILS  01'!$D$1,'[1]Rincian Keluar'!$H:$H,'KARYA HILS  01'!$J$1,'[1]Rincian Keluar'!$F:$F,'KARYA HILS  01'!M48)</f>
        <v>0</v>
      </c>
      <c r="F48" s="64">
        <f>F7</f>
        <v>21500</v>
      </c>
      <c r="G48" s="67">
        <f t="shared" si="8"/>
        <v>0</v>
      </c>
      <c r="H48" s="168"/>
      <c r="I48" s="61"/>
      <c r="J48" s="71"/>
      <c r="K48" s="70"/>
      <c r="M48" s="20" t="str">
        <f t="shared" si="9"/>
        <v>BATA</v>
      </c>
    </row>
    <row r="49" spans="1:15" s="20" customFormat="1" ht="18" customHeight="1" x14ac:dyDescent="0.25">
      <c r="A49" s="1"/>
      <c r="B49" s="29" t="s">
        <v>55</v>
      </c>
      <c r="C49" s="65" t="s">
        <v>56</v>
      </c>
      <c r="D49" s="73"/>
      <c r="E49" s="73"/>
      <c r="F49" s="73"/>
      <c r="G49" s="74"/>
      <c r="H49" s="168"/>
      <c r="I49" s="61"/>
      <c r="J49" s="71"/>
      <c r="K49" s="70"/>
      <c r="M49" s="20" t="str">
        <f t="shared" si="9"/>
        <v>BATA</v>
      </c>
    </row>
    <row r="50" spans="1:15" s="20" customFormat="1" ht="18" customHeight="1" x14ac:dyDescent="0.25">
      <c r="A50" s="1"/>
      <c r="B50" s="34">
        <v>1</v>
      </c>
      <c r="C50" s="45" t="s">
        <v>24</v>
      </c>
      <c r="D50" s="36">
        <f>IFERROR(HLOOKUP($J$1,[1]DB!$C$1:$K$172,50,FALSE),"")</f>
        <v>4</v>
      </c>
      <c r="E50" s="36">
        <f>SUMIFS('[1]Rincian Keluar'!$G:$G,'[1]Rincian Keluar'!$E:$E,'KARYA HILS  01'!C50,'[1]Rincian Keluar'!$D:$D,'KARYA HILS  01'!$D$1,'[1]Rincian Keluar'!$H:$H,'KARYA HILS  01'!$J$1,'[1]Rincian Keluar'!$F:$F,'KARYA HILS  01'!M50)</f>
        <v>0</v>
      </c>
      <c r="F50" s="37">
        <v>60700</v>
      </c>
      <c r="G50" s="67">
        <f t="shared" si="8"/>
        <v>0</v>
      </c>
      <c r="H50" s="168"/>
      <c r="I50" s="61"/>
      <c r="J50" s="71"/>
      <c r="K50" s="70"/>
      <c r="M50" s="20" t="str">
        <f t="shared" si="9"/>
        <v>BATA</v>
      </c>
    </row>
    <row r="51" spans="1:15" s="20" customFormat="1" ht="18" customHeight="1" x14ac:dyDescent="0.25">
      <c r="A51" s="1"/>
      <c r="B51" s="34">
        <v>2</v>
      </c>
      <c r="C51" s="72" t="s">
        <v>31</v>
      </c>
      <c r="D51" s="36">
        <f>IFERROR(HLOOKUP($J$1,[1]DB!$C$1:$K$172,51,FALSE),"")</f>
        <v>1</v>
      </c>
      <c r="E51" s="36">
        <f>SUMIFS('[1]Rincian Keluar'!$G:$G,'[1]Rincian Keluar'!$E:$E,'KARYA HILS  01'!C51,'[1]Rincian Keluar'!$D:$D,'KARYA HILS  01'!$D$1,'[1]Rincian Keluar'!$H:$H,'KARYA HILS  01'!$J$1,'[1]Rincian Keluar'!$F:$F,'KARYA HILS  01'!M51)</f>
        <v>0</v>
      </c>
      <c r="F51" s="37">
        <v>150000</v>
      </c>
      <c r="G51" s="67">
        <f t="shared" si="8"/>
        <v>0</v>
      </c>
      <c r="H51" s="168"/>
      <c r="I51" s="61"/>
      <c r="J51" s="71"/>
      <c r="K51" s="70"/>
      <c r="M51" s="20" t="str">
        <f t="shared" si="9"/>
        <v>BATA</v>
      </c>
    </row>
    <row r="52" spans="1:15" s="20" customFormat="1" ht="18" customHeight="1" x14ac:dyDescent="0.25">
      <c r="A52" s="1"/>
      <c r="B52" s="34">
        <v>3</v>
      </c>
      <c r="C52" s="72" t="s">
        <v>23</v>
      </c>
      <c r="D52" s="36">
        <f>IFERROR(HLOOKUP($J$1,[1]DB!$C$1:$K$172,52,FALSE),"")</f>
        <v>1</v>
      </c>
      <c r="E52" s="36">
        <f>SUMIFS('[1]Rincian Keluar'!$G:$G,'[1]Rincian Keluar'!$E:$E,'KARYA HILS  01'!C52,'[1]Rincian Keluar'!$D:$D,'KARYA HILS  01'!$D$1,'[1]Rincian Keluar'!$H:$H,'KARYA HILS  01'!$J$1,'[1]Rincian Keluar'!$F:$F,'KARYA HILS  01'!M52)</f>
        <v>0</v>
      </c>
      <c r="F52" s="37"/>
      <c r="G52" s="67">
        <f t="shared" si="8"/>
        <v>0</v>
      </c>
      <c r="H52" s="168"/>
      <c r="I52" s="61"/>
      <c r="J52" s="71"/>
      <c r="K52" s="70"/>
      <c r="M52" s="20" t="str">
        <f t="shared" si="9"/>
        <v>BATA</v>
      </c>
    </row>
    <row r="53" spans="1:15" s="20" customFormat="1" ht="18" customHeight="1" x14ac:dyDescent="0.25">
      <c r="A53" s="1"/>
      <c r="B53" s="34">
        <v>4</v>
      </c>
      <c r="C53" s="45" t="s">
        <v>51</v>
      </c>
      <c r="D53" s="36">
        <f>IFERROR(HLOOKUP($J$1,[1]DB!$C$1:$K$172,53,FALSE),"")</f>
        <v>2</v>
      </c>
      <c r="E53" s="36">
        <f>SUMIFS('[1]Rincian Keluar'!$G:$G,'[1]Rincian Keluar'!$E:$E,'KARYA HILS  01'!C53,'[1]Rincian Keluar'!$D:$D,'KARYA HILS  01'!$D$1,'[1]Rincian Keluar'!$H:$H,'KARYA HILS  01'!$J$1,'[1]Rincian Keluar'!$F:$F,'KARYA HILS  01'!M53)</f>
        <v>0</v>
      </c>
      <c r="F53" s="37">
        <v>22000</v>
      </c>
      <c r="G53" s="67">
        <f t="shared" si="8"/>
        <v>0</v>
      </c>
      <c r="H53" s="168"/>
      <c r="I53" s="61"/>
      <c r="J53" s="71"/>
      <c r="K53" s="70"/>
      <c r="M53" s="20" t="str">
        <f t="shared" si="9"/>
        <v>BATA</v>
      </c>
    </row>
    <row r="54" spans="1:15" s="20" customFormat="1" ht="18" customHeight="1" x14ac:dyDescent="0.25">
      <c r="A54" s="1"/>
      <c r="B54" s="34">
        <v>5</v>
      </c>
      <c r="C54" s="45" t="s">
        <v>57</v>
      </c>
      <c r="D54" s="36">
        <f>IFERROR(HLOOKUP($J$1,[1]DB!$C$1:$K$172,54,FALSE),"")</f>
        <v>3</v>
      </c>
      <c r="E54" s="36">
        <f>SUMIFS('[1]Rincian Keluar'!$G:$G,'[1]Rincian Keluar'!$E:$E,'KARYA HILS  01'!C54,'[1]Rincian Keluar'!$D:$D,'KARYA HILS  01'!$D$1,'[1]Rincian Keluar'!$H:$H,'KARYA HILS  01'!$J$1,'[1]Rincian Keluar'!$F:$F,'KARYA HILS  01'!M54)</f>
        <v>0</v>
      </c>
      <c r="F54" s="37">
        <v>35000</v>
      </c>
      <c r="G54" s="67">
        <f t="shared" si="8"/>
        <v>0</v>
      </c>
      <c r="H54" s="168"/>
      <c r="I54" s="61"/>
      <c r="J54" s="71"/>
      <c r="K54" s="70"/>
      <c r="M54" s="20" t="str">
        <f t="shared" si="9"/>
        <v>BATA</v>
      </c>
    </row>
    <row r="55" spans="1:15" s="20" customFormat="1" ht="18" customHeight="1" x14ac:dyDescent="0.25">
      <c r="A55" s="1"/>
      <c r="B55" s="34">
        <v>6</v>
      </c>
      <c r="C55" s="45" t="s">
        <v>58</v>
      </c>
      <c r="D55" s="36">
        <f>IFERROR(HLOOKUP($J$1,[1]DB!$C$1:$K$172,55,FALSE),"")</f>
        <v>1</v>
      </c>
      <c r="E55" s="36">
        <f>SUMIFS('[1]Rincian Keluar'!$G:$G,'[1]Rincian Keluar'!$E:$E,'KARYA HILS  01'!C55,'[1]Rincian Keluar'!$D:$D,'KARYA HILS  01'!$D$1,'[1]Rincian Keluar'!$H:$H,'KARYA HILS  01'!$J$1,'[1]Rincian Keluar'!$F:$F,'KARYA HILS  01'!M55)</f>
        <v>0</v>
      </c>
      <c r="F55" s="37">
        <v>130000</v>
      </c>
      <c r="G55" s="67">
        <f t="shared" si="8"/>
        <v>0</v>
      </c>
      <c r="H55" s="168"/>
      <c r="I55" s="61"/>
      <c r="J55" s="71"/>
      <c r="K55" s="70"/>
      <c r="M55" s="20" t="str">
        <f t="shared" si="9"/>
        <v>BATA</v>
      </c>
    </row>
    <row r="56" spans="1:15" s="20" customFormat="1" ht="18" customHeight="1" x14ac:dyDescent="0.25">
      <c r="A56" s="1"/>
      <c r="B56" s="34">
        <v>7</v>
      </c>
      <c r="C56" s="45" t="s">
        <v>19</v>
      </c>
      <c r="D56" s="36">
        <f>IFERROR(HLOOKUP($J$1,[1]DB!$C$1:$K$172,56,FALSE),"")</f>
        <v>16</v>
      </c>
      <c r="E56" s="36">
        <f>SUMIFS('[1]Rincian Keluar'!$G:$G,'[1]Rincian Keluar'!$E:$E,'KARYA HILS  01'!C56,'[1]Rincian Keluar'!$D:$D,'KARYA HILS  01'!$D$1,'[1]Rincian Keluar'!$H:$H,'KARYA HILS  01'!$J$1,'[1]Rincian Keluar'!$F:$F,'KARYA HILS  01'!M56)</f>
        <v>0</v>
      </c>
      <c r="F56" s="46">
        <v>11000</v>
      </c>
      <c r="G56" s="67">
        <f t="shared" si="8"/>
        <v>0</v>
      </c>
      <c r="H56" s="168"/>
      <c r="I56" s="61"/>
      <c r="J56" s="71"/>
      <c r="K56" s="70"/>
      <c r="M56" s="20" t="str">
        <f t="shared" si="9"/>
        <v>BATA</v>
      </c>
    </row>
    <row r="57" spans="1:15" s="20" customFormat="1" ht="18" customHeight="1" x14ac:dyDescent="0.25">
      <c r="A57" s="1"/>
      <c r="B57" s="34">
        <v>8</v>
      </c>
      <c r="C57" s="45" t="s">
        <v>54</v>
      </c>
      <c r="D57" s="36">
        <f>IFERROR(HLOOKUP($J$1,[1]DB!$C$1:$K$172,57,FALSE),"")</f>
        <v>59</v>
      </c>
      <c r="E57" s="36">
        <f>SUMIFS('[1]Rincian Keluar'!$G:$G,'[1]Rincian Keluar'!$E:$E,'KARYA HILS  01'!C57,'[1]Rincian Keluar'!$D:$D,'KARYA HILS  01'!$D$1,'[1]Rincian Keluar'!$H:$H,'KARYA HILS  01'!$J$1,'[1]Rincian Keluar'!$F:$F,'KARYA HILS  01'!M57)</f>
        <v>0</v>
      </c>
      <c r="F57" s="37">
        <v>1850</v>
      </c>
      <c r="G57" s="67">
        <f t="shared" si="8"/>
        <v>0</v>
      </c>
      <c r="H57" s="168"/>
      <c r="I57" s="61"/>
      <c r="J57" s="71"/>
      <c r="K57" s="70"/>
      <c r="M57" s="20" t="str">
        <f t="shared" si="9"/>
        <v>BATA</v>
      </c>
    </row>
    <row r="58" spans="1:15" s="20" customFormat="1" ht="18" customHeight="1" x14ac:dyDescent="0.25">
      <c r="A58" s="1"/>
      <c r="B58" s="34">
        <v>9</v>
      </c>
      <c r="C58" s="45" t="s">
        <v>20</v>
      </c>
      <c r="D58" s="36">
        <f>IFERROR(HLOOKUP($J$1,[1]DB!$C$1:$K$172,58,FALSE),"")</f>
        <v>6</v>
      </c>
      <c r="E58" s="36">
        <f>SUMIFS('[1]Rincian Keluar'!$G:$G,'[1]Rincian Keluar'!$E:$E,'KARYA HILS  01'!C58,'[1]Rincian Keluar'!$D:$D,'KARYA HILS  01'!$D$1,'[1]Rincian Keluar'!$H:$H,'KARYA HILS  01'!$J$1,'[1]Rincian Keluar'!$F:$F,'KARYA HILS  01'!M58)</f>
        <v>0</v>
      </c>
      <c r="F58" s="37">
        <v>8000</v>
      </c>
      <c r="G58" s="67">
        <f t="shared" si="8"/>
        <v>0</v>
      </c>
      <c r="H58" s="168"/>
      <c r="I58" s="61"/>
      <c r="J58" s="71"/>
      <c r="K58" s="70"/>
      <c r="M58" s="20" t="str">
        <f t="shared" si="9"/>
        <v>BATA</v>
      </c>
    </row>
    <row r="59" spans="1:15" s="20" customFormat="1" ht="18" customHeight="1" x14ac:dyDescent="0.25">
      <c r="A59" s="1"/>
      <c r="B59" s="34">
        <v>10</v>
      </c>
      <c r="C59" s="45" t="s">
        <v>21</v>
      </c>
      <c r="D59" s="36">
        <f>IFERROR(HLOOKUP($J$1,[1]DB!$C$1:$K$172,59,FALSE),"")</f>
        <v>5</v>
      </c>
      <c r="E59" s="36">
        <f>SUMIFS('[1]Rincian Keluar'!$G:$G,'[1]Rincian Keluar'!$E:$E,'KARYA HILS  01'!C59,'[1]Rincian Keluar'!$D:$D,'KARYA HILS  01'!$D$1,'[1]Rincian Keluar'!$H:$H,'KARYA HILS  01'!$J$1,'[1]Rincian Keluar'!$F:$F,'KARYA HILS  01'!M59)</f>
        <v>0</v>
      </c>
      <c r="F59" s="37">
        <v>11000</v>
      </c>
      <c r="G59" s="67">
        <f t="shared" si="8"/>
        <v>0</v>
      </c>
      <c r="H59" s="168"/>
      <c r="I59" s="61"/>
      <c r="J59" s="71"/>
      <c r="K59" s="70"/>
      <c r="M59" s="20" t="str">
        <f t="shared" si="9"/>
        <v>BATA</v>
      </c>
    </row>
    <row r="60" spans="1:15" s="20" customFormat="1" ht="18" customHeight="1" x14ac:dyDescent="0.25">
      <c r="A60" s="1"/>
      <c r="B60" s="29" t="s">
        <v>59</v>
      </c>
      <c r="C60" s="65" t="s">
        <v>60</v>
      </c>
      <c r="D60" s="31"/>
      <c r="E60" s="31"/>
      <c r="F60" s="31"/>
      <c r="G60" s="31"/>
      <c r="H60" s="31"/>
      <c r="I60" s="32"/>
      <c r="J60" s="31"/>
      <c r="K60" s="33"/>
    </row>
    <row r="61" spans="1:15" s="20" customFormat="1" ht="18" customHeight="1" x14ac:dyDescent="0.25">
      <c r="A61" s="1"/>
      <c r="B61" s="34">
        <v>1</v>
      </c>
      <c r="C61" s="45" t="s">
        <v>24</v>
      </c>
      <c r="D61" s="36">
        <f>IFERROR(HLOOKUP($J$1,[1]DB!$C$1:$K$172,61,FALSE),"")</f>
        <v>28</v>
      </c>
      <c r="E61" s="36">
        <f>SUMIFS('[1]Rincian Keluar'!$G:$G,'[1]Rincian Keluar'!$E:$E,'KARYA HILS  01'!C61,'[1]Rincian Keluar'!$D:$D,'KARYA HILS  01'!$D$1,'[1]Rincian Keluar'!$H:$H,'KARYA HILS  01'!$J$1,'[1]Rincian Keluar'!$F:$F,'KARYA HILS  01'!M61)</f>
        <v>0</v>
      </c>
      <c r="F61" s="37">
        <v>60700</v>
      </c>
      <c r="G61" s="75">
        <f>E61*F61</f>
        <v>0</v>
      </c>
      <c r="H61" s="136"/>
      <c r="I61" s="76">
        <f>IFERROR(VLOOKUP($C60,[1]HK!$B$5:$C$14,2,FALSE),"")*$J1</f>
        <v>2500000</v>
      </c>
      <c r="J61" s="169">
        <f>E61*F61</f>
        <v>0</v>
      </c>
      <c r="K61" s="41">
        <v>0.68</v>
      </c>
      <c r="M61" s="20" t="str">
        <f>$C$60</f>
        <v>PLASTER</v>
      </c>
      <c r="O61" s="20" t="s">
        <v>61</v>
      </c>
    </row>
    <row r="62" spans="1:15" s="20" customFormat="1" ht="18" customHeight="1" x14ac:dyDescent="0.25">
      <c r="A62" s="1"/>
      <c r="B62" s="34">
        <v>2</v>
      </c>
      <c r="C62" s="72" t="s">
        <v>31</v>
      </c>
      <c r="D62" s="36">
        <f>IFERROR(HLOOKUP($J$1,[1]DB!$C$1:$K$172,62,FALSE),"")</f>
        <v>6</v>
      </c>
      <c r="E62" s="36">
        <f>SUMIFS('[1]Rincian Keluar'!$G:$G,'[1]Rincian Keluar'!$E:$E,'KARYA HILS  01'!C62,'[1]Rincian Keluar'!$D:$D,'KARYA HILS  01'!$D$1,'[1]Rincian Keluar'!$H:$H,'KARYA HILS  01'!$J$1,'[1]Rincian Keluar'!$F:$F,'KARYA HILS  01'!M62)</f>
        <v>0</v>
      </c>
      <c r="F62" s="37">
        <v>150000</v>
      </c>
      <c r="G62" s="75">
        <f t="shared" ref="G62:G63" si="10">E62*F62</f>
        <v>0</v>
      </c>
      <c r="H62" s="138"/>
      <c r="I62" s="78"/>
      <c r="J62" s="170"/>
      <c r="K62" s="44"/>
      <c r="M62" s="20" t="str">
        <f t="shared" ref="M62:M63" si="11">$C$60</f>
        <v>PLASTER</v>
      </c>
    </row>
    <row r="63" spans="1:15" ht="18" customHeight="1" x14ac:dyDescent="0.25">
      <c r="B63" s="34">
        <v>3</v>
      </c>
      <c r="C63" s="72" t="s">
        <v>62</v>
      </c>
      <c r="D63" s="36">
        <f>IFERROR(HLOOKUP($J$1,[1]DB!$C$1:$K$172,63,FALSE),"")</f>
        <v>5</v>
      </c>
      <c r="E63" s="36">
        <f>SUMIFS('[1]Rincian Keluar'!$G:$G,'[1]Rincian Keluar'!$E:$E,'KARYA HILS  01'!C63,'[1]Rincian Keluar'!$D:$D,'KARYA HILS  01'!$D$1,'[1]Rincian Keluar'!$H:$H,'KARYA HILS  01'!$J$1,'[1]Rincian Keluar'!$F:$F,'KARYA HILS  01'!M63)</f>
        <v>0</v>
      </c>
      <c r="F63" s="57">
        <v>8600</v>
      </c>
      <c r="G63" s="75">
        <f t="shared" si="10"/>
        <v>0</v>
      </c>
      <c r="H63" s="140"/>
      <c r="I63" s="80"/>
      <c r="J63" s="171"/>
      <c r="K63" s="49"/>
      <c r="M63" s="20" t="str">
        <f t="shared" si="11"/>
        <v>PLASTER</v>
      </c>
    </row>
    <row r="64" spans="1:15" ht="18" customHeight="1" x14ac:dyDescent="0.25">
      <c r="B64" s="29" t="s">
        <v>63</v>
      </c>
      <c r="C64" s="50" t="s">
        <v>64</v>
      </c>
      <c r="D64" s="31"/>
      <c r="E64" s="31"/>
      <c r="F64" s="31"/>
      <c r="G64" s="31"/>
      <c r="H64" s="31"/>
      <c r="I64" s="32"/>
      <c r="J64" s="31"/>
      <c r="K64" s="33"/>
      <c r="M64" s="20"/>
    </row>
    <row r="65" spans="1:13" ht="18" customHeight="1" x14ac:dyDescent="0.25">
      <c r="B65" s="34">
        <v>1</v>
      </c>
      <c r="C65" s="45" t="s">
        <v>19</v>
      </c>
      <c r="D65" s="36">
        <f>IFERROR(HLOOKUP($J$1,[1]DB!$C$1:$K$172,65,FALSE),"")</f>
        <v>48</v>
      </c>
      <c r="E65" s="36">
        <f>SUMIFS('[1]Rincian Keluar'!$G:$G,'[1]Rincian Keluar'!$E:$E,'KARYA HILS  01'!C65,'[1]Rincian Keluar'!$D:$D,'KARYA HILS  01'!$D$1,'[1]Rincian Keluar'!$H:$H,'KARYA HILS  01'!$J$1,'[1]Rincian Keluar'!$F:$F,'KARYA HILS  01'!M65)</f>
        <v>0</v>
      </c>
      <c r="F65" s="46">
        <v>11000</v>
      </c>
      <c r="G65" s="82">
        <f>E65*F65</f>
        <v>0</v>
      </c>
      <c r="H65" s="136"/>
      <c r="I65" s="39">
        <f>IFERROR(VLOOKUP($C64,[1]HK!$B$5:$C$14,2,FALSE),"")*$J1</f>
        <v>1336000</v>
      </c>
      <c r="J65" s="137"/>
      <c r="K65" s="84"/>
      <c r="M65" s="20" t="str">
        <f>$C$64</f>
        <v>ATAP</v>
      </c>
    </row>
    <row r="66" spans="1:13" ht="18" customHeight="1" x14ac:dyDescent="0.25">
      <c r="B66" s="34">
        <v>2</v>
      </c>
      <c r="C66" s="45" t="s">
        <v>65</v>
      </c>
      <c r="D66" s="36">
        <f>IFERROR(HLOOKUP($J$1,[1]DB!$C$1:$K$172,66,FALSE),"")</f>
        <v>32</v>
      </c>
      <c r="E66" s="36">
        <f>SUMIFS('[1]Rincian Keluar'!$G:$G,'[1]Rincian Keluar'!$E:$E,'KARYA HILS  01'!C66,'[1]Rincian Keluar'!$D:$D,'KARYA HILS  01'!$D$1,'[1]Rincian Keluar'!$H:$H,'KARYA HILS  01'!$J$1,'[1]Rincian Keluar'!$F:$F,'KARYA HILS  01'!M66)</f>
        <v>0</v>
      </c>
      <c r="F66" s="85">
        <v>15000</v>
      </c>
      <c r="G66" s="82">
        <f t="shared" ref="G66:G74" si="12">E66*F66</f>
        <v>0</v>
      </c>
      <c r="H66" s="138"/>
      <c r="I66" s="42"/>
      <c r="J66" s="104"/>
      <c r="K66" s="87"/>
      <c r="M66" s="20" t="str">
        <f t="shared" ref="M66:M74" si="13">$C$64</f>
        <v>ATAP</v>
      </c>
    </row>
    <row r="67" spans="1:13" ht="18" customHeight="1" x14ac:dyDescent="0.25">
      <c r="B67" s="34">
        <v>3</v>
      </c>
      <c r="C67" s="45" t="s">
        <v>66</v>
      </c>
      <c r="D67" s="36">
        <f>IFERROR(HLOOKUP($J$1,[1]DB!$C$1:$K$172,67,FALSE),"")</f>
        <v>23</v>
      </c>
      <c r="E67" s="36">
        <f>SUMIFS('[1]Rincian Keluar'!$G:$G,'[1]Rincian Keluar'!$E:$E,'KARYA HILS  01'!C67,'[1]Rincian Keluar'!$D:$D,'KARYA HILS  01'!$D$1,'[1]Rincian Keluar'!$H:$H,'KARYA HILS  01'!$J$1,'[1]Rincian Keluar'!$F:$F,'KARYA HILS  01'!M67)</f>
        <v>0</v>
      </c>
      <c r="F67" s="85">
        <v>30000</v>
      </c>
      <c r="G67" s="82">
        <f t="shared" si="12"/>
        <v>0</v>
      </c>
      <c r="H67" s="138"/>
      <c r="I67" s="42"/>
      <c r="J67" s="104"/>
      <c r="K67" s="87"/>
      <c r="M67" s="20" t="str">
        <f t="shared" si="13"/>
        <v>ATAP</v>
      </c>
    </row>
    <row r="68" spans="1:13" ht="18" customHeight="1" x14ac:dyDescent="0.25">
      <c r="B68" s="34">
        <v>4</v>
      </c>
      <c r="C68" s="35" t="s">
        <v>67</v>
      </c>
      <c r="D68" s="36">
        <f>IFERROR(HLOOKUP($J$1,[1]DB!$C$1:$K$172,68,FALSE),"")</f>
        <v>7</v>
      </c>
      <c r="E68" s="36">
        <f>SUMIFS('[1]Rincian Keluar'!$G:$G,'[1]Rincian Keluar'!$E:$E,'KARYA HILS  01'!C68,'[1]Rincian Keluar'!$D:$D,'KARYA HILS  01'!$D$1,'[1]Rincian Keluar'!$H:$H,'KARYA HILS  01'!$J$1,'[1]Rincian Keluar'!$F:$F,'KARYA HILS  01'!M68)</f>
        <v>0</v>
      </c>
      <c r="F68" s="88">
        <v>60000</v>
      </c>
      <c r="G68" s="82">
        <f t="shared" si="12"/>
        <v>0</v>
      </c>
      <c r="H68" s="138"/>
      <c r="I68" s="42"/>
      <c r="J68" s="104"/>
      <c r="K68" s="87"/>
      <c r="M68" s="20" t="str">
        <f t="shared" si="13"/>
        <v>ATAP</v>
      </c>
    </row>
    <row r="69" spans="1:13" ht="18" customHeight="1" x14ac:dyDescent="0.25">
      <c r="B69" s="34">
        <v>5</v>
      </c>
      <c r="C69" s="35" t="s">
        <v>68</v>
      </c>
      <c r="D69" s="36">
        <f>IFERROR(HLOOKUP($J$1,[1]DB!$C$1:$K$172,69,FALSE),"")</f>
        <v>55</v>
      </c>
      <c r="E69" s="36">
        <f>SUMIFS('[1]Rincian Keluar'!$G:$G,'[1]Rincian Keluar'!$E:$E,'KARYA HILS  01'!C69,'[1]Rincian Keluar'!$D:$D,'KARYA HILS  01'!$D$1,'[1]Rincian Keluar'!$H:$H,'KARYA HILS  01'!$J$1,'[1]Rincian Keluar'!$F:$F,'KARYA HILS  01'!M69)</f>
        <v>0</v>
      </c>
      <c r="F69" s="88">
        <v>52000</v>
      </c>
      <c r="G69" s="82">
        <f t="shared" si="12"/>
        <v>0</v>
      </c>
      <c r="H69" s="138"/>
      <c r="I69" s="42"/>
      <c r="J69" s="104"/>
      <c r="K69" s="87"/>
      <c r="M69" s="20" t="str">
        <f t="shared" si="13"/>
        <v>ATAP</v>
      </c>
    </row>
    <row r="70" spans="1:13" ht="18" customHeight="1" x14ac:dyDescent="0.25">
      <c r="B70" s="34">
        <v>6</v>
      </c>
      <c r="C70" s="35" t="s">
        <v>69</v>
      </c>
      <c r="D70" s="36">
        <f>IFERROR(HLOOKUP($J$1,[1]DB!$C$1:$K$172,70,FALSE),"")</f>
        <v>0</v>
      </c>
      <c r="E70" s="36">
        <f>SUMIFS('[1]Rincian Keluar'!$G:$G,'[1]Rincian Keluar'!$E:$E,'KARYA HILS  01'!C70,'[1]Rincian Keluar'!$D:$D,'KARYA HILS  01'!$D$1,'[1]Rincian Keluar'!$H:$H,'KARYA HILS  01'!$J$1,'[1]Rincian Keluar'!$F:$F,'KARYA HILS  01'!M70)</f>
        <v>0</v>
      </c>
      <c r="F70" s="88">
        <v>36000</v>
      </c>
      <c r="G70" s="82">
        <f t="shared" si="12"/>
        <v>0</v>
      </c>
      <c r="H70" s="138"/>
      <c r="I70" s="42"/>
      <c r="J70" s="104"/>
      <c r="K70" s="87"/>
      <c r="M70" s="20" t="str">
        <f t="shared" si="13"/>
        <v>ATAP</v>
      </c>
    </row>
    <row r="71" spans="1:13" ht="18" customHeight="1" x14ac:dyDescent="0.25">
      <c r="B71" s="34">
        <v>7</v>
      </c>
      <c r="C71" s="35" t="s">
        <v>70</v>
      </c>
      <c r="D71" s="36">
        <f>IFERROR(HLOOKUP($J$1,[1]DB!$C$1:$K$172,71,FALSE),"")</f>
        <v>0</v>
      </c>
      <c r="E71" s="36">
        <f>SUMIFS('[1]Rincian Keluar'!$G:$G,'[1]Rincian Keluar'!$E:$E,'KARYA HILS  01'!C71,'[1]Rincian Keluar'!$D:$D,'KARYA HILS  01'!$D$1,'[1]Rincian Keluar'!$H:$H,'KARYA HILS  01'!$J$1,'[1]Rincian Keluar'!$F:$F,'KARYA HILS  01'!M71)</f>
        <v>0</v>
      </c>
      <c r="F71" s="88">
        <v>50000</v>
      </c>
      <c r="G71" s="82">
        <f t="shared" si="12"/>
        <v>0</v>
      </c>
      <c r="H71" s="138"/>
      <c r="I71" s="42"/>
      <c r="J71" s="104"/>
      <c r="K71" s="87"/>
      <c r="M71" s="20" t="str">
        <f t="shared" si="13"/>
        <v>ATAP</v>
      </c>
    </row>
    <row r="72" spans="1:13" ht="18" customHeight="1" x14ac:dyDescent="0.25">
      <c r="B72" s="34">
        <v>8</v>
      </c>
      <c r="C72" s="35" t="s">
        <v>71</v>
      </c>
      <c r="D72" s="36">
        <f>IFERROR(HLOOKUP($J$1,[1]DB!$C$1:$K$172,72,FALSE),"")</f>
        <v>1.5</v>
      </c>
      <c r="E72" s="36">
        <f>SUMIFS('[1]Rincian Keluar'!$G:$G,'[1]Rincian Keluar'!$E:$E,'KARYA HILS  01'!C72,'[1]Rincian Keluar'!$D:$D,'KARYA HILS  01'!$D$1,'[1]Rincian Keluar'!$H:$H,'KARYA HILS  01'!$J$1,'[1]Rincian Keluar'!$F:$F,'KARYA HILS  01'!M72)</f>
        <v>0</v>
      </c>
      <c r="F72" s="88">
        <v>650000</v>
      </c>
      <c r="G72" s="82">
        <f t="shared" si="12"/>
        <v>0</v>
      </c>
      <c r="H72" s="138"/>
      <c r="I72" s="42"/>
      <c r="J72" s="104"/>
      <c r="K72" s="87"/>
      <c r="M72" s="20" t="str">
        <f t="shared" si="13"/>
        <v>ATAP</v>
      </c>
    </row>
    <row r="73" spans="1:13" ht="18" customHeight="1" x14ac:dyDescent="0.25">
      <c r="B73" s="34">
        <v>9</v>
      </c>
      <c r="C73" s="35" t="s">
        <v>72</v>
      </c>
      <c r="D73" s="36">
        <f>IFERROR(HLOOKUP($J$1,[1]DB!$C$1:$K$172,73,FALSE),"")</f>
        <v>1</v>
      </c>
      <c r="E73" s="36">
        <f>SUMIFS('[1]Rincian Keluar'!$G:$G,'[1]Rincian Keluar'!$E:$E,'KARYA HILS  01'!C73,'[1]Rincian Keluar'!$D:$D,'KARYA HILS  01'!$D$1,'[1]Rincian Keluar'!$H:$H,'KARYA HILS  01'!$J$1,'[1]Rincian Keluar'!$F:$F,'KARYA HILS  01'!M73)</f>
        <v>0</v>
      </c>
      <c r="F73" s="88">
        <v>130000</v>
      </c>
      <c r="G73" s="82">
        <f t="shared" si="12"/>
        <v>0</v>
      </c>
      <c r="H73" s="138"/>
      <c r="I73" s="42"/>
      <c r="J73" s="104"/>
      <c r="K73" s="87"/>
      <c r="M73" s="20" t="str">
        <f t="shared" si="13"/>
        <v>ATAP</v>
      </c>
    </row>
    <row r="74" spans="1:13" ht="18" customHeight="1" x14ac:dyDescent="0.25">
      <c r="B74" s="34">
        <v>10</v>
      </c>
      <c r="C74" s="35" t="s">
        <v>73</v>
      </c>
      <c r="D74" s="36">
        <f>IFERROR(HLOOKUP($J$1,[1]DB!$C$1:$K$172,74,FALSE),"")</f>
        <v>1</v>
      </c>
      <c r="E74" s="36">
        <f>SUMIFS('[1]Rincian Keluar'!$G:$G,'[1]Rincian Keluar'!$E:$E,'KARYA HILS  01'!C74,'[1]Rincian Keluar'!$D:$D,'KARYA HILS  01'!$D$1,'[1]Rincian Keluar'!$H:$H,'KARYA HILS  01'!$J$1,'[1]Rincian Keluar'!$F:$F,'KARYA HILS  01'!M74)</f>
        <v>0</v>
      </c>
      <c r="F74" s="88">
        <v>130000</v>
      </c>
      <c r="G74" s="82">
        <f t="shared" si="12"/>
        <v>0</v>
      </c>
      <c r="H74" s="140"/>
      <c r="I74" s="47"/>
      <c r="J74" s="106"/>
      <c r="K74" s="90"/>
      <c r="M74" s="20" t="str">
        <f t="shared" si="13"/>
        <v>ATAP</v>
      </c>
    </row>
    <row r="75" spans="1:13" ht="18" customHeight="1" x14ac:dyDescent="0.25">
      <c r="B75" s="29" t="s">
        <v>74</v>
      </c>
      <c r="C75" s="50" t="s">
        <v>75</v>
      </c>
      <c r="D75" s="31"/>
      <c r="E75" s="31"/>
      <c r="F75" s="31"/>
      <c r="G75" s="31"/>
      <c r="H75" s="31"/>
      <c r="I75" s="32"/>
      <c r="J75" s="31"/>
      <c r="K75" s="33"/>
      <c r="M75" s="20"/>
    </row>
    <row r="76" spans="1:13" ht="18" customHeight="1" x14ac:dyDescent="0.25">
      <c r="B76" s="96">
        <v>1</v>
      </c>
      <c r="C76" s="97" t="s">
        <v>19</v>
      </c>
      <c r="D76" s="36">
        <f>IFERROR(HLOOKUP($J$1,[1]DB!$C$1:$K$172,76,FALSE),"")</f>
        <v>69</v>
      </c>
      <c r="E76" s="36">
        <f>SUMIFS('[1]Rincian Keluar'!$G:$G,'[1]Rincian Keluar'!$E:$E,'KARYA HILS  01'!C76,'[1]Rincian Keluar'!$D:$D,'KARYA HILS  01'!$D$1,'[1]Rincian Keluar'!$H:$H,'KARYA HILS  01'!$J$1,'[1]Rincian Keluar'!$F:$F,'KARYA HILS  01'!M76)</f>
        <v>0</v>
      </c>
      <c r="F76" s="46">
        <v>11000</v>
      </c>
      <c r="G76" s="98">
        <f>E76*F76</f>
        <v>0</v>
      </c>
      <c r="H76" s="172"/>
      <c r="I76" s="39">
        <f>IFERROR(VLOOKUP($C75,[1]HK!$B$5:$C$14,2,FALSE),"")*$J1</f>
        <v>780000</v>
      </c>
      <c r="J76" s="173"/>
      <c r="K76" s="103"/>
      <c r="M76" s="20" t="str">
        <f>$C$75</f>
        <v>DEK</v>
      </c>
    </row>
    <row r="77" spans="1:13" ht="18" customHeight="1" x14ac:dyDescent="0.25">
      <c r="B77" s="96">
        <v>2</v>
      </c>
      <c r="C77" s="97" t="s">
        <v>76</v>
      </c>
      <c r="D77" s="36">
        <f>IFERROR(HLOOKUP($J$1,[1]DB!$C$1:$K$172,77,FALSE),"")</f>
        <v>18</v>
      </c>
      <c r="E77" s="36">
        <f>SUMIFS('[1]Rincian Keluar'!$G:$G,'[1]Rincian Keluar'!$E:$E,'KARYA HILS  01'!C77,'[1]Rincian Keluar'!$D:$D,'KARYA HILS  01'!$D$1,'[1]Rincian Keluar'!$H:$H,'KARYA HILS  01'!$J$1,'[1]Rincian Keluar'!$F:$F,'KARYA HILS  01'!M77)</f>
        <v>0</v>
      </c>
      <c r="F77" s="57">
        <v>60000</v>
      </c>
      <c r="G77" s="98">
        <f t="shared" ref="G77:G81" si="14">E77*F77</f>
        <v>0</v>
      </c>
      <c r="H77" s="119"/>
      <c r="I77" s="42"/>
      <c r="J77" s="111"/>
      <c r="K77" s="105"/>
      <c r="M77" s="20" t="str">
        <f t="shared" ref="M77:M81" si="15">$C$75</f>
        <v>DEK</v>
      </c>
    </row>
    <row r="78" spans="1:13" ht="18" customHeight="1" x14ac:dyDescent="0.25">
      <c r="B78" s="96">
        <v>3</v>
      </c>
      <c r="C78" s="97" t="s">
        <v>77</v>
      </c>
      <c r="D78" s="36">
        <f>IFERROR(HLOOKUP($J$1,[1]DB!$C$1:$K$172,78,FALSE),"")</f>
        <v>3</v>
      </c>
      <c r="E78" s="36">
        <f>SUMIFS('[1]Rincian Keluar'!$G:$G,'[1]Rincian Keluar'!$E:$E,'KARYA HILS  01'!C78,'[1]Rincian Keluar'!$D:$D,'KARYA HILS  01'!$D$1,'[1]Rincian Keluar'!$H:$H,'KARYA HILS  01'!$J$1,'[1]Rincian Keluar'!$F:$F,'KARYA HILS  01'!M78)</f>
        <v>0</v>
      </c>
      <c r="F78" s="57">
        <v>37000</v>
      </c>
      <c r="G78" s="98">
        <f t="shared" si="14"/>
        <v>0</v>
      </c>
      <c r="H78" s="119"/>
      <c r="I78" s="42"/>
      <c r="J78" s="111"/>
      <c r="K78" s="105"/>
      <c r="M78" s="20" t="str">
        <f t="shared" si="15"/>
        <v>DEK</v>
      </c>
    </row>
    <row r="79" spans="1:13" s="20" customFormat="1" ht="18" customHeight="1" x14ac:dyDescent="0.25">
      <c r="A79" s="1"/>
      <c r="B79" s="96">
        <v>4</v>
      </c>
      <c r="C79" s="97" t="s">
        <v>78</v>
      </c>
      <c r="D79" s="36">
        <f>IFERROR(HLOOKUP($J$1,[1]DB!$C$1:$K$172,79,FALSE),"")</f>
        <v>1</v>
      </c>
      <c r="E79" s="36">
        <f>SUMIFS('[1]Rincian Keluar'!$G:$G,'[1]Rincian Keluar'!$E:$E,'KARYA HILS  01'!C79,'[1]Rincian Keluar'!$D:$D,'KARYA HILS  01'!$D$1,'[1]Rincian Keluar'!$H:$H,'KARYA HILS  01'!$J$1,'[1]Rincian Keluar'!$F:$F,'KARYA HILS  01'!M79)</f>
        <v>0</v>
      </c>
      <c r="F79" s="57">
        <v>5000</v>
      </c>
      <c r="G79" s="98">
        <f t="shared" si="14"/>
        <v>0</v>
      </c>
      <c r="H79" s="119"/>
      <c r="I79" s="42"/>
      <c r="J79" s="111"/>
      <c r="K79" s="105"/>
      <c r="M79" s="20" t="str">
        <f t="shared" si="15"/>
        <v>DEK</v>
      </c>
    </row>
    <row r="80" spans="1:13" s="20" customFormat="1" ht="18" customHeight="1" x14ac:dyDescent="0.25">
      <c r="A80" s="1"/>
      <c r="B80" s="96">
        <v>5</v>
      </c>
      <c r="C80" s="97" t="s">
        <v>79</v>
      </c>
      <c r="D80" s="36">
        <f>IFERROR(HLOOKUP($J$1,[1]DB!$C$1:$K$172,80,FALSE),"")</f>
        <v>1</v>
      </c>
      <c r="E80" s="36">
        <f>SUMIFS('[1]Rincian Keluar'!$G:$G,'[1]Rincian Keluar'!$E:$E,'KARYA HILS  01'!C80,'[1]Rincian Keluar'!$D:$D,'KARYA HILS  01'!$D$1,'[1]Rincian Keluar'!$H:$H,'KARYA HILS  01'!$J$1,'[1]Rincian Keluar'!$F:$F,'KARYA HILS  01'!M80)</f>
        <v>0</v>
      </c>
      <c r="F80" s="57">
        <v>130000</v>
      </c>
      <c r="G80" s="98">
        <f t="shared" si="14"/>
        <v>0</v>
      </c>
      <c r="H80" s="119"/>
      <c r="I80" s="42"/>
      <c r="J80" s="111"/>
      <c r="K80" s="105"/>
      <c r="M80" s="20" t="str">
        <f t="shared" si="15"/>
        <v>DEK</v>
      </c>
    </row>
    <row r="81" spans="1:13" s="20" customFormat="1" ht="18" customHeight="1" x14ac:dyDescent="0.25">
      <c r="A81" s="1"/>
      <c r="B81" s="96">
        <v>6</v>
      </c>
      <c r="C81" s="97" t="s">
        <v>80</v>
      </c>
      <c r="D81" s="36">
        <f>IFERROR(HLOOKUP($J$1,[1]DB!$C$1:$K$172,81,FALSE),"")</f>
        <v>1</v>
      </c>
      <c r="E81" s="36">
        <f>SUMIFS('[1]Rincian Keluar'!$G:$G,'[1]Rincian Keluar'!$E:$E,'KARYA HILS  01'!C81,'[1]Rincian Keluar'!$D:$D,'KARYA HILS  01'!$D$1,'[1]Rincian Keluar'!$H:$H,'KARYA HILS  01'!$J$1,'[1]Rincian Keluar'!$F:$F,'KARYA HILS  01'!M81)</f>
        <v>0</v>
      </c>
      <c r="F81" s="57">
        <v>130000</v>
      </c>
      <c r="G81" s="98">
        <f t="shared" si="14"/>
        <v>0</v>
      </c>
      <c r="H81" s="122"/>
      <c r="I81" s="47"/>
      <c r="J81" s="113"/>
      <c r="K81" s="107"/>
      <c r="M81" s="20" t="str">
        <f t="shared" si="15"/>
        <v>DEK</v>
      </c>
    </row>
    <row r="82" spans="1:13" s="20" customFormat="1" ht="18" customHeight="1" x14ac:dyDescent="0.25">
      <c r="A82" s="1"/>
      <c r="B82" s="29" t="s">
        <v>81</v>
      </c>
      <c r="C82" s="50" t="s">
        <v>82</v>
      </c>
      <c r="D82" s="31"/>
      <c r="E82" s="31"/>
      <c r="F82" s="31"/>
      <c r="G82" s="31"/>
      <c r="H82" s="31"/>
      <c r="I82" s="32"/>
      <c r="J82" s="31"/>
      <c r="K82" s="33"/>
    </row>
    <row r="83" spans="1:13" s="20" customFormat="1" ht="18" customHeight="1" x14ac:dyDescent="0.25">
      <c r="A83" s="1"/>
      <c r="B83" s="96">
        <v>1</v>
      </c>
      <c r="C83" s="97" t="s">
        <v>54</v>
      </c>
      <c r="D83" s="36">
        <f>IFERROR(HLOOKUP($J$1,[1]DB!$C$1:$K$172,83,FALSE),"")</f>
        <v>87</v>
      </c>
      <c r="E83" s="36">
        <f>SUMIFS('[1]Rincian Keluar'!$G:$G,'[1]Rincian Keluar'!$E:$E,'KARYA HILS  01'!C83,'[1]Rincian Keluar'!$D:$D,'KARYA HILS  01'!$D$1,'[1]Rincian Keluar'!$H:$H,'KARYA HILS  01'!$J$1,'[1]Rincian Keluar'!$F:$F,'KARYA HILS  01'!M83)</f>
        <v>0</v>
      </c>
      <c r="F83" s="37">
        <v>1850</v>
      </c>
      <c r="G83" s="98">
        <f>E83*F83</f>
        <v>0</v>
      </c>
      <c r="H83" s="172"/>
      <c r="I83" s="39">
        <f>IFERROR(VLOOKUP($C82,[1]HK!$B$5:$C$20,2,FALSE),"")*$J1</f>
        <v>504000</v>
      </c>
      <c r="J83" s="173"/>
      <c r="K83" s="103"/>
      <c r="M83" s="20" t="str">
        <f>$C$82</f>
        <v>MINIMALIS</v>
      </c>
    </row>
    <row r="84" spans="1:13" s="20" customFormat="1" ht="18" customHeight="1" x14ac:dyDescent="0.25">
      <c r="A84" s="1"/>
      <c r="B84" s="96">
        <v>2</v>
      </c>
      <c r="C84" s="97" t="s">
        <v>31</v>
      </c>
      <c r="D84" s="36">
        <f>IFERROR(HLOOKUP($J$1,[1]DB!$C$1:$K$172,84,FALSE),"")</f>
        <v>2</v>
      </c>
      <c r="E84" s="36">
        <f>SUMIFS('[1]Rincian Keluar'!$G:$G,'[1]Rincian Keluar'!$E:$E,'KARYA HILS  01'!C84,'[1]Rincian Keluar'!$D:$D,'KARYA HILS  01'!$D$1,'[1]Rincian Keluar'!$H:$H,'KARYA HILS  01'!$J$1,'[1]Rincian Keluar'!$F:$F,'KARYA HILS  01'!M84)</f>
        <v>0</v>
      </c>
      <c r="F84" s="37">
        <v>150000</v>
      </c>
      <c r="G84" s="98">
        <f t="shared" ref="G84:G86" si="16">E84*F84</f>
        <v>0</v>
      </c>
      <c r="H84" s="119"/>
      <c r="I84" s="42"/>
      <c r="J84" s="111"/>
      <c r="K84" s="105"/>
      <c r="M84" s="20" t="str">
        <f t="shared" ref="M84:M86" si="17">$C$82</f>
        <v>MINIMALIS</v>
      </c>
    </row>
    <row r="85" spans="1:13" s="20" customFormat="1" ht="18" customHeight="1" x14ac:dyDescent="0.25">
      <c r="A85" s="1"/>
      <c r="B85" s="96">
        <v>3</v>
      </c>
      <c r="C85" s="45" t="s">
        <v>24</v>
      </c>
      <c r="D85" s="36">
        <f>IFERROR(HLOOKUP($J$1,[1]DB!$C$1:$K$172,85,FALSE),"")</f>
        <v>7</v>
      </c>
      <c r="E85" s="36">
        <f>SUMIFS('[1]Rincian Keluar'!$G:$G,'[1]Rincian Keluar'!$E:$E,'KARYA HILS  01'!C85,'[1]Rincian Keluar'!$D:$D,'KARYA HILS  01'!$D$1,'[1]Rincian Keluar'!$H:$H,'KARYA HILS  01'!$J$1,'[1]Rincian Keluar'!$F:$F,'KARYA HILS  01'!M85)</f>
        <v>0</v>
      </c>
      <c r="F85" s="37">
        <v>60700</v>
      </c>
      <c r="G85" s="98">
        <f t="shared" si="16"/>
        <v>0</v>
      </c>
      <c r="H85" s="119"/>
      <c r="I85" s="42"/>
      <c r="J85" s="111"/>
      <c r="K85" s="105"/>
      <c r="M85" s="20" t="str">
        <f t="shared" si="17"/>
        <v>MINIMALIS</v>
      </c>
    </row>
    <row r="86" spans="1:13" s="20" customFormat="1" ht="18" customHeight="1" x14ac:dyDescent="0.25">
      <c r="A86" s="1"/>
      <c r="B86" s="96">
        <v>4</v>
      </c>
      <c r="C86" s="45" t="s">
        <v>83</v>
      </c>
      <c r="D86" s="36">
        <f>IFERROR(HLOOKUP($J$1,[1]DB!$C$1:$K$172,86,FALSE),"")</f>
        <v>7</v>
      </c>
      <c r="E86" s="36">
        <f>SUMIFS('[1]Rincian Keluar'!$G:$G,'[1]Rincian Keluar'!$E:$E,'KARYA HILS  01'!C86,'[1]Rincian Keluar'!$D:$D,'KARYA HILS  01'!$D$1,'[1]Rincian Keluar'!$H:$H,'KARYA HILS  01'!$J$1,'[1]Rincian Keluar'!$F:$F,'KARYA HILS  01'!M86)</f>
        <v>0</v>
      </c>
      <c r="F86" s="37">
        <v>165000</v>
      </c>
      <c r="G86" s="98">
        <f t="shared" si="16"/>
        <v>0</v>
      </c>
      <c r="H86" s="122"/>
      <c r="I86" s="47"/>
      <c r="J86" s="113"/>
      <c r="K86" s="107"/>
      <c r="M86" s="20" t="str">
        <f t="shared" si="17"/>
        <v>MINIMALIS</v>
      </c>
    </row>
    <row r="87" spans="1:13" s="20" customFormat="1" ht="18" customHeight="1" x14ac:dyDescent="0.25">
      <c r="A87" s="1"/>
      <c r="B87" s="29" t="s">
        <v>84</v>
      </c>
      <c r="C87" s="50" t="s">
        <v>85</v>
      </c>
      <c r="D87" s="31"/>
      <c r="E87" s="31"/>
      <c r="F87" s="31"/>
      <c r="G87" s="31"/>
      <c r="H87" s="31"/>
      <c r="I87" s="32"/>
      <c r="J87" s="31"/>
      <c r="K87" s="33"/>
    </row>
    <row r="88" spans="1:13" s="20" customFormat="1" ht="18" customHeight="1" x14ac:dyDescent="0.25">
      <c r="A88" s="1"/>
      <c r="B88" s="34">
        <v>1</v>
      </c>
      <c r="C88" s="45" t="s">
        <v>24</v>
      </c>
      <c r="D88" s="36">
        <f>IFERROR(HLOOKUP($J$1,[1]DB!$C$1:$K$172,88,FALSE),"")</f>
        <v>22</v>
      </c>
      <c r="E88" s="36">
        <f>SUMIFS('[1]Rincian Keluar'!$G:$G,'[1]Rincian Keluar'!$E:$E,'KARYA HILS  01'!C88,'[1]Rincian Keluar'!$D:$D,'KARYA HILS  01'!$D$1,'[1]Rincian Keluar'!$H:$H,'KARYA HILS  01'!$J$1,'[1]Rincian Keluar'!$F:$F,'KARYA HILS  01'!M88)</f>
        <v>0</v>
      </c>
      <c r="F88" s="37">
        <v>60700</v>
      </c>
      <c r="G88" s="98">
        <f>E88*F88</f>
        <v>0</v>
      </c>
      <c r="H88" s="108">
        <v>650000</v>
      </c>
      <c r="I88" s="39">
        <f>IFERROR(VLOOKUP($C87,[1]HK!$B$5:$C$20,2,FALSE),"")*$J1</f>
        <v>668000</v>
      </c>
      <c r="J88" s="109">
        <f>I88-H88</f>
        <v>18000</v>
      </c>
      <c r="K88" s="103">
        <v>1</v>
      </c>
      <c r="M88" s="20" t="str">
        <f>$C$87</f>
        <v>CARPORT</v>
      </c>
    </row>
    <row r="89" spans="1:13" s="20" customFormat="1" ht="18" customHeight="1" x14ac:dyDescent="0.25">
      <c r="A89" s="1"/>
      <c r="B89" s="34">
        <v>2</v>
      </c>
      <c r="C89" s="35" t="s">
        <v>19</v>
      </c>
      <c r="D89" s="36">
        <f>IFERROR(HLOOKUP($J$1,[1]DB!$C$1:$K$172,89,FALSE),"")</f>
        <v>8</v>
      </c>
      <c r="E89" s="36">
        <f>SUMIFS('[1]Rincian Keluar'!$G:$G,'[1]Rincian Keluar'!$E:$E,'KARYA HILS  01'!C89,'[1]Rincian Keluar'!$D:$D,'KARYA HILS  01'!$D$1,'[1]Rincian Keluar'!$H:$H,'KARYA HILS  01'!$J$1,'[1]Rincian Keluar'!$F:$F,'KARYA HILS  01'!M89)</f>
        <v>0</v>
      </c>
      <c r="F89" s="46">
        <v>11000</v>
      </c>
      <c r="G89" s="98">
        <f t="shared" ref="G89:G95" si="18">E89*F89</f>
        <v>0</v>
      </c>
      <c r="H89" s="110"/>
      <c r="I89" s="42"/>
      <c r="J89" s="111"/>
      <c r="K89" s="105"/>
      <c r="M89" s="20" t="str">
        <f t="shared" ref="M89:M96" si="19">$C$87</f>
        <v>CARPORT</v>
      </c>
    </row>
    <row r="90" spans="1:13" s="20" customFormat="1" ht="18" customHeight="1" x14ac:dyDescent="0.25">
      <c r="A90" s="1"/>
      <c r="B90" s="34">
        <v>3</v>
      </c>
      <c r="C90" s="35" t="s">
        <v>20</v>
      </c>
      <c r="D90" s="36">
        <f>IFERROR(HLOOKUP($J$1,[1]DB!$C$1:$K$172,90,FALSE),"")</f>
        <v>5</v>
      </c>
      <c r="E90" s="36">
        <f>SUMIFS('[1]Rincian Keluar'!$G:$G,'[1]Rincian Keluar'!$E:$E,'KARYA HILS  01'!C90,'[1]Rincian Keluar'!$D:$D,'KARYA HILS  01'!$D$1,'[1]Rincian Keluar'!$H:$H,'KARYA HILS  01'!$J$1,'[1]Rincian Keluar'!$F:$F,'KARYA HILS  01'!M90)</f>
        <v>0</v>
      </c>
      <c r="F90" s="37">
        <v>8000</v>
      </c>
      <c r="G90" s="98">
        <f t="shared" si="18"/>
        <v>0</v>
      </c>
      <c r="H90" s="110"/>
      <c r="I90" s="42"/>
      <c r="J90" s="111"/>
      <c r="K90" s="105"/>
      <c r="M90" s="20" t="str">
        <f t="shared" si="19"/>
        <v>CARPORT</v>
      </c>
    </row>
    <row r="91" spans="1:13" s="20" customFormat="1" ht="18" customHeight="1" x14ac:dyDescent="0.25">
      <c r="A91" s="1"/>
      <c r="B91" s="34">
        <v>4</v>
      </c>
      <c r="C91" s="35" t="s">
        <v>21</v>
      </c>
      <c r="D91" s="36">
        <f>IFERROR(HLOOKUP($J$1,[1]DB!$C$1:$K$172,91,FALSE),"")</f>
        <v>10</v>
      </c>
      <c r="E91" s="36">
        <f>SUMIFS('[1]Rincian Keluar'!$G:$G,'[1]Rincian Keluar'!$E:$E,'KARYA HILS  01'!C91,'[1]Rincian Keluar'!$D:$D,'KARYA HILS  01'!$D$1,'[1]Rincian Keluar'!$H:$H,'KARYA HILS  01'!$J$1,'[1]Rincian Keluar'!$F:$F,'KARYA HILS  01'!M91)</f>
        <v>0</v>
      </c>
      <c r="F91" s="37">
        <v>11000</v>
      </c>
      <c r="G91" s="98">
        <f t="shared" si="18"/>
        <v>0</v>
      </c>
      <c r="H91" s="110"/>
      <c r="I91" s="42"/>
      <c r="J91" s="111"/>
      <c r="K91" s="105"/>
      <c r="M91" s="20" t="str">
        <f t="shared" si="19"/>
        <v>CARPORT</v>
      </c>
    </row>
    <row r="92" spans="1:13" s="20" customFormat="1" ht="18" customHeight="1" x14ac:dyDescent="0.25">
      <c r="A92" s="1"/>
      <c r="B92" s="34">
        <v>5</v>
      </c>
      <c r="C92" s="35" t="s">
        <v>32</v>
      </c>
      <c r="D92" s="36">
        <f>IFERROR(HLOOKUP($J$1,[1]DB!$C$1:$K$172,92,FALSE),"")</f>
        <v>7</v>
      </c>
      <c r="E92" s="36">
        <f>SUMIFS('[1]Rincian Keluar'!$G:$G,'[1]Rincian Keluar'!$E:$E,'KARYA HILS  01'!C92,'[1]Rincian Keluar'!$D:$D,'KARYA HILS  01'!$D$1,'[1]Rincian Keluar'!$H:$H,'KARYA HILS  01'!$J$1,'[1]Rincian Keluar'!$F:$F,'KARYA HILS  01'!M92)</f>
        <v>0</v>
      </c>
      <c r="F92" s="57">
        <v>15000</v>
      </c>
      <c r="G92" s="98">
        <f t="shared" si="18"/>
        <v>0</v>
      </c>
      <c r="H92" s="110"/>
      <c r="I92" s="42"/>
      <c r="J92" s="111"/>
      <c r="K92" s="105"/>
      <c r="M92" s="20" t="str">
        <f t="shared" si="19"/>
        <v>CARPORT</v>
      </c>
    </row>
    <row r="93" spans="1:13" s="20" customFormat="1" ht="18" customHeight="1" x14ac:dyDescent="0.25">
      <c r="A93" s="1"/>
      <c r="B93" s="34">
        <v>6</v>
      </c>
      <c r="C93" s="45" t="s">
        <v>17</v>
      </c>
      <c r="D93" s="36">
        <f>IFERROR(HLOOKUP($J$1,[1]DB!$C$1:$K$172,93,FALSE),"")</f>
        <v>2</v>
      </c>
      <c r="E93" s="36">
        <f>SUMIFS('[1]Rincian Keluar'!$G:$G,'[1]Rincian Keluar'!$E:$E,'KARYA HILS  01'!C93,'[1]Rincian Keluar'!$D:$D,'KARYA HILS  01'!$D$1,'[1]Rincian Keluar'!$H:$H,'KARYA HILS  01'!$J$1,'[1]Rincian Keluar'!$F:$F,'KARYA HILS  01'!M93)</f>
        <v>0</v>
      </c>
      <c r="F93" s="37">
        <v>22000</v>
      </c>
      <c r="G93" s="98">
        <f t="shared" si="18"/>
        <v>0</v>
      </c>
      <c r="H93" s="110"/>
      <c r="I93" s="42"/>
      <c r="J93" s="111"/>
      <c r="K93" s="105"/>
      <c r="M93" s="20" t="str">
        <f t="shared" si="19"/>
        <v>CARPORT</v>
      </c>
    </row>
    <row r="94" spans="1:13" s="20" customFormat="1" ht="18" customHeight="1" x14ac:dyDescent="0.25">
      <c r="A94" s="1"/>
      <c r="B94" s="34">
        <v>7</v>
      </c>
      <c r="C94" s="45" t="s">
        <v>57</v>
      </c>
      <c r="D94" s="36">
        <f>IFERROR(HLOOKUP($J$1,[1]DB!$C$1:$K$172,94,FALSE),"")</f>
        <v>15</v>
      </c>
      <c r="E94" s="36">
        <f>SUMIFS('[1]Rincian Keluar'!$G:$G,'[1]Rincian Keluar'!$E:$E,'KARYA HILS  01'!C94,'[1]Rincian Keluar'!$D:$D,'KARYA HILS  01'!$D$1,'[1]Rincian Keluar'!$H:$H,'KARYA HILS  01'!$J$1,'[1]Rincian Keluar'!$F:$F,'KARYA HILS  01'!M94)</f>
        <v>0</v>
      </c>
      <c r="F94" s="37">
        <v>35000</v>
      </c>
      <c r="G94" s="98">
        <f t="shared" si="18"/>
        <v>0</v>
      </c>
      <c r="H94" s="110"/>
      <c r="I94" s="42"/>
      <c r="J94" s="111"/>
      <c r="K94" s="105"/>
      <c r="M94" s="20" t="str">
        <f t="shared" si="19"/>
        <v>CARPORT</v>
      </c>
    </row>
    <row r="95" spans="1:13" s="20" customFormat="1" ht="18" customHeight="1" x14ac:dyDescent="0.25">
      <c r="A95" s="1"/>
      <c r="B95" s="34">
        <v>8</v>
      </c>
      <c r="C95" s="45" t="s">
        <v>23</v>
      </c>
      <c r="D95" s="36">
        <f>IFERROR(HLOOKUP($J$1,[1]DB!$C$1:$K$172,95,FALSE),"")</f>
        <v>1</v>
      </c>
      <c r="E95" s="36">
        <f>SUMIFS('[1]Rincian Keluar'!$G:$G,'[1]Rincian Keluar'!$E:$E,'KARYA HILS  01'!C95,'[1]Rincian Keluar'!$D:$D,'KARYA HILS  01'!$D$1,'[1]Rincian Keluar'!$H:$H,'KARYA HILS  01'!$J$1,'[1]Rincian Keluar'!$F:$F,'KARYA HILS  01'!M95)</f>
        <v>0</v>
      </c>
      <c r="F95" s="37">
        <v>500000</v>
      </c>
      <c r="G95" s="98">
        <f t="shared" si="18"/>
        <v>0</v>
      </c>
      <c r="H95" s="110"/>
      <c r="I95" s="42"/>
      <c r="J95" s="111"/>
      <c r="K95" s="105"/>
      <c r="M95" s="20" t="str">
        <f t="shared" si="19"/>
        <v>CARPORT</v>
      </c>
    </row>
    <row r="96" spans="1:13" s="20" customFormat="1" ht="18" customHeight="1" x14ac:dyDescent="0.25">
      <c r="A96" s="1"/>
      <c r="B96" s="34">
        <v>9</v>
      </c>
      <c r="C96" s="45" t="s">
        <v>31</v>
      </c>
      <c r="D96" s="36">
        <f>IFERROR(HLOOKUP($J$1,[1]DB!$C$1:$K$172,96,FALSE),"")</f>
        <v>6</v>
      </c>
      <c r="E96" s="36">
        <f>SUMIFS('[1]Rincian Keluar'!$G:$G,'[1]Rincian Keluar'!$E:$E,'KARYA HILS  01'!C96,'[1]Rincian Keluar'!$D:$D,'KARYA HILS  01'!$D$1,'[1]Rincian Keluar'!$H:$H,'KARYA HILS  01'!$J$1,'[1]Rincian Keluar'!$F:$F,'KARYA HILS  01'!M96)</f>
        <v>0</v>
      </c>
      <c r="F96" s="37">
        <v>150000</v>
      </c>
      <c r="G96" s="98">
        <f>E96*F96</f>
        <v>0</v>
      </c>
      <c r="H96" s="112"/>
      <c r="I96" s="47"/>
      <c r="J96" s="113"/>
      <c r="K96" s="107"/>
      <c r="M96" s="20" t="str">
        <f t="shared" si="19"/>
        <v>CARPORT</v>
      </c>
    </row>
    <row r="97" spans="1:13" s="20" customFormat="1" ht="18" customHeight="1" x14ac:dyDescent="0.25">
      <c r="A97" s="1"/>
      <c r="B97" s="34">
        <v>10</v>
      </c>
      <c r="C97" s="45" t="s">
        <v>83</v>
      </c>
      <c r="D97" s="36">
        <f>IFERROR(HLOOKUP($J$1,[1]DB!$C$1:$K$172,97,FALSE),"")</f>
        <v>31</v>
      </c>
      <c r="E97" s="36">
        <f>SUMIFS('[1]Rincian Keluar'!$G:$G,'[1]Rincian Keluar'!$E:$E,'KARYA HILS  01'!C97,'[1]Rincian Keluar'!$D:$D,'KARYA HILS  01'!$D$1,'[1]Rincian Keluar'!$H:$H,'KARYA HILS  01'!$J$1,'[1]Rincian Keluar'!$F:$F,'KARYA HILS  01'!M97)</f>
        <v>0</v>
      </c>
      <c r="F97" s="37">
        <v>165000</v>
      </c>
      <c r="G97" s="98">
        <f>E97*F97</f>
        <v>0</v>
      </c>
      <c r="H97" s="114"/>
      <c r="I97" s="115"/>
      <c r="J97" s="116"/>
      <c r="K97" s="117"/>
    </row>
    <row r="98" spans="1:13" s="20" customFormat="1" ht="18" customHeight="1" x14ac:dyDescent="0.25">
      <c r="A98" s="1"/>
      <c r="B98" s="29" t="s">
        <v>86</v>
      </c>
      <c r="C98" s="50" t="s">
        <v>87</v>
      </c>
      <c r="D98" s="31"/>
      <c r="E98" s="31"/>
      <c r="F98" s="31"/>
      <c r="G98" s="31"/>
      <c r="H98" s="31"/>
      <c r="I98" s="32"/>
      <c r="J98" s="31"/>
      <c r="K98" s="33"/>
    </row>
    <row r="99" spans="1:13" s="20" customFormat="1" ht="18" customHeight="1" x14ac:dyDescent="0.25">
      <c r="A99" s="1"/>
      <c r="B99" s="34">
        <v>1</v>
      </c>
      <c r="C99" s="45" t="s">
        <v>88</v>
      </c>
      <c r="D99" s="36">
        <f>IFERROR(HLOOKUP($J$1,[1]DB!$C$1:$K$172,99,FALSE),"")</f>
        <v>25</v>
      </c>
      <c r="E99" s="36">
        <f>SUMIFS('[1]Rincian Keluar'!$G:$G,'[1]Rincian Keluar'!$E:$E,'KARYA HILS  01'!C99,'[1]Rincian Keluar'!$D:$D,'KARYA HILS  01'!$D$1,'[1]Rincian Keluar'!$H:$H,'KARYA HILS  01'!$J$1,'[1]Rincian Keluar'!$F:$F,'KARYA HILS  01'!M99)</f>
        <v>0</v>
      </c>
      <c r="F99" s="37">
        <v>118000</v>
      </c>
      <c r="G99" s="98">
        <f>E99*F99</f>
        <v>0</v>
      </c>
      <c r="H99" s="172"/>
      <c r="I99" s="39">
        <f>IFERROR(VLOOKUP($C98,[1]HK!$B$5:$C$20,2,FALSE),"")*$J1</f>
        <v>1112000</v>
      </c>
      <c r="J99" s="172"/>
      <c r="K99" s="174"/>
      <c r="M99" s="20" t="str">
        <f>$C$98</f>
        <v>KERAMIK</v>
      </c>
    </row>
    <row r="100" spans="1:13" s="20" customFormat="1" ht="18" customHeight="1" x14ac:dyDescent="0.25">
      <c r="A100" s="1"/>
      <c r="B100" s="34">
        <v>2</v>
      </c>
      <c r="C100" s="45" t="s">
        <v>83</v>
      </c>
      <c r="D100" s="36">
        <f>IFERROR(HLOOKUP($J$1,[1]DB!$C$1:$K$172,100,FALSE),"")</f>
        <v>10</v>
      </c>
      <c r="E100" s="36">
        <f>SUMIFS('[1]Rincian Keluar'!$G:$G,'[1]Rincian Keluar'!$E:$E,'KARYA HILS  01'!C100,'[1]Rincian Keluar'!$D:$D,'KARYA HILS  01'!$D$1,'[1]Rincian Keluar'!$H:$H,'KARYA HILS  01'!$J$1,'[1]Rincian Keluar'!$F:$F,'KARYA HILS  01'!M100)</f>
        <v>0</v>
      </c>
      <c r="F100" s="37">
        <v>165000</v>
      </c>
      <c r="G100" s="98">
        <f t="shared" ref="G100:G103" si="20">E100*F100</f>
        <v>0</v>
      </c>
      <c r="H100" s="119"/>
      <c r="I100" s="42"/>
      <c r="J100" s="119"/>
      <c r="K100" s="175"/>
      <c r="M100" s="20" t="str">
        <f t="shared" ref="M100:M103" si="21">$C$98</f>
        <v>KERAMIK</v>
      </c>
    </row>
    <row r="101" spans="1:13" s="20" customFormat="1" ht="18" customHeight="1" x14ac:dyDescent="0.25">
      <c r="A101" s="1"/>
      <c r="B101" s="34">
        <v>3</v>
      </c>
      <c r="C101" s="45" t="s">
        <v>31</v>
      </c>
      <c r="D101" s="36">
        <f>IFERROR(HLOOKUP($J$1,[1]DB!$C$1:$K$172,101,FALSE),"")</f>
        <v>4</v>
      </c>
      <c r="E101" s="36">
        <f>SUMIFS('[1]Rincian Keluar'!$G:$G,'[1]Rincian Keluar'!$E:$E,'KARYA HILS  01'!C101,'[1]Rincian Keluar'!$D:$D,'KARYA HILS  01'!$D$1,'[1]Rincian Keluar'!$H:$H,'KARYA HILS  01'!$J$1,'[1]Rincian Keluar'!$F:$F,'KARYA HILS  01'!M101)</f>
        <v>0</v>
      </c>
      <c r="F101" s="37">
        <v>150000</v>
      </c>
      <c r="G101" s="98">
        <f t="shared" si="20"/>
        <v>0</v>
      </c>
      <c r="H101" s="119"/>
      <c r="I101" s="42"/>
      <c r="J101" s="119"/>
      <c r="K101" s="175"/>
      <c r="M101" s="20" t="str">
        <f t="shared" si="21"/>
        <v>KERAMIK</v>
      </c>
    </row>
    <row r="102" spans="1:13" s="20" customFormat="1" ht="18" customHeight="1" x14ac:dyDescent="0.25">
      <c r="A102" s="1"/>
      <c r="B102" s="34">
        <v>4</v>
      </c>
      <c r="C102" s="45" t="s">
        <v>24</v>
      </c>
      <c r="D102" s="36">
        <f>IFERROR(HLOOKUP($J$1,[1]DB!$C$1:$K$172,102,FALSE),"")</f>
        <v>17</v>
      </c>
      <c r="E102" s="36">
        <f>SUMIFS('[1]Rincian Keluar'!$G:$G,'[1]Rincian Keluar'!$E:$E,'KARYA HILS  01'!C102,'[1]Rincian Keluar'!$D:$D,'KARYA HILS  01'!$D$1,'[1]Rincian Keluar'!$H:$H,'KARYA HILS  01'!$J$1,'[1]Rincian Keluar'!$F:$F,'KARYA HILS  01'!M102)</f>
        <v>0</v>
      </c>
      <c r="F102" s="37">
        <v>60700</v>
      </c>
      <c r="G102" s="98">
        <f t="shared" si="20"/>
        <v>0</v>
      </c>
      <c r="H102" s="119"/>
      <c r="I102" s="42"/>
      <c r="J102" s="119"/>
      <c r="K102" s="175"/>
      <c r="M102" s="20" t="str">
        <f t="shared" si="21"/>
        <v>KERAMIK</v>
      </c>
    </row>
    <row r="103" spans="1:13" s="20" customFormat="1" ht="18" customHeight="1" x14ac:dyDescent="0.25">
      <c r="A103" s="1"/>
      <c r="B103" s="34">
        <v>5</v>
      </c>
      <c r="C103" s="45" t="s">
        <v>89</v>
      </c>
      <c r="D103" s="36">
        <f>IFERROR(HLOOKUP($J$1,[1]DB!$C$1:$K$172,103,FALSE),"")</f>
        <v>5</v>
      </c>
      <c r="E103" s="36">
        <v>0</v>
      </c>
      <c r="F103" s="121">
        <v>15000</v>
      </c>
      <c r="G103" s="98">
        <f t="shared" si="20"/>
        <v>0</v>
      </c>
      <c r="H103" s="176"/>
      <c r="I103" s="47"/>
      <c r="J103" s="122"/>
      <c r="K103" s="177"/>
      <c r="M103" s="20" t="str">
        <f t="shared" si="21"/>
        <v>KERAMIK</v>
      </c>
    </row>
    <row r="104" spans="1:13" s="20" customFormat="1" ht="18" customHeight="1" x14ac:dyDescent="0.25">
      <c r="A104" s="1"/>
      <c r="B104" s="29" t="s">
        <v>90</v>
      </c>
      <c r="C104" s="50" t="s">
        <v>91</v>
      </c>
      <c r="D104" s="31"/>
      <c r="E104" s="31"/>
      <c r="F104" s="31"/>
      <c r="G104" s="31"/>
      <c r="H104" s="31"/>
      <c r="I104" s="32"/>
      <c r="J104" s="31"/>
      <c r="K104" s="33"/>
    </row>
    <row r="105" spans="1:13" s="20" customFormat="1" ht="18" customHeight="1" x14ac:dyDescent="0.25">
      <c r="A105" s="1"/>
      <c r="B105" s="34">
        <v>1</v>
      </c>
      <c r="C105" s="45" t="s">
        <v>92</v>
      </c>
      <c r="D105" s="36">
        <f>IFERROR(HLOOKUP($J$1,[1]DB!$C$1:$K$172,105,FALSE),"")</f>
        <v>3</v>
      </c>
      <c r="E105" s="36">
        <f>SUMIFS('[1]Rincian Keluar'!$G:$G,'[1]Rincian Keluar'!$E:$E,'KARYA HILS  01'!C105,'[1]Rincian Keluar'!$D:$D,'KARYA HILS  01'!$D$1,'[1]Rincian Keluar'!$H:$H,'KARYA HILS  01'!$J$1,'[1]Rincian Keluar'!$F:$F,'KARYA HILS  01'!M105)</f>
        <v>0</v>
      </c>
      <c r="F105" s="57">
        <v>60000</v>
      </c>
      <c r="G105" s="98">
        <f>E105*F105</f>
        <v>0</v>
      </c>
      <c r="H105" s="172"/>
      <c r="I105" s="39">
        <f>IFERROR(VLOOKUP($C104,[1]HK!$B$5:$C$27,2,FALSE),"")*$J1</f>
        <v>180000</v>
      </c>
      <c r="J105" s="173"/>
      <c r="K105" s="103"/>
      <c r="M105" s="20" t="str">
        <f t="shared" ref="M105:M116" si="22">$C$104</f>
        <v>WC</v>
      </c>
    </row>
    <row r="106" spans="1:13" s="20" customFormat="1" ht="18" customHeight="1" x14ac:dyDescent="0.25">
      <c r="A106" s="1"/>
      <c r="B106" s="34">
        <v>2</v>
      </c>
      <c r="C106" s="45" t="s">
        <v>93</v>
      </c>
      <c r="D106" s="36">
        <f>IFERROR(HLOOKUP($J$1,[1]DB!$C$1:$K$172,106,FALSE),"")</f>
        <v>11</v>
      </c>
      <c r="E106" s="36">
        <f>SUMIFS('[1]Rincian Keluar'!$G:$G,'[1]Rincian Keluar'!$E:$E,'KARYA HILS  01'!C106,'[1]Rincian Keluar'!$D:$D,'KARYA HILS  01'!$D$1,'[1]Rincian Keluar'!$H:$H,'KARYA HILS  01'!$J$1,'[1]Rincian Keluar'!$F:$F,'KARYA HILS  01'!M106)</f>
        <v>0</v>
      </c>
      <c r="F106" s="57">
        <v>60000</v>
      </c>
      <c r="G106" s="98">
        <f t="shared" ref="G106:G116" si="23">E106*F106</f>
        <v>0</v>
      </c>
      <c r="H106" s="119"/>
      <c r="I106" s="42"/>
      <c r="J106" s="111"/>
      <c r="K106" s="105"/>
      <c r="M106" s="20" t="str">
        <f t="shared" si="22"/>
        <v>WC</v>
      </c>
    </row>
    <row r="107" spans="1:13" s="20" customFormat="1" ht="18" customHeight="1" x14ac:dyDescent="0.25">
      <c r="A107" s="1"/>
      <c r="B107" s="34">
        <v>3</v>
      </c>
      <c r="C107" s="45" t="s">
        <v>94</v>
      </c>
      <c r="D107" s="36">
        <f>IFERROR(HLOOKUP($J$1,[1]DB!$C$1:$K$172,107,FALSE),"")</f>
        <v>1</v>
      </c>
      <c r="E107" s="36">
        <f>SUMIFS('[1]Rincian Keluar'!$G:$G,'[1]Rincian Keluar'!$E:$E,'KARYA HILS  01'!C107,'[1]Rincian Keluar'!$D:$D,'KARYA HILS  01'!$D$1,'[1]Rincian Keluar'!$H:$H,'KARYA HILS  01'!$J$1,'[1]Rincian Keluar'!$F:$F,'KARYA HILS  01'!M107)</f>
        <v>0</v>
      </c>
      <c r="F107" s="57">
        <v>270000</v>
      </c>
      <c r="G107" s="98">
        <f t="shared" si="23"/>
        <v>0</v>
      </c>
      <c r="H107" s="119"/>
      <c r="I107" s="42"/>
      <c r="J107" s="111"/>
      <c r="K107" s="105"/>
      <c r="M107" s="20" t="str">
        <f t="shared" si="22"/>
        <v>WC</v>
      </c>
    </row>
    <row r="108" spans="1:13" s="20" customFormat="1" ht="18" customHeight="1" x14ac:dyDescent="0.25">
      <c r="A108" s="1"/>
      <c r="B108" s="34">
        <v>4</v>
      </c>
      <c r="C108" s="45" t="s">
        <v>95</v>
      </c>
      <c r="D108" s="36">
        <f>IFERROR(HLOOKUP($J$1,[1]DB!$C$1:$K$172,108,FALSE),"")</f>
        <v>1</v>
      </c>
      <c r="E108" s="36">
        <f>SUMIFS('[1]Rincian Keluar'!$G:$G,'[1]Rincian Keluar'!$E:$E,'KARYA HILS  01'!C108,'[1]Rincian Keluar'!$D:$D,'KARYA HILS  01'!$D$1,'[1]Rincian Keluar'!$H:$H,'KARYA HILS  01'!$J$1,'[1]Rincian Keluar'!$F:$F,'KARYA HILS  01'!M108)</f>
        <v>0</v>
      </c>
      <c r="F108" s="57">
        <v>780000</v>
      </c>
      <c r="G108" s="98">
        <f t="shared" si="23"/>
        <v>0</v>
      </c>
      <c r="H108" s="119"/>
      <c r="I108" s="42"/>
      <c r="J108" s="111"/>
      <c r="K108" s="105"/>
      <c r="M108" s="20" t="str">
        <f t="shared" si="22"/>
        <v>WC</v>
      </c>
    </row>
    <row r="109" spans="1:13" s="20" customFormat="1" ht="18" customHeight="1" x14ac:dyDescent="0.25">
      <c r="A109" s="1"/>
      <c r="B109" s="34">
        <v>5</v>
      </c>
      <c r="C109" s="45" t="s">
        <v>96</v>
      </c>
      <c r="D109" s="36">
        <f>IFERROR(HLOOKUP($J$1,[1]DB!$C$1:$K$172,109,FALSE),"")</f>
        <v>2</v>
      </c>
      <c r="E109" s="36">
        <f>SUMIFS('[1]Rincian Keluar'!$G:$G,'[1]Rincian Keluar'!$E:$E,'KARYA HILS  01'!C109,'[1]Rincian Keluar'!$D:$D,'KARYA HILS  01'!$D$1,'[1]Rincian Keluar'!$H:$H,'KARYA HILS  01'!$J$1,'[1]Rincian Keluar'!$F:$F,'KARYA HILS  01'!M109)</f>
        <v>0</v>
      </c>
      <c r="F109" s="57">
        <v>5000</v>
      </c>
      <c r="G109" s="98">
        <f t="shared" si="23"/>
        <v>0</v>
      </c>
      <c r="H109" s="119"/>
      <c r="I109" s="42"/>
      <c r="J109" s="111"/>
      <c r="K109" s="105"/>
      <c r="M109" s="20" t="str">
        <f t="shared" si="22"/>
        <v>WC</v>
      </c>
    </row>
    <row r="110" spans="1:13" s="20" customFormat="1" ht="18" customHeight="1" x14ac:dyDescent="0.25">
      <c r="A110" s="1"/>
      <c r="B110" s="34">
        <v>6</v>
      </c>
      <c r="C110" s="45" t="s">
        <v>31</v>
      </c>
      <c r="D110" s="36">
        <f>IFERROR(HLOOKUP($J$1,[1]DB!$C$1:$K$172,110,FALSE),"")</f>
        <v>1</v>
      </c>
      <c r="E110" s="36">
        <f>SUMIFS('[1]Rincian Keluar'!$G:$G,'[1]Rincian Keluar'!$E:$E,'KARYA HILS  01'!C110,'[1]Rincian Keluar'!$D:$D,'KARYA HILS  01'!$D$1,'[1]Rincian Keluar'!$H:$H,'KARYA HILS  01'!$J$1,'[1]Rincian Keluar'!$F:$F,'KARYA HILS  01'!M110)</f>
        <v>0</v>
      </c>
      <c r="F110" s="57">
        <v>150000</v>
      </c>
      <c r="G110" s="98">
        <f t="shared" si="23"/>
        <v>0</v>
      </c>
      <c r="H110" s="119"/>
      <c r="I110" s="42"/>
      <c r="J110" s="111"/>
      <c r="K110" s="105"/>
      <c r="M110" s="20" t="str">
        <f t="shared" si="22"/>
        <v>WC</v>
      </c>
    </row>
    <row r="111" spans="1:13" s="20" customFormat="1" ht="18" customHeight="1" x14ac:dyDescent="0.25">
      <c r="A111" s="1"/>
      <c r="B111" s="34">
        <v>7</v>
      </c>
      <c r="C111" s="45" t="s">
        <v>24</v>
      </c>
      <c r="D111" s="36">
        <f>IFERROR(HLOOKUP($J$1,[1]DB!$C$1:$K$172,111,FALSE),"")</f>
        <v>4</v>
      </c>
      <c r="E111" s="36">
        <f>SUMIFS('[1]Rincian Keluar'!$G:$G,'[1]Rincian Keluar'!$E:$E,'KARYA HILS  01'!C111,'[1]Rincian Keluar'!$D:$D,'KARYA HILS  01'!$D$1,'[1]Rincian Keluar'!$H:$H,'KARYA HILS  01'!$J$1,'[1]Rincian Keluar'!$F:$F,'KARYA HILS  01'!M111)</f>
        <v>0</v>
      </c>
      <c r="F111" s="37">
        <v>60700</v>
      </c>
      <c r="G111" s="98">
        <f t="shared" si="23"/>
        <v>0</v>
      </c>
      <c r="H111" s="119"/>
      <c r="I111" s="42"/>
      <c r="J111" s="111"/>
      <c r="K111" s="105"/>
      <c r="M111" s="20" t="str">
        <f t="shared" si="22"/>
        <v>WC</v>
      </c>
    </row>
    <row r="112" spans="1:13" s="20" customFormat="1" ht="18" customHeight="1" x14ac:dyDescent="0.25">
      <c r="A112" s="1"/>
      <c r="B112" s="34">
        <v>8</v>
      </c>
      <c r="C112" s="45" t="s">
        <v>97</v>
      </c>
      <c r="D112" s="36">
        <f>IFERROR(HLOOKUP($J$1,[1]DB!$C$1:$K$172,112,FALSE),"")</f>
        <v>2</v>
      </c>
      <c r="E112" s="36">
        <f>SUMIFS('[1]Rincian Keluar'!$G:$G,'[1]Rincian Keluar'!$E:$E,'KARYA HILS  01'!C112,'[1]Rincian Keluar'!$D:$D,'KARYA HILS  01'!$D$1,'[1]Rincian Keluar'!$H:$H,'KARYA HILS  01'!$J$1,'[1]Rincian Keluar'!$F:$F,'KARYA HILS  01'!M112)</f>
        <v>0</v>
      </c>
      <c r="F112" s="57">
        <v>140000</v>
      </c>
      <c r="G112" s="98">
        <f t="shared" si="23"/>
        <v>0</v>
      </c>
      <c r="H112" s="119"/>
      <c r="I112" s="42"/>
      <c r="J112" s="111"/>
      <c r="K112" s="105"/>
      <c r="M112" s="20" t="str">
        <f t="shared" si="22"/>
        <v>WC</v>
      </c>
    </row>
    <row r="113" spans="1:13" s="20" customFormat="1" ht="18" customHeight="1" x14ac:dyDescent="0.25">
      <c r="A113" s="1"/>
      <c r="B113" s="34">
        <v>9</v>
      </c>
      <c r="C113" s="45" t="s">
        <v>98</v>
      </c>
      <c r="D113" s="36">
        <f>IFERROR(HLOOKUP($J$1,[1]DB!$C$1:$K$172,113,FALSE),"")</f>
        <v>2</v>
      </c>
      <c r="E113" s="36">
        <f>SUMIFS('[1]Rincian Keluar'!$G:$G,'[1]Rincian Keluar'!$E:$E,'KARYA HILS  01'!C113,'[1]Rincian Keluar'!$D:$D,'KARYA HILS  01'!$D$1,'[1]Rincian Keluar'!$H:$H,'KARYA HILS  01'!$J$1,'[1]Rincian Keluar'!$F:$F,'KARYA HILS  01'!M113)</f>
        <v>0</v>
      </c>
      <c r="F113" s="57">
        <v>18000</v>
      </c>
      <c r="G113" s="98">
        <f t="shared" si="23"/>
        <v>0</v>
      </c>
      <c r="H113" s="119"/>
      <c r="I113" s="42"/>
      <c r="J113" s="111"/>
      <c r="K113" s="105"/>
      <c r="M113" s="20" t="str">
        <f t="shared" si="22"/>
        <v>WC</v>
      </c>
    </row>
    <row r="114" spans="1:13" s="20" customFormat="1" ht="18" customHeight="1" x14ac:dyDescent="0.25">
      <c r="A114" s="1"/>
      <c r="B114" s="34">
        <v>10</v>
      </c>
      <c r="C114" s="45" t="s">
        <v>99</v>
      </c>
      <c r="D114" s="36">
        <f>IFERROR(HLOOKUP($J$1,[1]DB!$C$1:$K$172,114,FALSE),"")</f>
        <v>6</v>
      </c>
      <c r="E114" s="36">
        <f>SUMIFS('[1]Rincian Keluar'!$G:$G,'[1]Rincian Keluar'!$E:$E,'KARYA HILS  01'!C114,'[1]Rincian Keluar'!$D:$D,'KARYA HILS  01'!$D$1,'[1]Rincian Keluar'!$H:$H,'KARYA HILS  01'!$J$1,'[1]Rincian Keluar'!$F:$F,'KARYA HILS  01'!M114)</f>
        <v>0</v>
      </c>
      <c r="F114" s="57">
        <v>2500</v>
      </c>
      <c r="G114" s="98">
        <f t="shared" si="23"/>
        <v>0</v>
      </c>
      <c r="H114" s="119"/>
      <c r="I114" s="42"/>
      <c r="J114" s="111"/>
      <c r="K114" s="105"/>
      <c r="M114" s="20" t="str">
        <f t="shared" si="22"/>
        <v>WC</v>
      </c>
    </row>
    <row r="115" spans="1:13" s="20" customFormat="1" ht="18" customHeight="1" x14ac:dyDescent="0.25">
      <c r="A115" s="1"/>
      <c r="B115" s="34">
        <v>11</v>
      </c>
      <c r="C115" s="45" t="s">
        <v>100</v>
      </c>
      <c r="D115" s="36">
        <f>IFERROR(HLOOKUP($J$1,[1]DB!$C$1:$K$172,115,FALSE),"")</f>
        <v>3</v>
      </c>
      <c r="E115" s="36">
        <f>SUMIFS('[1]Rincian Keluar'!$G:$G,'[1]Rincian Keluar'!$E:$E,'KARYA HILS  01'!C115,'[1]Rincian Keluar'!$D:$D,'KARYA HILS  01'!$D$1,'[1]Rincian Keluar'!$H:$H,'KARYA HILS  01'!$J$1,'[1]Rincian Keluar'!$F:$F,'KARYA HILS  01'!M115)</f>
        <v>0</v>
      </c>
      <c r="F115" s="57">
        <v>10000</v>
      </c>
      <c r="G115" s="98">
        <f t="shared" si="23"/>
        <v>0</v>
      </c>
      <c r="H115" s="119"/>
      <c r="I115" s="42"/>
      <c r="J115" s="111"/>
      <c r="K115" s="105"/>
      <c r="M115" s="20" t="str">
        <f t="shared" si="22"/>
        <v>WC</v>
      </c>
    </row>
    <row r="116" spans="1:13" ht="18" customHeight="1" x14ac:dyDescent="0.25">
      <c r="B116" s="34">
        <v>12</v>
      </c>
      <c r="C116" s="45" t="s">
        <v>101</v>
      </c>
      <c r="D116" s="36">
        <f>IFERROR(HLOOKUP($J$1,[1]DB!$C$1:$K$172,116,FALSE),"")</f>
        <v>1</v>
      </c>
      <c r="E116" s="36">
        <f>SUMIFS('[1]Rincian Keluar'!$G:$G,'[1]Rincian Keluar'!$E:$E,'KARYA HILS  01'!C116,'[1]Rincian Keluar'!$D:$D,'KARYA HILS  01'!$D$1,'[1]Rincian Keluar'!$H:$H,'KARYA HILS  01'!$J$1,'[1]Rincian Keluar'!$F:$F,'KARYA HILS  01'!M116)</f>
        <v>0</v>
      </c>
      <c r="F116" s="57">
        <v>5000</v>
      </c>
      <c r="G116" s="98">
        <f t="shared" si="23"/>
        <v>0</v>
      </c>
      <c r="H116" s="122"/>
      <c r="I116" s="47"/>
      <c r="J116" s="113"/>
      <c r="K116" s="107"/>
      <c r="M116" s="20" t="str">
        <f t="shared" si="22"/>
        <v>WC</v>
      </c>
    </row>
    <row r="117" spans="1:13" ht="18" customHeight="1" x14ac:dyDescent="0.25">
      <c r="B117" s="29" t="s">
        <v>102</v>
      </c>
      <c r="C117" s="124" t="s">
        <v>103</v>
      </c>
      <c r="D117" s="31"/>
      <c r="E117" s="31"/>
      <c r="F117" s="31"/>
      <c r="G117" s="31"/>
      <c r="H117" s="31"/>
      <c r="I117" s="32"/>
      <c r="J117" s="31"/>
      <c r="K117" s="33"/>
      <c r="M117" s="20"/>
    </row>
    <row r="118" spans="1:13" ht="18" customHeight="1" x14ac:dyDescent="0.25">
      <c r="B118" s="34">
        <v>1</v>
      </c>
      <c r="C118" s="72" t="s">
        <v>104</v>
      </c>
      <c r="D118" s="36">
        <f>IFERROR(HLOOKUP($J$1,[1]DB!$C$1:$K$172,118,FALSE),"")</f>
        <v>3</v>
      </c>
      <c r="E118" s="36">
        <f>SUMIFS('[1]Rincian Keluar'!$G:$G,'[1]Rincian Keluar'!$E:$E,'KARYA HILS  01'!C118,'[1]Rincian Keluar'!$D:$D,'KARYA HILS  01'!$D$1,'[1]Rincian Keluar'!$H:$H,'KARYA HILS  01'!$J$1,'[1]Rincian Keluar'!$F:$F,'KARYA HILS  01'!M118)</f>
        <v>0</v>
      </c>
      <c r="F118" s="57">
        <v>124500</v>
      </c>
      <c r="G118" s="98">
        <f>E118*F118</f>
        <v>0</v>
      </c>
      <c r="H118" s="36"/>
      <c r="I118" s="126">
        <f>IFERROR(VLOOKUP($C117,[1]HK!$B$5:$C$20,2,FALSE),"")*$J1</f>
        <v>434000</v>
      </c>
      <c r="J118" s="127"/>
      <c r="K118" s="178"/>
      <c r="M118" s="20" t="str">
        <f>$C$117</f>
        <v>ACI MINIMALIS</v>
      </c>
    </row>
    <row r="119" spans="1:13" ht="18" customHeight="1" x14ac:dyDescent="0.25">
      <c r="B119" s="29" t="s">
        <v>105</v>
      </c>
      <c r="C119" s="124" t="s">
        <v>106</v>
      </c>
      <c r="D119" s="31"/>
      <c r="E119" s="31"/>
      <c r="F119" s="31"/>
      <c r="G119" s="31"/>
      <c r="H119" s="31"/>
      <c r="I119" s="32"/>
      <c r="J119" s="31"/>
      <c r="K119" s="33"/>
      <c r="M119" s="20"/>
    </row>
    <row r="120" spans="1:13" ht="18" customHeight="1" x14ac:dyDescent="0.25">
      <c r="B120" s="34">
        <v>1</v>
      </c>
      <c r="C120" s="35" t="s">
        <v>107</v>
      </c>
      <c r="D120" s="36">
        <f>IFERROR(HLOOKUP($J$1,[1]DB!$C$1:$K$172,120,FALSE),"")</f>
        <v>1</v>
      </c>
      <c r="E120" s="36">
        <f>SUMIFS('[1]Rincian Keluar'!$G:$G,'[1]Rincian Keluar'!$E:$E,'KARYA HILS  01'!C120,'[1]Rincian Keluar'!$D:$D,'KARYA HILS  01'!$D$1,'[1]Rincian Keluar'!$H:$H,'KARYA HILS  01'!$J$1,'[1]Rincian Keluar'!$F:$F,'KARYA HILS  01'!M120)</f>
        <v>0</v>
      </c>
      <c r="F120" s="64">
        <v>2434900</v>
      </c>
      <c r="G120" s="98">
        <f>E120*F120</f>
        <v>0</v>
      </c>
      <c r="H120" s="172"/>
      <c r="I120" s="39">
        <f>IFERROR(VLOOKUP($C119,[1]HK!$B$5:$C$20,2,FALSE),"")*$J1</f>
        <v>1390000</v>
      </c>
      <c r="J120" s="173"/>
      <c r="K120" s="103"/>
      <c r="M120" s="20" t="str">
        <f>$C$119</f>
        <v>CAT</v>
      </c>
    </row>
    <row r="121" spans="1:13" ht="18" customHeight="1" x14ac:dyDescent="0.25">
      <c r="B121" s="34">
        <v>2</v>
      </c>
      <c r="C121" s="35" t="s">
        <v>108</v>
      </c>
      <c r="D121" s="36">
        <f>IFERROR(HLOOKUP($J$1,[1]DB!$C$1:$K$172,121,FALSE),"")</f>
        <v>3</v>
      </c>
      <c r="E121" s="36">
        <f>SUMIFS('[1]Rincian Keluar'!$G:$G,'[1]Rincian Keluar'!$E:$E,'KARYA HILS  01'!C121,'[1]Rincian Keluar'!$D:$D,'KARYA HILS  01'!$D$1,'[1]Rincian Keluar'!$H:$H,'KARYA HILS  01'!$J$1,'[1]Rincian Keluar'!$F:$F,'KARYA HILS  01'!M121)</f>
        <v>0</v>
      </c>
      <c r="F121" s="64">
        <v>275000</v>
      </c>
      <c r="G121" s="98">
        <f t="shared" ref="G121:G123" si="24">E121*F121</f>
        <v>0</v>
      </c>
      <c r="H121" s="119"/>
      <c r="I121" s="42"/>
      <c r="J121" s="111"/>
      <c r="K121" s="105"/>
      <c r="M121" s="20" t="str">
        <f>$C$119</f>
        <v>CAT</v>
      </c>
    </row>
    <row r="122" spans="1:13" ht="18" customHeight="1" x14ac:dyDescent="0.25">
      <c r="B122" s="34">
        <v>3</v>
      </c>
      <c r="C122" s="72" t="s">
        <v>104</v>
      </c>
      <c r="D122" s="36">
        <f>IFERROR(HLOOKUP($J$1,[1]DB!$C$1:$K$172,122,FALSE),"")</f>
        <v>9</v>
      </c>
      <c r="E122" s="36">
        <f>SUMIFS('[1]Rincian Keluar'!$G:$G,'[1]Rincian Keluar'!$E:$E,'KARYA HILS  01'!C122,'[1]Rincian Keluar'!$D:$D,'KARYA HILS  01'!$D$1,'[1]Rincian Keluar'!$H:$H,'KARYA HILS  01'!$J$1,'[1]Rincian Keluar'!$F:$F,'KARYA HILS  01'!M122)</f>
        <v>0</v>
      </c>
      <c r="F122" s="57">
        <v>124500</v>
      </c>
      <c r="G122" s="98">
        <f t="shared" si="24"/>
        <v>0</v>
      </c>
      <c r="H122" s="119"/>
      <c r="I122" s="42"/>
      <c r="J122" s="111"/>
      <c r="K122" s="105"/>
      <c r="M122" s="20" t="str">
        <f>$C$119</f>
        <v>CAT</v>
      </c>
    </row>
    <row r="123" spans="1:13" ht="18" customHeight="1" x14ac:dyDescent="0.25">
      <c r="B123" s="34">
        <v>4</v>
      </c>
      <c r="C123" s="72" t="s">
        <v>109</v>
      </c>
      <c r="D123" s="36">
        <f>IFERROR(HLOOKUP($J$1,[1]DB!$C$1:$K$172,123,FALSE),"")</f>
        <v>1</v>
      </c>
      <c r="E123" s="36">
        <f>SUMIFS('[1]Rincian Keluar'!$G:$G,'[1]Rincian Keluar'!$E:$E,'KARYA HILS  01'!C123,'[1]Rincian Keluar'!$D:$D,'KARYA HILS  01'!$D$1,'[1]Rincian Keluar'!$H:$H,'KARYA HILS  01'!$J$1,'[1]Rincian Keluar'!$F:$F,'KARYA HILS  01'!M123)</f>
        <v>0</v>
      </c>
      <c r="F123" s="57">
        <v>115000</v>
      </c>
      <c r="G123" s="98">
        <f t="shared" si="24"/>
        <v>0</v>
      </c>
      <c r="H123" s="122"/>
      <c r="I123" s="47"/>
      <c r="J123" s="113"/>
      <c r="K123" s="107"/>
      <c r="M123" s="20" t="str">
        <f>$C$119</f>
        <v>CAT</v>
      </c>
    </row>
    <row r="124" spans="1:13" ht="18" customHeight="1" x14ac:dyDescent="0.25">
      <c r="B124" s="29" t="s">
        <v>110</v>
      </c>
      <c r="C124" s="124" t="s">
        <v>111</v>
      </c>
      <c r="D124" s="132"/>
      <c r="E124" s="132"/>
      <c r="F124" s="132"/>
      <c r="G124" s="132"/>
      <c r="H124" s="132"/>
      <c r="I124" s="133"/>
      <c r="J124" s="132"/>
      <c r="K124" s="134"/>
      <c r="M124" s="20"/>
    </row>
    <row r="125" spans="1:13" ht="18" customHeight="1" x14ac:dyDescent="0.25">
      <c r="B125" s="34">
        <v>1</v>
      </c>
      <c r="C125" s="35" t="s">
        <v>54</v>
      </c>
      <c r="D125" s="36">
        <f>IFERROR(HLOOKUP($J$1,[1]DB!$C$1:$K$172,125,FALSE),"")</f>
        <v>100</v>
      </c>
      <c r="E125" s="36">
        <f>SUMIFS('[1]Rincian Keluar'!$G:$G,'[1]Rincian Keluar'!$E:$E,'KARYA HILS  01'!C125,'[1]Rincian Keluar'!$D:$D,'KARYA HILS  01'!$D$1,'[1]Rincian Keluar'!$H:$H,'KARYA HILS  01'!$J$1,'[1]Rincian Keluar'!$F:$F,'KARYA HILS  01'!M125)</f>
        <v>0</v>
      </c>
      <c r="F125" s="37">
        <v>1850</v>
      </c>
      <c r="G125" s="135">
        <f>E125*F125</f>
        <v>0</v>
      </c>
      <c r="H125" s="172"/>
      <c r="I125" s="39">
        <f>IFERROR(VLOOKUP($C124,[1]HK!$B$5:$C$20,2,FALSE),"")*$J1</f>
        <v>178000</v>
      </c>
      <c r="J125" s="173"/>
      <c r="K125" s="103"/>
      <c r="M125" s="20" t="str">
        <f>$C$124</f>
        <v>PAGAR</v>
      </c>
    </row>
    <row r="126" spans="1:13" ht="18" customHeight="1" x14ac:dyDescent="0.25">
      <c r="B126" s="34">
        <v>2</v>
      </c>
      <c r="C126" s="35" t="s">
        <v>31</v>
      </c>
      <c r="D126" s="36">
        <f>IFERROR(HLOOKUP($J$1,[1]DB!$C$1:$K$172,126,FALSE),"")</f>
        <v>1</v>
      </c>
      <c r="E126" s="36">
        <f>SUMIFS('[1]Rincian Keluar'!$G:$G,'[1]Rincian Keluar'!$E:$E,'KARYA HILS  01'!C126,'[1]Rincian Keluar'!$D:$D,'KARYA HILS  01'!$D$1,'[1]Rincian Keluar'!$H:$H,'KARYA HILS  01'!$J$1,'[1]Rincian Keluar'!$F:$F,'KARYA HILS  01'!M126)</f>
        <v>0</v>
      </c>
      <c r="F126" s="37">
        <v>150000</v>
      </c>
      <c r="G126" s="135">
        <f t="shared" ref="G126:G129" si="25">E126*F126</f>
        <v>0</v>
      </c>
      <c r="H126" s="119"/>
      <c r="I126" s="42"/>
      <c r="J126" s="111"/>
      <c r="K126" s="105"/>
      <c r="M126" s="20" t="str">
        <f>$C$124</f>
        <v>PAGAR</v>
      </c>
    </row>
    <row r="127" spans="1:13" ht="18" customHeight="1" x14ac:dyDescent="0.25">
      <c r="B127" s="34">
        <v>3</v>
      </c>
      <c r="C127" s="45" t="s">
        <v>24</v>
      </c>
      <c r="D127" s="36">
        <f>IFERROR(HLOOKUP($J$1,[1]DB!$C$1:$K$172,127,FALSE),"")</f>
        <v>3</v>
      </c>
      <c r="E127" s="36">
        <f>SUMIFS('[1]Rincian Keluar'!$G:$G,'[1]Rincian Keluar'!$E:$E,'KARYA HILS  01'!C127,'[1]Rincian Keluar'!$D:$D,'KARYA HILS  01'!$D$1,'[1]Rincian Keluar'!$H:$H,'KARYA HILS  01'!$J$1,'[1]Rincian Keluar'!$F:$F,'KARYA HILS  01'!M127)</f>
        <v>0</v>
      </c>
      <c r="F127" s="37">
        <v>60700</v>
      </c>
      <c r="G127" s="135">
        <f t="shared" si="25"/>
        <v>0</v>
      </c>
      <c r="H127" s="119"/>
      <c r="I127" s="42"/>
      <c r="J127" s="111"/>
      <c r="K127" s="105"/>
      <c r="M127" s="20" t="str">
        <f>$C$124</f>
        <v>PAGAR</v>
      </c>
    </row>
    <row r="128" spans="1:13" ht="18" customHeight="1" x14ac:dyDescent="0.25">
      <c r="B128" s="34">
        <v>4</v>
      </c>
      <c r="C128" s="45" t="s">
        <v>51</v>
      </c>
      <c r="D128" s="36">
        <f>IFERROR(HLOOKUP($J$1,[1]DB!$C$1:$K$172,128,FALSE),"")</f>
        <v>2</v>
      </c>
      <c r="E128" s="36">
        <f>SUMIFS('[1]Rincian Keluar'!$G:$G,'[1]Rincian Keluar'!$E:$E,'KARYA HILS  01'!C128,'[1]Rincian Keluar'!$D:$D,'KARYA HILS  01'!$D$1,'[1]Rincian Keluar'!$H:$H,'KARYA HILS  01'!$J$1,'[1]Rincian Keluar'!$F:$F,'KARYA HILS  01'!M128)</f>
        <v>0</v>
      </c>
      <c r="F128" s="37">
        <v>22000</v>
      </c>
      <c r="G128" s="135">
        <f t="shared" si="25"/>
        <v>0</v>
      </c>
      <c r="H128" s="119"/>
      <c r="I128" s="42"/>
      <c r="J128" s="111"/>
      <c r="K128" s="105"/>
      <c r="M128" s="20" t="str">
        <f>$C$124</f>
        <v>PAGAR</v>
      </c>
    </row>
    <row r="129" spans="2:13" ht="18" customHeight="1" x14ac:dyDescent="0.25">
      <c r="B129" s="29">
        <v>5</v>
      </c>
      <c r="C129" s="45" t="s">
        <v>57</v>
      </c>
      <c r="D129" s="36">
        <f>IFERROR(HLOOKUP($J$1,[1]DB!$C$1:$K$172,129,FALSE),"")</f>
        <v>4</v>
      </c>
      <c r="E129" s="36">
        <f>SUMIFS('[1]Rincian Keluar'!$G:$G,'[1]Rincian Keluar'!$E:$E,'KARYA HILS  01'!C129,'[1]Rincian Keluar'!$D:$D,'KARYA HILS  01'!$D$1,'[1]Rincian Keluar'!$H:$H,'KARYA HILS  01'!$J$1,'[1]Rincian Keluar'!$F:$F,'KARYA HILS  01'!M129)</f>
        <v>0</v>
      </c>
      <c r="F129" s="37">
        <v>35000</v>
      </c>
      <c r="G129" s="135">
        <f t="shared" si="25"/>
        <v>0</v>
      </c>
      <c r="H129" s="122"/>
      <c r="I129" s="47"/>
      <c r="J129" s="113"/>
      <c r="K129" s="107"/>
      <c r="M129" s="20" t="str">
        <f>$C$124</f>
        <v>PAGAR</v>
      </c>
    </row>
    <row r="130" spans="2:13" ht="18" customHeight="1" x14ac:dyDescent="0.25">
      <c r="B130" s="29" t="s">
        <v>112</v>
      </c>
      <c r="C130" s="124" t="s">
        <v>113</v>
      </c>
      <c r="D130" s="132"/>
      <c r="E130" s="132"/>
      <c r="F130" s="132"/>
      <c r="G130" s="132"/>
      <c r="H130" s="132"/>
      <c r="I130" s="133"/>
      <c r="J130" s="132"/>
      <c r="K130" s="134"/>
      <c r="M130" s="20"/>
    </row>
    <row r="131" spans="2:13" ht="18" customHeight="1" x14ac:dyDescent="0.25">
      <c r="B131" s="34">
        <v>1</v>
      </c>
      <c r="C131" s="45" t="s">
        <v>24</v>
      </c>
      <c r="D131" s="36">
        <f>IFERROR(HLOOKUP($J$1,[1]DB!$C$1:$K$172,131,FALSE),"")</f>
        <v>9</v>
      </c>
      <c r="E131" s="36">
        <f>SUMIFS('[1]Rincian Keluar'!$G:$G,'[1]Rincian Keluar'!$E:$E,'KARYA HILS  01'!C131,'[1]Rincian Keluar'!$D:$D,'KARYA HILS  01'!$D$1,'[1]Rincian Keluar'!$H:$H,'KARYA HILS  01'!$J$1,'[1]Rincian Keluar'!$F:$F,'KARYA HILS  01'!M131)</f>
        <v>0</v>
      </c>
      <c r="F131" s="37">
        <v>60700</v>
      </c>
      <c r="G131" s="135">
        <f>E131*F131</f>
        <v>0</v>
      </c>
      <c r="H131" s="172"/>
      <c r="I131" s="39">
        <f>IFERROR(VLOOKUP($C130,[1]HK!$B$5:$C$20,2,FALSE),"")*$J1</f>
        <v>221000</v>
      </c>
      <c r="J131" s="173"/>
      <c r="K131" s="103"/>
      <c r="M131" s="20" t="str">
        <f>$C$130</f>
        <v>MINIMALIS CARPORT</v>
      </c>
    </row>
    <row r="132" spans="2:13" ht="18" customHeight="1" x14ac:dyDescent="0.25">
      <c r="B132" s="34">
        <v>2</v>
      </c>
      <c r="C132" s="35" t="s">
        <v>31</v>
      </c>
      <c r="D132" s="36">
        <f>IFERROR(HLOOKUP($J$1,[1]DB!$C$1:$K$172,132,FALSE),"")</f>
        <v>2</v>
      </c>
      <c r="E132" s="36">
        <f>SUMIFS('[1]Rincian Keluar'!$G:$G,'[1]Rincian Keluar'!$E:$E,'KARYA HILS  01'!C132,'[1]Rincian Keluar'!$D:$D,'KARYA HILS  01'!$D$1,'[1]Rincian Keluar'!$H:$H,'KARYA HILS  01'!$J$1,'[1]Rincian Keluar'!$F:$F,'KARYA HILS  01'!M132)</f>
        <v>0</v>
      </c>
      <c r="F132" s="37">
        <v>150000</v>
      </c>
      <c r="G132" s="135">
        <f>E132*F132</f>
        <v>0</v>
      </c>
      <c r="H132" s="122"/>
      <c r="I132" s="47"/>
      <c r="J132" s="113"/>
      <c r="K132" s="107"/>
      <c r="M132" s="20" t="str">
        <f>$C$130</f>
        <v>MINIMALIS CARPORT</v>
      </c>
    </row>
    <row r="133" spans="2:13" ht="18" customHeight="1" x14ac:dyDescent="0.25">
      <c r="B133" s="29" t="s">
        <v>114</v>
      </c>
      <c r="C133" s="124" t="s">
        <v>115</v>
      </c>
      <c r="D133" s="132"/>
      <c r="E133" s="132"/>
      <c r="F133" s="132"/>
      <c r="G133" s="132"/>
      <c r="H133" s="132"/>
      <c r="I133" s="133"/>
      <c r="J133" s="132"/>
      <c r="K133" s="134"/>
      <c r="M133" s="20"/>
    </row>
    <row r="134" spans="2:13" s="66" customFormat="1" ht="18" customHeight="1" x14ac:dyDescent="0.25">
      <c r="B134" s="34">
        <v>1</v>
      </c>
      <c r="C134" s="35" t="s">
        <v>116</v>
      </c>
      <c r="D134" s="36" t="str">
        <f>IFERROR(HLOOKUP($J$1,[1]DB!$C$1:$K$172,1334,FALSE),"")</f>
        <v/>
      </c>
      <c r="E134" s="36">
        <f>SUMIFS('[1]Rincian Keluar'!$G:$G,'[1]Rincian Keluar'!$E:$E,'KARYA HILS  01'!C134,'[1]Rincian Keluar'!$D:$D,'KARYA HILS  01'!$D$1,'[1]Rincian Keluar'!$H:$H,'KARYA HILS  01'!$J$1,'[1]Rincian Keluar'!$F:$F,'KARYA HILS  01'!M134)</f>
        <v>0</v>
      </c>
      <c r="F134" s="37">
        <v>82000</v>
      </c>
      <c r="G134" s="135">
        <f>E134*F134</f>
        <v>0</v>
      </c>
      <c r="H134" s="136"/>
      <c r="I134" s="39"/>
      <c r="J134" s="137"/>
      <c r="K134" s="84"/>
      <c r="M134" s="20" t="str">
        <f t="shared" ref="M134:M141" si="26">$C$133</f>
        <v>TALANG AIR</v>
      </c>
    </row>
    <row r="135" spans="2:13" s="66" customFormat="1" ht="18" customHeight="1" x14ac:dyDescent="0.25">
      <c r="B135" s="34">
        <v>2</v>
      </c>
      <c r="C135" s="35" t="s">
        <v>117</v>
      </c>
      <c r="D135" s="36">
        <f>IFERROR(HLOOKUP($J$1,[1]DB!$C$1:$K$172,135,FALSE),"")</f>
        <v>2</v>
      </c>
      <c r="E135" s="36">
        <f>SUMIFS('[1]Rincian Keluar'!$G:$G,'[1]Rincian Keluar'!$E:$E,'KARYA HILS  01'!C135,'[1]Rincian Keluar'!$D:$D,'KARYA HILS  01'!$D$1,'[1]Rincian Keluar'!$H:$H,'KARYA HILS  01'!$J$1,'[1]Rincian Keluar'!$F:$F,'KARYA HILS  01'!M135)</f>
        <v>0</v>
      </c>
      <c r="F135" s="37">
        <v>50000</v>
      </c>
      <c r="G135" s="135">
        <f t="shared" ref="G135:G141" si="27">E135*F135</f>
        <v>0</v>
      </c>
      <c r="H135" s="138"/>
      <c r="I135" s="42"/>
      <c r="J135" s="104"/>
      <c r="K135" s="87"/>
      <c r="M135" s="20" t="str">
        <f t="shared" si="26"/>
        <v>TALANG AIR</v>
      </c>
    </row>
    <row r="136" spans="2:13" s="66" customFormat="1" ht="18" customHeight="1" x14ac:dyDescent="0.25">
      <c r="B136" s="34">
        <v>3</v>
      </c>
      <c r="C136" s="35" t="s">
        <v>118</v>
      </c>
      <c r="D136" s="36">
        <f>IFERROR(HLOOKUP($J$1,[1]DB!$C$1:$K$172,136,FALSE),"")</f>
        <v>2</v>
      </c>
      <c r="E136" s="36">
        <f>SUMIFS('[1]Rincian Keluar'!$G:$G,'[1]Rincian Keluar'!$E:$E,'KARYA HILS  01'!C136,'[1]Rincian Keluar'!$D:$D,'KARYA HILS  01'!$D$1,'[1]Rincian Keluar'!$H:$H,'KARYA HILS  01'!$J$1,'[1]Rincian Keluar'!$F:$F,'KARYA HILS  01'!M136)</f>
        <v>0</v>
      </c>
      <c r="F136" s="37">
        <v>4000</v>
      </c>
      <c r="G136" s="135">
        <f t="shared" si="27"/>
        <v>0</v>
      </c>
      <c r="H136" s="138"/>
      <c r="I136" s="42"/>
      <c r="J136" s="104"/>
      <c r="K136" s="87"/>
      <c r="M136" s="20" t="str">
        <f t="shared" si="26"/>
        <v>TALANG AIR</v>
      </c>
    </row>
    <row r="137" spans="2:13" s="66" customFormat="1" ht="18" customHeight="1" x14ac:dyDescent="0.25">
      <c r="B137" s="34">
        <v>4</v>
      </c>
      <c r="C137" s="35" t="s">
        <v>119</v>
      </c>
      <c r="D137" s="36">
        <f>IFERROR(HLOOKUP($J$1,[1]DB!$C$1:$K$172,137,FALSE),"")</f>
        <v>1</v>
      </c>
      <c r="E137" s="36">
        <f>SUMIFS('[1]Rincian Keluar'!$G:$G,'[1]Rincian Keluar'!$E:$E,'KARYA HILS  01'!C137,'[1]Rincian Keluar'!$D:$D,'KARYA HILS  01'!$D$1,'[1]Rincian Keluar'!$H:$H,'KARYA HILS  01'!$J$1,'[1]Rincian Keluar'!$F:$F,'KARYA HILS  01'!M137)</f>
        <v>0</v>
      </c>
      <c r="F137" s="37">
        <v>15000</v>
      </c>
      <c r="G137" s="135">
        <f t="shared" si="27"/>
        <v>0</v>
      </c>
      <c r="H137" s="138"/>
      <c r="I137" s="42"/>
      <c r="J137" s="104"/>
      <c r="K137" s="87"/>
      <c r="M137" s="20" t="str">
        <f t="shared" si="26"/>
        <v>TALANG AIR</v>
      </c>
    </row>
    <row r="138" spans="2:13" s="66" customFormat="1" ht="18" customHeight="1" x14ac:dyDescent="0.25">
      <c r="B138" s="34">
        <v>5</v>
      </c>
      <c r="C138" s="35" t="s">
        <v>120</v>
      </c>
      <c r="D138" s="36">
        <f>IFERROR(HLOOKUP($J$1,[1]DB!$C$1:$K$172,138,FALSE),"")</f>
        <v>1</v>
      </c>
      <c r="E138" s="36">
        <f>SUMIFS('[1]Rincian Keluar'!$G:$G,'[1]Rincian Keluar'!$E:$E,'KARYA HILS  01'!C138,'[1]Rincian Keluar'!$D:$D,'KARYA HILS  01'!$D$1,'[1]Rincian Keluar'!$H:$H,'KARYA HILS  01'!$J$1,'[1]Rincian Keluar'!$F:$F,'KARYA HILS  01'!M138)</f>
        <v>0</v>
      </c>
      <c r="F138" s="37">
        <v>12000</v>
      </c>
      <c r="G138" s="135">
        <f t="shared" si="27"/>
        <v>0</v>
      </c>
      <c r="H138" s="138"/>
      <c r="I138" s="42"/>
      <c r="J138" s="104"/>
      <c r="K138" s="87"/>
      <c r="M138" s="20" t="str">
        <f t="shared" si="26"/>
        <v>TALANG AIR</v>
      </c>
    </row>
    <row r="139" spans="2:13" s="66" customFormat="1" ht="18" customHeight="1" x14ac:dyDescent="0.25">
      <c r="B139" s="34">
        <v>6</v>
      </c>
      <c r="C139" s="35" t="s">
        <v>121</v>
      </c>
      <c r="D139" s="36">
        <f>IFERROR(HLOOKUP($J$1,[1]DB!$C$1:$K$172,139,FALSE),"")</f>
        <v>3</v>
      </c>
      <c r="E139" s="36">
        <f>SUMIFS('[1]Rincian Keluar'!$G:$G,'[1]Rincian Keluar'!$E:$E,'KARYA HILS  01'!C139,'[1]Rincian Keluar'!$D:$D,'KARYA HILS  01'!$D$1,'[1]Rincian Keluar'!$H:$H,'KARYA HILS  01'!$J$1,'[1]Rincian Keluar'!$F:$F,'KARYA HILS  01'!M139)</f>
        <v>0</v>
      </c>
      <c r="F139" s="37">
        <v>4000</v>
      </c>
      <c r="G139" s="135">
        <f t="shared" si="27"/>
        <v>0</v>
      </c>
      <c r="H139" s="138"/>
      <c r="I139" s="42"/>
      <c r="J139" s="104"/>
      <c r="K139" s="87"/>
      <c r="M139" s="20" t="str">
        <f t="shared" si="26"/>
        <v>TALANG AIR</v>
      </c>
    </row>
    <row r="140" spans="2:13" s="66" customFormat="1" ht="18" customHeight="1" x14ac:dyDescent="0.25">
      <c r="B140" s="34">
        <v>7</v>
      </c>
      <c r="C140" s="35" t="s">
        <v>122</v>
      </c>
      <c r="D140" s="36">
        <f>IFERROR(HLOOKUP($J$1,[1]DB!$C$1:$K$172,140,FALSE),"")</f>
        <v>1</v>
      </c>
      <c r="E140" s="36">
        <f>SUMIFS('[1]Rincian Keluar'!$G:$G,'[1]Rincian Keluar'!$E:$E,'KARYA HILS  01'!C140,'[1]Rincian Keluar'!$D:$D,'KARYA HILS  01'!$D$1,'[1]Rincian Keluar'!$H:$H,'KARYA HILS  01'!$J$1,'[1]Rincian Keluar'!$F:$F,'KARYA HILS  01'!M140)</f>
        <v>0</v>
      </c>
      <c r="F140" s="37">
        <v>8000</v>
      </c>
      <c r="G140" s="135">
        <f t="shared" si="27"/>
        <v>0</v>
      </c>
      <c r="H140" s="138"/>
      <c r="I140" s="42"/>
      <c r="J140" s="104"/>
      <c r="K140" s="87"/>
      <c r="M140" s="20" t="str">
        <f t="shared" si="26"/>
        <v>TALANG AIR</v>
      </c>
    </row>
    <row r="141" spans="2:13" s="66" customFormat="1" ht="18" customHeight="1" x14ac:dyDescent="0.25">
      <c r="B141" s="34">
        <v>8</v>
      </c>
      <c r="C141" s="139" t="s">
        <v>123</v>
      </c>
      <c r="D141" s="36">
        <f>IFERROR(HLOOKUP($J$1,[1]DB!$C$1:$K$172,141,FALSE),"")</f>
        <v>1</v>
      </c>
      <c r="E141" s="36">
        <f>SUMIFS('[1]Rincian Keluar'!$G:$G,'[1]Rincian Keluar'!$E:$E,'KARYA HILS  01'!C141,'[1]Rincian Keluar'!$D:$D,'KARYA HILS  01'!$D$1,'[1]Rincian Keluar'!$H:$H,'KARYA HILS  01'!$J$1,'[1]Rincian Keluar'!$F:$F,'KARYA HILS  01'!M141)</f>
        <v>0</v>
      </c>
      <c r="F141" s="37">
        <v>22000</v>
      </c>
      <c r="G141" s="135">
        <f t="shared" si="27"/>
        <v>0</v>
      </c>
      <c r="H141" s="140"/>
      <c r="I141" s="47"/>
      <c r="J141" s="106"/>
      <c r="K141" s="90"/>
      <c r="M141" s="20" t="str">
        <f t="shared" si="26"/>
        <v>TALANG AIR</v>
      </c>
    </row>
    <row r="142" spans="2:13" ht="18" customHeight="1" x14ac:dyDescent="0.25">
      <c r="B142" s="29" t="s">
        <v>124</v>
      </c>
      <c r="C142" s="124" t="s">
        <v>125</v>
      </c>
      <c r="D142" s="132"/>
      <c r="E142" s="132"/>
      <c r="F142" s="132"/>
      <c r="G142" s="132"/>
      <c r="H142" s="132"/>
      <c r="I142" s="133"/>
      <c r="J142" s="132"/>
      <c r="K142" s="134"/>
      <c r="M142" s="20"/>
    </row>
    <row r="143" spans="2:13" s="142" customFormat="1" ht="18" customHeight="1" x14ac:dyDescent="0.25">
      <c r="B143" s="34">
        <v>1</v>
      </c>
      <c r="C143" s="139" t="s">
        <v>126</v>
      </c>
      <c r="D143" s="36">
        <f>IFERROR(HLOOKUP($J$1,[1]DB!$C$1:$K$172,143,FALSE),"")</f>
        <v>4</v>
      </c>
      <c r="E143" s="36">
        <f>SUMIFS('[1]Rincian Keluar'!$G:$G,'[1]Rincian Keluar'!$E:$E,'KARYA HILS  01'!C143,'[1]Rincian Keluar'!$D:$D,'KARYA HILS  01'!$D$1,'[1]Rincian Keluar'!$H:$H,'KARYA HILS  01'!$J$1,'[1]Rincian Keluar'!$F:$F,'KARYA HILS  01'!M143)</f>
        <v>0</v>
      </c>
      <c r="F143" s="141">
        <v>165000</v>
      </c>
      <c r="G143" s="98">
        <f>E143*F143</f>
        <v>0</v>
      </c>
      <c r="H143" s="136"/>
      <c r="I143" s="39"/>
      <c r="J143" s="137"/>
      <c r="K143" s="84"/>
      <c r="M143" s="20" t="str">
        <f t="shared" ref="M143:M161" si="28">$C$142</f>
        <v xml:space="preserve">JENDELA </v>
      </c>
    </row>
    <row r="144" spans="2:13" s="142" customFormat="1" ht="18" customHeight="1" x14ac:dyDescent="0.25">
      <c r="B144" s="34">
        <v>2</v>
      </c>
      <c r="C144" s="139" t="s">
        <v>127</v>
      </c>
      <c r="D144" s="36">
        <f>IFERROR(HLOOKUP($J$1,[1]DB!$C$1:$K$172,144,FALSE),"")</f>
        <v>2</v>
      </c>
      <c r="E144" s="36">
        <f>SUMIFS('[1]Rincian Keluar'!$G:$G,'[1]Rincian Keluar'!$E:$E,'KARYA HILS  01'!C144,'[1]Rincian Keluar'!$D:$D,'KARYA HILS  01'!$D$1,'[1]Rincian Keluar'!$H:$H,'KARYA HILS  01'!$J$1,'[1]Rincian Keluar'!$F:$F,'KARYA HILS  01'!M144)</f>
        <v>0</v>
      </c>
      <c r="F144" s="141">
        <v>198000</v>
      </c>
      <c r="G144" s="98">
        <f t="shared" ref="G144:G161" si="29">E144*F144</f>
        <v>0</v>
      </c>
      <c r="H144" s="138"/>
      <c r="I144" s="42"/>
      <c r="J144" s="104"/>
      <c r="K144" s="87"/>
      <c r="M144" s="20" t="str">
        <f t="shared" si="28"/>
        <v xml:space="preserve">JENDELA </v>
      </c>
    </row>
    <row r="145" spans="2:13" s="142" customFormat="1" ht="18" customHeight="1" x14ac:dyDescent="0.25">
      <c r="B145" s="34">
        <v>3</v>
      </c>
      <c r="C145" s="139" t="s">
        <v>128</v>
      </c>
      <c r="D145" s="36">
        <f>IFERROR(HLOOKUP($J$1,[1]DB!$C$1:$K$172,145,FALSE),"")</f>
        <v>6</v>
      </c>
      <c r="E145" s="36">
        <f>SUMIFS('[1]Rincian Keluar'!$G:$G,'[1]Rincian Keluar'!$E:$E,'KARYA HILS  01'!C145,'[1]Rincian Keluar'!$D:$D,'KARYA HILS  01'!$D$1,'[1]Rincian Keluar'!$H:$H,'KARYA HILS  01'!$J$1,'[1]Rincian Keluar'!$F:$F,'KARYA HILS  01'!M145)</f>
        <v>0</v>
      </c>
      <c r="F145" s="141">
        <v>86000</v>
      </c>
      <c r="G145" s="98">
        <f t="shared" si="29"/>
        <v>0</v>
      </c>
      <c r="H145" s="138"/>
      <c r="I145" s="42"/>
      <c r="J145" s="104"/>
      <c r="K145" s="87"/>
      <c r="M145" s="20" t="str">
        <f t="shared" si="28"/>
        <v xml:space="preserve">JENDELA </v>
      </c>
    </row>
    <row r="146" spans="2:13" s="142" customFormat="1" ht="18" customHeight="1" x14ac:dyDescent="0.25">
      <c r="B146" s="34">
        <v>4</v>
      </c>
      <c r="C146" s="139" t="s">
        <v>129</v>
      </c>
      <c r="D146" s="36">
        <f>IFERROR(HLOOKUP($J$1,[1]DB!$C$1:$K$172,146,FALSE),"")</f>
        <v>6</v>
      </c>
      <c r="E146" s="36">
        <f>SUMIFS('[1]Rincian Keluar'!$G:$G,'[1]Rincian Keluar'!$E:$E,'KARYA HILS  01'!C146,'[1]Rincian Keluar'!$D:$D,'KARYA HILS  01'!$D$1,'[1]Rincian Keluar'!$H:$H,'KARYA HILS  01'!$J$1,'[1]Rincian Keluar'!$F:$F,'KARYA HILS  01'!M146)</f>
        <v>0</v>
      </c>
      <c r="F146" s="141">
        <v>50000</v>
      </c>
      <c r="G146" s="98">
        <f t="shared" si="29"/>
        <v>0</v>
      </c>
      <c r="H146" s="138"/>
      <c r="I146" s="42"/>
      <c r="J146" s="104"/>
      <c r="K146" s="87"/>
      <c r="M146" s="20" t="str">
        <f t="shared" si="28"/>
        <v xml:space="preserve">JENDELA </v>
      </c>
    </row>
    <row r="147" spans="2:13" s="142" customFormat="1" ht="18" customHeight="1" x14ac:dyDescent="0.25">
      <c r="B147" s="34">
        <v>5</v>
      </c>
      <c r="C147" s="139" t="s">
        <v>130</v>
      </c>
      <c r="D147" s="36">
        <f>IFERROR(HLOOKUP($J$1,[1]DB!$C$1:$K$172,147,FALSE),"")</f>
        <v>1</v>
      </c>
      <c r="E147" s="36">
        <f>SUMIFS('[1]Rincian Keluar'!$G:$G,'[1]Rincian Keluar'!$E:$E,'KARYA HILS  01'!C147,'[1]Rincian Keluar'!$D:$D,'KARYA HILS  01'!$D$1,'[1]Rincian Keluar'!$H:$H,'KARYA HILS  01'!$J$1,'[1]Rincian Keluar'!$F:$F,'KARYA HILS  01'!M147)</f>
        <v>0</v>
      </c>
      <c r="F147" s="141">
        <v>60000</v>
      </c>
      <c r="G147" s="98">
        <f t="shared" si="29"/>
        <v>0</v>
      </c>
      <c r="H147" s="138"/>
      <c r="I147" s="42"/>
      <c r="J147" s="104"/>
      <c r="K147" s="87"/>
      <c r="M147" s="20" t="str">
        <f t="shared" si="28"/>
        <v xml:space="preserve">JENDELA </v>
      </c>
    </row>
    <row r="148" spans="2:13" s="142" customFormat="1" ht="18" customHeight="1" x14ac:dyDescent="0.25">
      <c r="B148" s="34">
        <v>6</v>
      </c>
      <c r="C148" s="139" t="s">
        <v>131</v>
      </c>
      <c r="D148" s="36">
        <f>IFERROR(HLOOKUP($J$1,[1]DB!$C$1:$K$172,148,FALSE),"")</f>
        <v>2</v>
      </c>
      <c r="E148" s="36">
        <f>SUMIFS('[1]Rincian Keluar'!$G:$G,'[1]Rincian Keluar'!$E:$E,'KARYA HILS  01'!C148,'[1]Rincian Keluar'!$D:$D,'KARYA HILS  01'!$D$1,'[1]Rincian Keluar'!$H:$H,'KARYA HILS  01'!$J$1,'[1]Rincian Keluar'!$F:$F,'KARYA HILS  01'!M148)</f>
        <v>0</v>
      </c>
      <c r="F148" s="141">
        <v>55000</v>
      </c>
      <c r="G148" s="98">
        <f t="shared" si="29"/>
        <v>0</v>
      </c>
      <c r="H148" s="138"/>
      <c r="I148" s="42"/>
      <c r="J148" s="104"/>
      <c r="K148" s="87"/>
      <c r="M148" s="20" t="str">
        <f t="shared" si="28"/>
        <v xml:space="preserve">JENDELA </v>
      </c>
    </row>
    <row r="149" spans="2:13" s="142" customFormat="1" ht="18" customHeight="1" x14ac:dyDescent="0.25">
      <c r="B149" s="34">
        <v>7</v>
      </c>
      <c r="C149" s="139" t="s">
        <v>132</v>
      </c>
      <c r="D149" s="36">
        <f>IFERROR(HLOOKUP($J$1,[1]DB!$C$1:$K$172,149,FALSE),"")</f>
        <v>2</v>
      </c>
      <c r="E149" s="36">
        <f>SUMIFS('[1]Rincian Keluar'!$G:$G,'[1]Rincian Keluar'!$E:$E,'KARYA HILS  01'!C149,'[1]Rincian Keluar'!$D:$D,'KARYA HILS  01'!$D$1,'[1]Rincian Keluar'!$H:$H,'KARYA HILS  01'!$J$1,'[1]Rincian Keluar'!$F:$F,'KARYA HILS  01'!M149)</f>
        <v>0</v>
      </c>
      <c r="F149" s="141">
        <v>50000</v>
      </c>
      <c r="G149" s="98">
        <f t="shared" si="29"/>
        <v>0</v>
      </c>
      <c r="H149" s="138"/>
      <c r="I149" s="42"/>
      <c r="J149" s="104"/>
      <c r="K149" s="87"/>
      <c r="M149" s="20" t="str">
        <f t="shared" si="28"/>
        <v xml:space="preserve">JENDELA </v>
      </c>
    </row>
    <row r="150" spans="2:13" s="142" customFormat="1" ht="18" customHeight="1" x14ac:dyDescent="0.25">
      <c r="B150" s="34">
        <v>8</v>
      </c>
      <c r="C150" s="139" t="s">
        <v>133</v>
      </c>
      <c r="D150" s="36">
        <f>IFERROR(HLOOKUP($J$1,[1]DB!$C$1:$K$172,150,FALSE),"")</f>
        <v>3</v>
      </c>
      <c r="E150" s="36">
        <f>SUMIFS('[1]Rincian Keluar'!$G:$G,'[1]Rincian Keluar'!$E:$E,'KARYA HILS  01'!C150,'[1]Rincian Keluar'!$D:$D,'KARYA HILS  01'!$D$1,'[1]Rincian Keluar'!$H:$H,'KARYA HILS  01'!$J$1,'[1]Rincian Keluar'!$F:$F,'KARYA HILS  01'!M150)</f>
        <v>0</v>
      </c>
      <c r="F150" s="141">
        <v>11000</v>
      </c>
      <c r="G150" s="98">
        <f t="shared" si="29"/>
        <v>0</v>
      </c>
      <c r="H150" s="138"/>
      <c r="I150" s="42"/>
      <c r="J150" s="104"/>
      <c r="K150" s="87"/>
      <c r="M150" s="20" t="str">
        <f t="shared" si="28"/>
        <v xml:space="preserve">JENDELA </v>
      </c>
    </row>
    <row r="151" spans="2:13" s="142" customFormat="1" ht="18" customHeight="1" x14ac:dyDescent="0.25">
      <c r="B151" s="34">
        <v>9</v>
      </c>
      <c r="C151" s="139" t="s">
        <v>134</v>
      </c>
      <c r="D151" s="36">
        <f>IFERROR(HLOOKUP($J$1,[1]DB!$C$1:$K$172,151,FALSE),"")</f>
        <v>2</v>
      </c>
      <c r="E151" s="36">
        <f>SUMIFS('[1]Rincian Keluar'!$G:$G,'[1]Rincian Keluar'!$E:$E,'KARYA HILS  01'!C151,'[1]Rincian Keluar'!$D:$D,'KARYA HILS  01'!$D$1,'[1]Rincian Keluar'!$H:$H,'KARYA HILS  01'!$J$1,'[1]Rincian Keluar'!$F:$F,'KARYA HILS  01'!M151)</f>
        <v>0</v>
      </c>
      <c r="F151" s="141">
        <v>11000</v>
      </c>
      <c r="G151" s="98">
        <f t="shared" si="29"/>
        <v>0</v>
      </c>
      <c r="H151" s="138"/>
      <c r="I151" s="42"/>
      <c r="J151" s="104"/>
      <c r="K151" s="87"/>
      <c r="M151" s="20" t="str">
        <f t="shared" si="28"/>
        <v xml:space="preserve">JENDELA </v>
      </c>
    </row>
    <row r="152" spans="2:13" s="142" customFormat="1" ht="18" customHeight="1" x14ac:dyDescent="0.25">
      <c r="B152" s="34">
        <v>10</v>
      </c>
      <c r="C152" s="139" t="s">
        <v>135</v>
      </c>
      <c r="D152" s="36">
        <f>IFERROR(HLOOKUP($J$1,[1]DB!$C$1:$K$172,152,FALSE),"")</f>
        <v>5</v>
      </c>
      <c r="E152" s="36">
        <f>SUMIFS('[1]Rincian Keluar'!$G:$G,'[1]Rincian Keluar'!$E:$E,'KARYA HILS  01'!C152,'[1]Rincian Keluar'!$D:$D,'KARYA HILS  01'!$D$1,'[1]Rincian Keluar'!$H:$H,'KARYA HILS  01'!$J$1,'[1]Rincian Keluar'!$F:$F,'KARYA HILS  01'!M152)</f>
        <v>0</v>
      </c>
      <c r="F152" s="141">
        <v>17000</v>
      </c>
      <c r="G152" s="98">
        <f t="shared" si="29"/>
        <v>0</v>
      </c>
      <c r="H152" s="138"/>
      <c r="I152" s="42"/>
      <c r="J152" s="104"/>
      <c r="K152" s="87"/>
      <c r="M152" s="20" t="str">
        <f t="shared" si="28"/>
        <v xml:space="preserve">JENDELA </v>
      </c>
    </row>
    <row r="153" spans="2:13" s="142" customFormat="1" ht="18" customHeight="1" x14ac:dyDescent="0.25">
      <c r="B153" s="34">
        <v>11</v>
      </c>
      <c r="C153" s="139" t="s">
        <v>136</v>
      </c>
      <c r="D153" s="36">
        <f>IFERROR(HLOOKUP($J$1,[1]DB!$C$1:$K$172,153,FALSE),"")</f>
        <v>4</v>
      </c>
      <c r="E153" s="36">
        <f>SUMIFS('[1]Rincian Keluar'!$G:$G,'[1]Rincian Keluar'!$E:$E,'KARYA HILS  01'!C153,'[1]Rincian Keluar'!$D:$D,'KARYA HILS  01'!$D$1,'[1]Rincian Keluar'!$H:$H,'KARYA HILS  01'!$J$1,'[1]Rincian Keluar'!$F:$F,'KARYA HILS  01'!M153)</f>
        <v>0</v>
      </c>
      <c r="F153" s="141">
        <v>40000</v>
      </c>
      <c r="G153" s="98">
        <f t="shared" si="29"/>
        <v>0</v>
      </c>
      <c r="H153" s="138"/>
      <c r="I153" s="42"/>
      <c r="J153" s="104"/>
      <c r="K153" s="87"/>
      <c r="M153" s="20" t="str">
        <f t="shared" si="28"/>
        <v xml:space="preserve">JENDELA </v>
      </c>
    </row>
    <row r="154" spans="2:13" s="142" customFormat="1" ht="18" customHeight="1" x14ac:dyDescent="0.25">
      <c r="B154" s="34">
        <v>12</v>
      </c>
      <c r="C154" s="139" t="s">
        <v>137</v>
      </c>
      <c r="D154" s="36">
        <f>IFERROR(HLOOKUP($J$1,[1]DB!$C$1:$K$172,154,FALSE),"")</f>
        <v>25</v>
      </c>
      <c r="E154" s="36">
        <f>SUMIFS('[1]Rincian Keluar'!$G:$G,'[1]Rincian Keluar'!$E:$E,'KARYA HILS  01'!C154,'[1]Rincian Keluar'!$D:$D,'KARYA HILS  01'!$D$1,'[1]Rincian Keluar'!$H:$H,'KARYA HILS  01'!$J$1,'[1]Rincian Keluar'!$F:$F,'KARYA HILS  01'!M154)</f>
        <v>0</v>
      </c>
      <c r="F154" s="141">
        <v>400</v>
      </c>
      <c r="G154" s="98">
        <f t="shared" si="29"/>
        <v>0</v>
      </c>
      <c r="H154" s="138"/>
      <c r="I154" s="42"/>
      <c r="J154" s="104"/>
      <c r="K154" s="87"/>
      <c r="M154" s="20" t="str">
        <f t="shared" si="28"/>
        <v xml:space="preserve">JENDELA </v>
      </c>
    </row>
    <row r="155" spans="2:13" s="142" customFormat="1" ht="18" customHeight="1" x14ac:dyDescent="0.25">
      <c r="B155" s="34">
        <v>13</v>
      </c>
      <c r="C155" s="139" t="s">
        <v>138</v>
      </c>
      <c r="D155" s="36">
        <f>IFERROR(HLOOKUP($J$1,[1]DB!$C$1:$K$172,155,FALSE),"")</f>
        <v>40</v>
      </c>
      <c r="E155" s="36">
        <f>SUMIFS('[1]Rincian Keluar'!$G:$G,'[1]Rincian Keluar'!$E:$E,'KARYA HILS  01'!C155,'[1]Rincian Keluar'!$D:$D,'KARYA HILS  01'!$D$1,'[1]Rincian Keluar'!$H:$H,'KARYA HILS  01'!$J$1,'[1]Rincian Keluar'!$F:$F,'KARYA HILS  01'!M155)</f>
        <v>0</v>
      </c>
      <c r="F155" s="141">
        <v>15000</v>
      </c>
      <c r="G155" s="98">
        <f t="shared" si="29"/>
        <v>0</v>
      </c>
      <c r="H155" s="138"/>
      <c r="I155" s="42"/>
      <c r="J155" s="104"/>
      <c r="K155" s="87"/>
      <c r="M155" s="20" t="str">
        <f t="shared" si="28"/>
        <v xml:space="preserve">JENDELA </v>
      </c>
    </row>
    <row r="156" spans="2:13" s="142" customFormat="1" ht="18" customHeight="1" x14ac:dyDescent="0.25">
      <c r="B156" s="34">
        <v>14</v>
      </c>
      <c r="C156" s="139" t="s">
        <v>139</v>
      </c>
      <c r="D156" s="36">
        <f>IFERROR(HLOOKUP($J$1,[1]DB!$C$1:$K$172,156,FALSE),"")</f>
        <v>40</v>
      </c>
      <c r="E156" s="36">
        <f>SUMIFS('[1]Rincian Keluar'!$G:$G,'[1]Rincian Keluar'!$E:$E,'KARYA HILS  01'!C156,'[1]Rincian Keluar'!$D:$D,'KARYA HILS  01'!$D$1,'[1]Rincian Keluar'!$H:$H,'KARYA HILS  01'!$J$1,'[1]Rincian Keluar'!$F:$F,'KARYA HILS  01'!M156)</f>
        <v>0</v>
      </c>
      <c r="F156" s="141">
        <v>200</v>
      </c>
      <c r="G156" s="98">
        <f t="shared" si="29"/>
        <v>0</v>
      </c>
      <c r="H156" s="138"/>
      <c r="I156" s="42"/>
      <c r="J156" s="104"/>
      <c r="K156" s="87"/>
      <c r="M156" s="20" t="str">
        <f t="shared" si="28"/>
        <v xml:space="preserve">JENDELA </v>
      </c>
    </row>
    <row r="157" spans="2:13" s="142" customFormat="1" ht="18" customHeight="1" x14ac:dyDescent="0.25">
      <c r="B157" s="34">
        <v>15</v>
      </c>
      <c r="C157" s="139" t="s">
        <v>140</v>
      </c>
      <c r="D157" s="36">
        <f>IFERROR(HLOOKUP($J$1,[1]DB!$C$1:$K$172,157,FALSE),"")</f>
        <v>80</v>
      </c>
      <c r="E157" s="36">
        <f>SUMIFS('[1]Rincian Keluar'!$G:$G,'[1]Rincian Keluar'!$E:$E,'KARYA HILS  01'!C157,'[1]Rincian Keluar'!$D:$D,'KARYA HILS  01'!$D$1,'[1]Rincian Keluar'!$H:$H,'KARYA HILS  01'!$J$1,'[1]Rincian Keluar'!$F:$F,'KARYA HILS  01'!M157)</f>
        <v>0</v>
      </c>
      <c r="F157" s="141">
        <v>100</v>
      </c>
      <c r="G157" s="98">
        <f t="shared" si="29"/>
        <v>0</v>
      </c>
      <c r="H157" s="138"/>
      <c r="I157" s="42"/>
      <c r="J157" s="104"/>
      <c r="K157" s="87"/>
      <c r="M157" s="20" t="str">
        <f t="shared" si="28"/>
        <v xml:space="preserve">JENDELA </v>
      </c>
    </row>
    <row r="158" spans="2:13" s="142" customFormat="1" ht="18" customHeight="1" x14ac:dyDescent="0.25">
      <c r="B158" s="34">
        <v>16</v>
      </c>
      <c r="C158" s="139" t="s">
        <v>141</v>
      </c>
      <c r="D158" s="36">
        <f>IFERROR(HLOOKUP($J$1,[1]DB!$C$1:$K$172,158,FALSE),"")</f>
        <v>1</v>
      </c>
      <c r="E158" s="36">
        <f>SUMIFS('[1]Rincian Keluar'!$G:$G,'[1]Rincian Keluar'!$E:$E,'KARYA HILS  01'!C158,'[1]Rincian Keluar'!$D:$D,'KARYA HILS  01'!$D$1,'[1]Rincian Keluar'!$H:$H,'KARYA HILS  01'!$J$1,'[1]Rincian Keluar'!$F:$F,'KARYA HILS  01'!M158)</f>
        <v>0</v>
      </c>
      <c r="F158" s="141">
        <v>55000</v>
      </c>
      <c r="G158" s="98">
        <f t="shared" si="29"/>
        <v>0</v>
      </c>
      <c r="H158" s="138"/>
      <c r="I158" s="42"/>
      <c r="J158" s="104"/>
      <c r="K158" s="87"/>
      <c r="M158" s="20" t="str">
        <f t="shared" si="28"/>
        <v xml:space="preserve">JENDELA </v>
      </c>
    </row>
    <row r="159" spans="2:13" s="142" customFormat="1" ht="18" customHeight="1" x14ac:dyDescent="0.25">
      <c r="B159" s="34">
        <v>17</v>
      </c>
      <c r="C159" s="139" t="s">
        <v>142</v>
      </c>
      <c r="D159" s="36">
        <f>IFERROR(HLOOKUP($J$1,[1]DB!$C$1:$K$172,159,FALSE),"")</f>
        <v>1</v>
      </c>
      <c r="E159" s="36">
        <f>SUMIFS('[1]Rincian Keluar'!$G:$G,'[1]Rincian Keluar'!$E:$E,'KARYA HILS  01'!C159,'[1]Rincian Keluar'!$D:$D,'KARYA HILS  01'!$D$1,'[1]Rincian Keluar'!$H:$H,'KARYA HILS  01'!$J$1,'[1]Rincian Keluar'!$F:$F,'KARYA HILS  01'!M159)</f>
        <v>0</v>
      </c>
      <c r="F159" s="141">
        <v>10000</v>
      </c>
      <c r="G159" s="98">
        <f t="shared" si="29"/>
        <v>0</v>
      </c>
      <c r="H159" s="138"/>
      <c r="I159" s="42"/>
      <c r="J159" s="104"/>
      <c r="K159" s="87"/>
      <c r="M159" s="20" t="str">
        <f t="shared" si="28"/>
        <v xml:space="preserve">JENDELA </v>
      </c>
    </row>
    <row r="160" spans="2:13" s="142" customFormat="1" ht="18" customHeight="1" x14ac:dyDescent="0.25">
      <c r="B160" s="34">
        <v>18</v>
      </c>
      <c r="C160" s="139" t="s">
        <v>143</v>
      </c>
      <c r="D160" s="36">
        <f>IFERROR(HLOOKUP($J$1,[1]DB!$C$1:$K$172,160,FALSE),"")</f>
        <v>6</v>
      </c>
      <c r="E160" s="36">
        <f>SUMIFS('[1]Rincian Keluar'!$G:$G,'[1]Rincian Keluar'!$E:$E,'KARYA HILS  01'!C160,'[1]Rincian Keluar'!$D:$D,'KARYA HILS  01'!$D$1,'[1]Rincian Keluar'!$H:$H,'KARYA HILS  01'!$J$1,'[1]Rincian Keluar'!$F:$F,'KARYA HILS  01'!M160)</f>
        <v>0</v>
      </c>
      <c r="F160" s="141">
        <v>300000</v>
      </c>
      <c r="G160" s="98">
        <f t="shared" si="29"/>
        <v>0</v>
      </c>
      <c r="H160" s="138"/>
      <c r="I160" s="42"/>
      <c r="J160" s="104"/>
      <c r="K160" s="87"/>
      <c r="M160" s="20" t="str">
        <f t="shared" si="28"/>
        <v xml:space="preserve">JENDELA </v>
      </c>
    </row>
    <row r="161" spans="1:13" s="142" customFormat="1" ht="18" customHeight="1" x14ac:dyDescent="0.25">
      <c r="B161" s="34">
        <v>19</v>
      </c>
      <c r="C161" s="139" t="s">
        <v>144</v>
      </c>
      <c r="D161" s="36">
        <f>IFERROR(HLOOKUP($J$1,[1]DB!$C$1:$K$172,161,FALSE),"")</f>
        <v>4</v>
      </c>
      <c r="E161" s="36">
        <f>SUMIFS('[1]Rincian Keluar'!$G:$G,'[1]Rincian Keluar'!$E:$E,'KARYA HILS  01'!C161,'[1]Rincian Keluar'!$D:$D,'KARYA HILS  01'!$D$1,'[1]Rincian Keluar'!$H:$H,'KARYA HILS  01'!$J$1,'[1]Rincian Keluar'!$F:$F,'KARYA HILS  01'!M161)</f>
        <v>0</v>
      </c>
      <c r="F161" s="141">
        <v>40000</v>
      </c>
      <c r="G161" s="98">
        <f t="shared" si="29"/>
        <v>0</v>
      </c>
      <c r="H161" s="140"/>
      <c r="I161" s="47"/>
      <c r="J161" s="106"/>
      <c r="K161" s="90"/>
      <c r="M161" s="20" t="str">
        <f t="shared" si="28"/>
        <v xml:space="preserve">JENDELA </v>
      </c>
    </row>
    <row r="162" spans="1:13" ht="18" customHeight="1" x14ac:dyDescent="0.25">
      <c r="B162" s="29" t="s">
        <v>145</v>
      </c>
      <c r="C162" s="124" t="s">
        <v>146</v>
      </c>
      <c r="D162" s="132"/>
      <c r="E162" s="132"/>
      <c r="F162" s="132"/>
      <c r="G162" s="132"/>
      <c r="H162" s="132"/>
      <c r="I162" s="133"/>
      <c r="J162" s="132"/>
      <c r="K162" s="134"/>
      <c r="M162" s="20"/>
    </row>
    <row r="163" spans="1:13" s="66" customFormat="1" ht="18" customHeight="1" x14ac:dyDescent="0.25">
      <c r="B163" s="34">
        <v>1</v>
      </c>
      <c r="C163" s="35" t="s">
        <v>147</v>
      </c>
      <c r="D163" s="36">
        <f>IFERROR(HLOOKUP($J$1,[1]DB!$C$1:$K$172,163,FALSE),"")</f>
        <v>6</v>
      </c>
      <c r="E163" s="36">
        <f>SUMIFS('[1]Rincian Keluar'!$G:$G,'[1]Rincian Keluar'!$E:$E,'KARYA HILS  01'!C163,'[1]Rincian Keluar'!$D:$D,'KARYA HILS  01'!$D$1,'[1]Rincian Keluar'!$H:$H,'KARYA HILS  01'!$J$1,'[1]Rincian Keluar'!$F:$F,'KARYA HILS  01'!M163)</f>
        <v>0</v>
      </c>
      <c r="F163" s="37">
        <v>14000</v>
      </c>
      <c r="G163" s="135">
        <f>E163*F163</f>
        <v>0</v>
      </c>
      <c r="H163" s="136"/>
      <c r="I163" s="39"/>
      <c r="J163" s="137"/>
      <c r="K163" s="84"/>
      <c r="M163" s="20" t="str">
        <f>$C$162</f>
        <v>ELEKTICAL</v>
      </c>
    </row>
    <row r="164" spans="1:13" s="66" customFormat="1" ht="18" customHeight="1" x14ac:dyDescent="0.25">
      <c r="B164" s="34">
        <v>2</v>
      </c>
      <c r="C164" s="35" t="s">
        <v>148</v>
      </c>
      <c r="D164" s="36">
        <f>IFERROR(HLOOKUP($J$1,[1]DB!$C$1:$K$172,164,FALSE),"")</f>
        <v>1</v>
      </c>
      <c r="E164" s="36">
        <f>SUMIFS('[1]Rincian Keluar'!$G:$G,'[1]Rincian Keluar'!$E:$E,'KARYA HILS  01'!C164,'[1]Rincian Keluar'!$D:$D,'KARYA HILS  01'!$D$1,'[1]Rincian Keluar'!$H:$H,'KARYA HILS  01'!$J$1,'[1]Rincian Keluar'!$F:$F,'KARYA HILS  01'!M164)</f>
        <v>0</v>
      </c>
      <c r="F164" s="37">
        <v>18000</v>
      </c>
      <c r="G164" s="135">
        <f t="shared" ref="G164:G172" si="30">E164*F164</f>
        <v>0</v>
      </c>
      <c r="H164" s="138"/>
      <c r="I164" s="42"/>
      <c r="J164" s="104"/>
      <c r="K164" s="87"/>
      <c r="M164" s="20" t="str">
        <f t="shared" ref="M164:M172" si="31">$C$162</f>
        <v>ELEKTICAL</v>
      </c>
    </row>
    <row r="165" spans="1:13" s="66" customFormat="1" ht="18" customHeight="1" x14ac:dyDescent="0.25">
      <c r="B165" s="34">
        <v>3</v>
      </c>
      <c r="C165" s="35" t="s">
        <v>149</v>
      </c>
      <c r="D165" s="36">
        <f>IFERROR(HLOOKUP($J$1,[1]DB!$C$1:$K$172,165,FALSE),"")</f>
        <v>11</v>
      </c>
      <c r="E165" s="36">
        <f>SUMIFS('[1]Rincian Keluar'!$G:$G,'[1]Rincian Keluar'!$E:$E,'KARYA HILS  01'!C165,'[1]Rincian Keluar'!$D:$D,'KARYA HILS  01'!$D$1,'[1]Rincian Keluar'!$H:$H,'KARYA HILS  01'!$J$1,'[1]Rincian Keluar'!$F:$F,'KARYA HILS  01'!M165)</f>
        <v>0</v>
      </c>
      <c r="F165" s="37">
        <v>15000</v>
      </c>
      <c r="G165" s="135">
        <f t="shared" si="30"/>
        <v>0</v>
      </c>
      <c r="H165" s="138"/>
      <c r="I165" s="42"/>
      <c r="J165" s="104"/>
      <c r="K165" s="87"/>
      <c r="M165" s="20" t="str">
        <f t="shared" si="31"/>
        <v>ELEKTICAL</v>
      </c>
    </row>
    <row r="166" spans="1:13" s="66" customFormat="1" ht="18" customHeight="1" x14ac:dyDescent="0.25">
      <c r="B166" s="34">
        <v>4</v>
      </c>
      <c r="C166" s="35" t="s">
        <v>150</v>
      </c>
      <c r="D166" s="36">
        <f>IFERROR(HLOOKUP($J$1,[1]DB!$C$1:$K$172,166,FALSE),"")</f>
        <v>1</v>
      </c>
      <c r="E166" s="36">
        <f>SUMIFS('[1]Rincian Keluar'!$G:$G,'[1]Rincian Keluar'!$E:$E,'KARYA HILS  01'!C166,'[1]Rincian Keluar'!$D:$D,'KARYA HILS  01'!$D$1,'[1]Rincian Keluar'!$H:$H,'KARYA HILS  01'!$J$1,'[1]Rincian Keluar'!$F:$F,'KARYA HILS  01'!M166)</f>
        <v>0</v>
      </c>
      <c r="F166" s="37">
        <v>336000</v>
      </c>
      <c r="G166" s="135">
        <f t="shared" si="30"/>
        <v>0</v>
      </c>
      <c r="H166" s="138"/>
      <c r="I166" s="42"/>
      <c r="J166" s="104"/>
      <c r="K166" s="87"/>
      <c r="M166" s="20" t="str">
        <f t="shared" si="31"/>
        <v>ELEKTICAL</v>
      </c>
    </row>
    <row r="167" spans="1:13" s="66" customFormat="1" ht="18" customHeight="1" x14ac:dyDescent="0.25">
      <c r="B167" s="34">
        <v>5</v>
      </c>
      <c r="C167" s="35" t="s">
        <v>151</v>
      </c>
      <c r="D167" s="36">
        <f>IFERROR(HLOOKUP($J$1,[1]DB!$C$1:$K$172,167,FALSE),"")</f>
        <v>7</v>
      </c>
      <c r="E167" s="36">
        <f>SUMIFS('[1]Rincian Keluar'!$G:$G,'[1]Rincian Keluar'!$E:$E,'KARYA HILS  01'!C167,'[1]Rincian Keluar'!$D:$D,'KARYA HILS  01'!$D$1,'[1]Rincian Keluar'!$H:$H,'KARYA HILS  01'!$J$1,'[1]Rincian Keluar'!$F:$F,'KARYA HILS  01'!M167)</f>
        <v>0</v>
      </c>
      <c r="F167" s="37">
        <v>5500</v>
      </c>
      <c r="G167" s="135">
        <f t="shared" si="30"/>
        <v>0</v>
      </c>
      <c r="H167" s="138"/>
      <c r="I167" s="42"/>
      <c r="J167" s="104"/>
      <c r="K167" s="87"/>
      <c r="M167" s="20" t="str">
        <f t="shared" si="31"/>
        <v>ELEKTICAL</v>
      </c>
    </row>
    <row r="168" spans="1:13" s="66" customFormat="1" ht="18" customHeight="1" x14ac:dyDescent="0.25">
      <c r="B168" s="34">
        <v>6</v>
      </c>
      <c r="C168" s="35" t="s">
        <v>152</v>
      </c>
      <c r="D168" s="36">
        <f>IFERROR(HLOOKUP($J$1,[1]DB!$C$1:$K$172,168,FALSE),"")</f>
        <v>25</v>
      </c>
      <c r="E168" s="36">
        <f>SUMIFS('[1]Rincian Keluar'!$G:$G,'[1]Rincian Keluar'!$E:$E,'KARYA HILS  01'!C168,'[1]Rincian Keluar'!$D:$D,'KARYA HILS  01'!$D$1,'[1]Rincian Keluar'!$H:$H,'KARYA HILS  01'!$J$1,'[1]Rincian Keluar'!$F:$F,'KARYA HILS  01'!M168)</f>
        <v>0</v>
      </c>
      <c r="F168" s="37">
        <v>8200</v>
      </c>
      <c r="G168" s="135">
        <f t="shared" si="30"/>
        <v>0</v>
      </c>
      <c r="H168" s="138"/>
      <c r="I168" s="42"/>
      <c r="J168" s="104"/>
      <c r="K168" s="87"/>
      <c r="M168" s="20" t="str">
        <f t="shared" si="31"/>
        <v>ELEKTICAL</v>
      </c>
    </row>
    <row r="169" spans="1:13" s="66" customFormat="1" ht="18" customHeight="1" x14ac:dyDescent="0.25">
      <c r="B169" s="34">
        <v>7</v>
      </c>
      <c r="C169" s="35" t="s">
        <v>153</v>
      </c>
      <c r="D169" s="36">
        <f>IFERROR(HLOOKUP($J$1,[1]DB!$C$1:$K$172,169,FALSE),"")</f>
        <v>35</v>
      </c>
      <c r="E169" s="36">
        <f>SUMIFS('[1]Rincian Keluar'!$G:$G,'[1]Rincian Keluar'!$E:$E,'KARYA HILS  01'!C169,'[1]Rincian Keluar'!$D:$D,'KARYA HILS  01'!$D$1,'[1]Rincian Keluar'!$H:$H,'KARYA HILS  01'!$J$1,'[1]Rincian Keluar'!$F:$F,'KARYA HILS  01'!M169)</f>
        <v>0</v>
      </c>
      <c r="F169" s="37">
        <v>12500</v>
      </c>
      <c r="G169" s="135">
        <f t="shared" si="30"/>
        <v>0</v>
      </c>
      <c r="H169" s="138"/>
      <c r="I169" s="42"/>
      <c r="J169" s="104"/>
      <c r="K169" s="87"/>
      <c r="M169" s="20" t="str">
        <f t="shared" si="31"/>
        <v>ELEKTICAL</v>
      </c>
    </row>
    <row r="170" spans="1:13" s="66" customFormat="1" ht="18" customHeight="1" x14ac:dyDescent="0.25">
      <c r="B170" s="34">
        <v>8</v>
      </c>
      <c r="C170" s="35" t="s">
        <v>154</v>
      </c>
      <c r="D170" s="36">
        <f>IFERROR(HLOOKUP($J$1,[1]DB!$C$1:$K$172,170,FALSE),"")</f>
        <v>1</v>
      </c>
      <c r="E170" s="36">
        <f>SUMIFS('[1]Rincian Keluar'!$G:$G,'[1]Rincian Keluar'!$E:$E,'KARYA HILS  01'!C170,'[1]Rincian Keluar'!$D:$D,'KARYA HILS  01'!$D$1,'[1]Rincian Keluar'!$H:$H,'KARYA HILS  01'!$J$1,'[1]Rincian Keluar'!$F:$F,'KARYA HILS  01'!M170)</f>
        <v>0</v>
      </c>
      <c r="F170" s="37">
        <v>19000</v>
      </c>
      <c r="G170" s="135">
        <f t="shared" si="30"/>
        <v>0</v>
      </c>
      <c r="H170" s="138"/>
      <c r="I170" s="42"/>
      <c r="J170" s="104"/>
      <c r="K170" s="87"/>
      <c r="M170" s="20" t="str">
        <f t="shared" si="31"/>
        <v>ELEKTICAL</v>
      </c>
    </row>
    <row r="171" spans="1:13" s="66" customFormat="1" ht="18" customHeight="1" x14ac:dyDescent="0.25">
      <c r="B171" s="34">
        <v>9</v>
      </c>
      <c r="C171" s="35" t="s">
        <v>155</v>
      </c>
      <c r="D171" s="36">
        <f>IFERROR(HLOOKUP($J$1,[1]DB!$C$1:$K$172,171,FALSE),"")</f>
        <v>1</v>
      </c>
      <c r="E171" s="36">
        <f>SUMIFS('[1]Rincian Keluar'!$G:$G,'[1]Rincian Keluar'!$E:$E,'KARYA HILS  01'!C171,'[1]Rincian Keluar'!$D:$D,'KARYA HILS  01'!$D$1,'[1]Rincian Keluar'!$H:$H,'KARYA HILS  01'!$J$1,'[1]Rincian Keluar'!$F:$F,'KARYA HILS  01'!M171)</f>
        <v>0</v>
      </c>
      <c r="F171" s="37">
        <v>14000</v>
      </c>
      <c r="G171" s="135">
        <f t="shared" si="30"/>
        <v>0</v>
      </c>
      <c r="H171" s="138"/>
      <c r="I171" s="42"/>
      <c r="J171" s="104"/>
      <c r="K171" s="87"/>
      <c r="M171" s="20" t="str">
        <f t="shared" si="31"/>
        <v>ELEKTICAL</v>
      </c>
    </row>
    <row r="172" spans="1:13" s="66" customFormat="1" ht="18" customHeight="1" x14ac:dyDescent="0.25">
      <c r="A172" s="66" t="s">
        <v>156</v>
      </c>
      <c r="B172" s="34">
        <v>10</v>
      </c>
      <c r="C172" s="35" t="s">
        <v>157</v>
      </c>
      <c r="D172" s="36">
        <f>IFERROR(HLOOKUP($J$1,[1]DB!$C$1:$K$172,172,FALSE),"")</f>
        <v>1</v>
      </c>
      <c r="E172" s="36">
        <f>SUMIFS('[1]Rincian Keluar'!$G:$G,'[1]Rincian Keluar'!$E:$E,'KARYA HILS  01'!C172,'[1]Rincian Keluar'!$D:$D,'KARYA HILS  01'!$D$1,'[1]Rincian Keluar'!$H:$H,'KARYA HILS  01'!$J$1,'[1]Rincian Keluar'!$F:$F,'KARYA HILS  01'!M172)</f>
        <v>0</v>
      </c>
      <c r="F172" s="37">
        <v>60000</v>
      </c>
      <c r="G172" s="135">
        <f t="shared" si="30"/>
        <v>0</v>
      </c>
      <c r="H172" s="140"/>
      <c r="I172" s="47"/>
      <c r="J172" s="106"/>
      <c r="K172" s="90"/>
      <c r="M172" s="20" t="str">
        <f t="shared" si="31"/>
        <v>ELEKTICAL</v>
      </c>
    </row>
    <row r="173" spans="1:13" ht="18" customHeight="1" x14ac:dyDescent="0.25">
      <c r="B173" s="143" t="s">
        <v>158</v>
      </c>
      <c r="C173" s="144"/>
      <c r="D173" s="144"/>
      <c r="E173" s="144"/>
      <c r="F173" s="145"/>
      <c r="G173" s="146">
        <f>SUM(G7:G172)</f>
        <v>7332100</v>
      </c>
      <c r="H173" s="146"/>
      <c r="I173" s="147"/>
      <c r="J173" s="146">
        <f>SUM(J7:J172)</f>
        <v>-112000</v>
      </c>
      <c r="K173" s="148"/>
    </row>
    <row r="174" spans="1:13" ht="18" customHeight="1" thickBot="1" x14ac:dyDescent="0.3">
      <c r="B174" s="149" t="s">
        <v>159</v>
      </c>
      <c r="C174" s="150"/>
      <c r="D174" s="150"/>
      <c r="E174" s="150"/>
      <c r="F174" s="150"/>
      <c r="G174" s="151">
        <f>SUM(G173,J173)</f>
        <v>7220100</v>
      </c>
      <c r="H174" s="152"/>
      <c r="I174" s="153"/>
      <c r="J174" s="154"/>
      <c r="K174" s="155"/>
    </row>
    <row r="175" spans="1:13" x14ac:dyDescent="0.25">
      <c r="C175" s="156"/>
    </row>
    <row r="176" spans="1:13" x14ac:dyDescent="0.25">
      <c r="C176" s="156"/>
    </row>
    <row r="177" spans="3:3" x14ac:dyDescent="0.25">
      <c r="C177" s="156"/>
    </row>
    <row r="178" spans="3:3" x14ac:dyDescent="0.25">
      <c r="C178" s="156"/>
    </row>
    <row r="179" spans="3:3" x14ac:dyDescent="0.25">
      <c r="C179" s="156"/>
    </row>
    <row r="180" spans="3:3" x14ac:dyDescent="0.25">
      <c r="C180" s="156"/>
    </row>
    <row r="181" spans="3:3" x14ac:dyDescent="0.25">
      <c r="C181" s="156"/>
    </row>
    <row r="182" spans="3:3" x14ac:dyDescent="0.25">
      <c r="C182" s="156"/>
    </row>
    <row r="183" spans="3:3" x14ac:dyDescent="0.25">
      <c r="C183" s="156"/>
    </row>
    <row r="184" spans="3:3" x14ac:dyDescent="0.25">
      <c r="C184" s="156"/>
    </row>
    <row r="185" spans="3:3" x14ac:dyDescent="0.25">
      <c r="C185" s="156"/>
    </row>
    <row r="186" spans="3:3" x14ac:dyDescent="0.25">
      <c r="C186" s="156"/>
    </row>
    <row r="187" spans="3:3" x14ac:dyDescent="0.25">
      <c r="C187" s="156"/>
    </row>
  </sheetData>
  <autoFilter ref="B4:K174"/>
  <mergeCells count="75">
    <mergeCell ref="B173:F173"/>
    <mergeCell ref="B174:F174"/>
    <mergeCell ref="H143:H161"/>
    <mergeCell ref="I143:I161"/>
    <mergeCell ref="J143:J161"/>
    <mergeCell ref="K143:K161"/>
    <mergeCell ref="H163:H172"/>
    <mergeCell ref="I163:I172"/>
    <mergeCell ref="J163:J172"/>
    <mergeCell ref="K163:K172"/>
    <mergeCell ref="H131:H132"/>
    <mergeCell ref="I131:I132"/>
    <mergeCell ref="J131:J132"/>
    <mergeCell ref="K131:K132"/>
    <mergeCell ref="H134:H141"/>
    <mergeCell ref="I134:I141"/>
    <mergeCell ref="J134:J141"/>
    <mergeCell ref="K134:K141"/>
    <mergeCell ref="H120:H123"/>
    <mergeCell ref="I120:I123"/>
    <mergeCell ref="J120:J123"/>
    <mergeCell ref="K120:K123"/>
    <mergeCell ref="H125:H129"/>
    <mergeCell ref="I125:I129"/>
    <mergeCell ref="J125:J129"/>
    <mergeCell ref="K125:K129"/>
    <mergeCell ref="H99:H102"/>
    <mergeCell ref="I99:I103"/>
    <mergeCell ref="J99:J103"/>
    <mergeCell ref="K99:K102"/>
    <mergeCell ref="H105:H116"/>
    <mergeCell ref="I105:I116"/>
    <mergeCell ref="J105:J116"/>
    <mergeCell ref="K105:K116"/>
    <mergeCell ref="H83:H86"/>
    <mergeCell ref="I83:I86"/>
    <mergeCell ref="J83:J86"/>
    <mergeCell ref="K83:K86"/>
    <mergeCell ref="H88:H96"/>
    <mergeCell ref="I88:I96"/>
    <mergeCell ref="J88:J96"/>
    <mergeCell ref="K88:K96"/>
    <mergeCell ref="H65:H74"/>
    <mergeCell ref="I65:I74"/>
    <mergeCell ref="J65:J74"/>
    <mergeCell ref="K65:K74"/>
    <mergeCell ref="H76:H81"/>
    <mergeCell ref="I76:I81"/>
    <mergeCell ref="J76:J81"/>
    <mergeCell ref="K76:K81"/>
    <mergeCell ref="H38:H59"/>
    <mergeCell ref="I38:I59"/>
    <mergeCell ref="J38:J59"/>
    <mergeCell ref="K38:K59"/>
    <mergeCell ref="H61:H63"/>
    <mergeCell ref="I61:I63"/>
    <mergeCell ref="J61:J63"/>
    <mergeCell ref="K61:K63"/>
    <mergeCell ref="H20:H23"/>
    <mergeCell ref="I20:I23"/>
    <mergeCell ref="J20:J23"/>
    <mergeCell ref="K20:K23"/>
    <mergeCell ref="H25:H36"/>
    <mergeCell ref="I25:I36"/>
    <mergeCell ref="J25:J36"/>
    <mergeCell ref="K25:K36"/>
    <mergeCell ref="B3:K3"/>
    <mergeCell ref="H7:H14"/>
    <mergeCell ref="I7:I14"/>
    <mergeCell ref="J7:J14"/>
    <mergeCell ref="K7:K14"/>
    <mergeCell ref="H16:H18"/>
    <mergeCell ref="I16:I18"/>
    <mergeCell ref="J16:J18"/>
    <mergeCell ref="K16:K18"/>
  </mergeCells>
  <printOptions horizontalCentered="1"/>
  <pageMargins left="0.19685039370078741" right="0.19685039370078741" top="0.19685039370078741" bottom="0.19685039370078741" header="0" footer="0"/>
  <pageSetup paperSize="346" scale="59" fitToHeight="0" orientation="portrait" r:id="rId1"/>
  <rowBreaks count="1" manualBreakCount="1">
    <brk id="86" min="1" max="1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87"/>
  <sheetViews>
    <sheetView zoomScale="70" zoomScaleNormal="70" zoomScaleSheetLayoutView="87" workbookViewId="0">
      <selection activeCell="N12" sqref="N12"/>
    </sheetView>
  </sheetViews>
  <sheetFormatPr defaultColWidth="8.85546875" defaultRowHeight="15.75" x14ac:dyDescent="0.25"/>
  <cols>
    <col min="1" max="1" width="1.7109375" style="1" bestFit="1" customWidth="1"/>
    <col min="2" max="2" width="4.42578125" style="1" bestFit="1" customWidth="1"/>
    <col min="3" max="3" width="39.5703125" style="1" bestFit="1" customWidth="1"/>
    <col min="4" max="4" width="9.7109375" style="1" bestFit="1" customWidth="1"/>
    <col min="5" max="5" width="11.5703125" style="157" bestFit="1" customWidth="1"/>
    <col min="6" max="6" width="20.28515625" style="158" bestFit="1" customWidth="1"/>
    <col min="7" max="7" width="19.140625" style="159" bestFit="1" customWidth="1"/>
    <col min="8" max="8" width="15.7109375" style="1" customWidth="1"/>
    <col min="9" max="9" width="19.140625" style="160" bestFit="1" customWidth="1"/>
    <col min="10" max="10" width="21.5703125" style="161" bestFit="1" customWidth="1"/>
    <col min="11" max="11" width="13.42578125" style="162" bestFit="1" customWidth="1"/>
    <col min="12" max="13" width="8.85546875" style="1"/>
    <col min="14" max="14" width="34.5703125" style="1" customWidth="1"/>
    <col min="15" max="16384" width="8.85546875" style="1"/>
  </cols>
  <sheetData>
    <row r="1" spans="1:13" x14ac:dyDescent="0.25">
      <c r="B1" s="2" t="s">
        <v>0</v>
      </c>
      <c r="C1" s="3"/>
      <c r="D1" s="4" t="s">
        <v>1</v>
      </c>
      <c r="E1" s="5"/>
      <c r="F1" s="5"/>
      <c r="G1" s="5"/>
      <c r="H1" s="2" t="s">
        <v>2</v>
      </c>
      <c r="I1" s="6"/>
      <c r="J1" s="7">
        <v>45</v>
      </c>
      <c r="K1" s="8"/>
    </row>
    <row r="2" spans="1:13" ht="16.5" thickBot="1" x14ac:dyDescent="0.3">
      <c r="B2" s="9"/>
      <c r="C2" s="10"/>
      <c r="D2" s="11"/>
      <c r="E2" s="12"/>
      <c r="F2" s="12"/>
      <c r="G2" s="12"/>
      <c r="H2" s="9"/>
      <c r="I2" s="13"/>
      <c r="J2" s="14"/>
      <c r="K2" s="15"/>
    </row>
    <row r="3" spans="1:13" s="20" customFormat="1" ht="8.25" customHeight="1" x14ac:dyDescent="0.25">
      <c r="A3" s="1"/>
      <c r="B3" s="16"/>
      <c r="C3" s="17"/>
      <c r="D3" s="17"/>
      <c r="E3" s="17"/>
      <c r="F3" s="17"/>
      <c r="G3" s="17"/>
      <c r="H3" s="17"/>
      <c r="I3" s="17"/>
      <c r="J3" s="18"/>
      <c r="K3" s="19"/>
    </row>
    <row r="4" spans="1:13" s="20" customFormat="1" x14ac:dyDescent="0.25">
      <c r="A4" s="1"/>
      <c r="B4" s="21" t="s">
        <v>3</v>
      </c>
      <c r="C4" s="22" t="s">
        <v>4</v>
      </c>
      <c r="D4" s="23" t="s">
        <v>5</v>
      </c>
      <c r="E4" s="23"/>
      <c r="F4" s="24" t="s">
        <v>6</v>
      </c>
      <c r="G4" s="25" t="s">
        <v>7</v>
      </c>
      <c r="H4" s="22" t="s">
        <v>8</v>
      </c>
      <c r="I4" s="23" t="s">
        <v>9</v>
      </c>
      <c r="J4" s="23" t="s">
        <v>10</v>
      </c>
      <c r="K4" s="26" t="s">
        <v>11</v>
      </c>
    </row>
    <row r="5" spans="1:13" s="20" customFormat="1" x14ac:dyDescent="0.25">
      <c r="A5" s="1"/>
      <c r="B5" s="21"/>
      <c r="C5" s="27"/>
      <c r="D5" s="24" t="s">
        <v>12</v>
      </c>
      <c r="E5" s="24" t="s">
        <v>13</v>
      </c>
      <c r="F5" s="24" t="s">
        <v>14</v>
      </c>
      <c r="G5" s="25" t="s">
        <v>14</v>
      </c>
      <c r="H5" s="22"/>
      <c r="I5" s="23"/>
      <c r="J5" s="28"/>
      <c r="K5" s="26"/>
    </row>
    <row r="6" spans="1:13" s="20" customFormat="1" ht="18" customHeight="1" x14ac:dyDescent="0.25">
      <c r="A6" s="1"/>
      <c r="B6" s="29" t="s">
        <v>15</v>
      </c>
      <c r="C6" s="30" t="s">
        <v>16</v>
      </c>
      <c r="D6" s="31"/>
      <c r="E6" s="31"/>
      <c r="F6" s="31"/>
      <c r="G6" s="31"/>
      <c r="H6" s="31"/>
      <c r="I6" s="32"/>
      <c r="J6" s="31"/>
      <c r="K6" s="33"/>
    </row>
    <row r="7" spans="1:13" s="20" customFormat="1" ht="18" customHeight="1" x14ac:dyDescent="0.25">
      <c r="A7" s="1"/>
      <c r="B7" s="34">
        <v>1</v>
      </c>
      <c r="C7" s="35" t="s">
        <v>17</v>
      </c>
      <c r="D7" s="36">
        <f>IFERROR(HLOOKUP($J$1,[1]DB!$C$1:$K$172,7,FALSE),"")</f>
        <v>11</v>
      </c>
      <c r="E7" s="36">
        <f>SUMIFS('[1]Rincian Keluar'!$G:$G,'[1]Rincian Keluar'!$E:$E,'ILALANG 01'!C7,'[1]Rincian Keluar'!$D:$D,'ILALANG 01'!$D$1,'[1]Rincian Keluar'!$H:$H,'ILALANG 01'!$J$1,'[1]Rincian Keluar'!$F:$F,'ILALANG 01'!M7)</f>
        <v>0</v>
      </c>
      <c r="F7" s="37">
        <v>21500</v>
      </c>
      <c r="G7" s="38">
        <f>E7*F7</f>
        <v>0</v>
      </c>
      <c r="H7" s="39">
        <v>1728000</v>
      </c>
      <c r="I7" s="39">
        <f>IFERROR(VLOOKUP($C6,[1]HK!$B$5:$C$14,2,FALSE),"")*$J1</f>
        <v>1876500</v>
      </c>
      <c r="J7" s="40">
        <f>I7-H7</f>
        <v>148500</v>
      </c>
      <c r="K7" s="41">
        <v>1</v>
      </c>
      <c r="M7" s="20" t="str">
        <f>$C$6</f>
        <v>PONDASI</v>
      </c>
    </row>
    <row r="8" spans="1:13" s="20" customFormat="1" ht="18" customHeight="1" x14ac:dyDescent="0.25">
      <c r="A8" s="1"/>
      <c r="B8" s="34">
        <v>2</v>
      </c>
      <c r="C8" s="35" t="s">
        <v>18</v>
      </c>
      <c r="D8" s="36">
        <f>IFERROR(HLOOKUP($J$1,[1]DB!$C$1:$K$172,8,FALSE),"")</f>
        <v>37</v>
      </c>
      <c r="E8" s="36">
        <f>SUMIFS('[1]Rincian Keluar'!$G:$G,'[1]Rincian Keluar'!$E:$E,'ILALANG 01'!C8,'[1]Rincian Keluar'!$D:$D,'ILALANG 01'!$D$1,'[1]Rincian Keluar'!$H:$H,'ILALANG 01'!$J$1,'[1]Rincian Keluar'!$F:$F,'ILALANG 01'!M8)</f>
        <v>12</v>
      </c>
      <c r="F8" s="37">
        <v>49000</v>
      </c>
      <c r="G8" s="38">
        <f t="shared" ref="G8:G14" si="0">E8*F8</f>
        <v>588000</v>
      </c>
      <c r="H8" s="42"/>
      <c r="I8" s="42"/>
      <c r="J8" s="43"/>
      <c r="K8" s="44"/>
      <c r="M8" s="20" t="str">
        <f t="shared" ref="M8:M14" si="1">$C$6</f>
        <v>PONDASI</v>
      </c>
    </row>
    <row r="9" spans="1:13" s="20" customFormat="1" ht="18" customHeight="1" x14ac:dyDescent="0.25">
      <c r="A9" s="1"/>
      <c r="B9" s="34">
        <v>3</v>
      </c>
      <c r="C9" s="45" t="s">
        <v>19</v>
      </c>
      <c r="D9" s="36">
        <f>IFERROR(HLOOKUP($J$1,[1]DB!$C$1:$K$172,9,FALSE),"")</f>
        <v>31</v>
      </c>
      <c r="E9" s="36">
        <f>SUMIFS('[1]Rincian Keluar'!$G:$G,'[1]Rincian Keluar'!$E:$E,'ILALANG 01'!C9,'[1]Rincian Keluar'!$D:$D,'ILALANG 01'!$D$1,'[1]Rincian Keluar'!$H:$H,'ILALANG 01'!$J$1,'[1]Rincian Keluar'!$F:$F,'ILALANG 01'!M9)</f>
        <v>15</v>
      </c>
      <c r="F9" s="46">
        <v>11000</v>
      </c>
      <c r="G9" s="38">
        <f t="shared" si="0"/>
        <v>165000</v>
      </c>
      <c r="H9" s="42"/>
      <c r="I9" s="42"/>
      <c r="J9" s="43"/>
      <c r="K9" s="44"/>
      <c r="M9" s="20" t="str">
        <f t="shared" si="1"/>
        <v>PONDASI</v>
      </c>
    </row>
    <row r="10" spans="1:13" s="20" customFormat="1" ht="18" customHeight="1" x14ac:dyDescent="0.25">
      <c r="A10" s="1"/>
      <c r="B10" s="34">
        <v>4</v>
      </c>
      <c r="C10" s="45" t="s">
        <v>20</v>
      </c>
      <c r="D10" s="36">
        <f>IFERROR(HLOOKUP($J$1,[1]DB!$C$1:$K$172,10,FALSE),"")</f>
        <v>66</v>
      </c>
      <c r="E10" s="36">
        <f>SUMIFS('[1]Rincian Keluar'!$G:$G,'[1]Rincian Keluar'!$E:$E,'ILALANG 01'!C10,'[1]Rincian Keluar'!$D:$D,'ILALANG 01'!$D$1,'[1]Rincian Keluar'!$H:$H,'ILALANG 01'!$J$1,'[1]Rincian Keluar'!$F:$F,'ILALANG 01'!M10)</f>
        <v>89</v>
      </c>
      <c r="F10" s="37">
        <v>8000</v>
      </c>
      <c r="G10" s="38">
        <f t="shared" si="0"/>
        <v>712000</v>
      </c>
      <c r="H10" s="42"/>
      <c r="I10" s="42"/>
      <c r="J10" s="43"/>
      <c r="K10" s="44"/>
      <c r="M10" s="20" t="str">
        <f t="shared" si="1"/>
        <v>PONDASI</v>
      </c>
    </row>
    <row r="11" spans="1:13" s="20" customFormat="1" ht="18" customHeight="1" x14ac:dyDescent="0.25">
      <c r="A11" s="1"/>
      <c r="B11" s="34">
        <v>5</v>
      </c>
      <c r="C11" s="45" t="s">
        <v>21</v>
      </c>
      <c r="D11" s="36">
        <f>IFERROR(HLOOKUP($J$1,[1]DB!$C$1:$K$172,11,FALSE),"")</f>
        <v>147</v>
      </c>
      <c r="E11" s="36">
        <f>SUMIFS('[1]Rincian Keluar'!$G:$G,'[1]Rincian Keluar'!$E:$E,'ILALANG 01'!C11,'[1]Rincian Keluar'!$D:$D,'ILALANG 01'!$D$1,'[1]Rincian Keluar'!$H:$H,'ILALANG 01'!$J$1,'[1]Rincian Keluar'!$F:$F,'ILALANG 01'!M11)</f>
        <v>147</v>
      </c>
      <c r="F11" s="37">
        <v>11000</v>
      </c>
      <c r="G11" s="38">
        <f t="shared" si="0"/>
        <v>1617000</v>
      </c>
      <c r="H11" s="42"/>
      <c r="I11" s="42"/>
      <c r="J11" s="43"/>
      <c r="K11" s="44"/>
      <c r="M11" s="20" t="str">
        <f t="shared" si="1"/>
        <v>PONDASI</v>
      </c>
    </row>
    <row r="12" spans="1:13" s="20" customFormat="1" ht="18" customHeight="1" x14ac:dyDescent="0.25">
      <c r="A12" s="1"/>
      <c r="B12" s="34">
        <v>6</v>
      </c>
      <c r="C12" s="45" t="s">
        <v>22</v>
      </c>
      <c r="D12" s="36">
        <f>IFERROR(HLOOKUP($J$1,[1]DB!$C$1:$K$172,12,FALSE),"")</f>
        <v>11</v>
      </c>
      <c r="E12" s="36">
        <f>SUMIFS('[1]Rincian Keluar'!$G:$G,'[1]Rincian Keluar'!$E:$E,'ILALANG 01'!C12,'[1]Rincian Keluar'!$D:$D,'ILALANG 01'!$D$1,'[1]Rincian Keluar'!$H:$H,'ILALANG 01'!$J$1,'[1]Rincian Keluar'!$F:$F,'ILALANG 01'!M12)</f>
        <v>11</v>
      </c>
      <c r="F12" s="37">
        <v>150000</v>
      </c>
      <c r="G12" s="38">
        <f t="shared" si="0"/>
        <v>1650000</v>
      </c>
      <c r="H12" s="42"/>
      <c r="I12" s="42"/>
      <c r="J12" s="43"/>
      <c r="K12" s="44"/>
      <c r="M12" s="20" t="str">
        <f t="shared" si="1"/>
        <v>PONDASI</v>
      </c>
    </row>
    <row r="13" spans="1:13" s="20" customFormat="1" ht="18" customHeight="1" x14ac:dyDescent="0.25">
      <c r="A13" s="1"/>
      <c r="B13" s="34">
        <v>7</v>
      </c>
      <c r="C13" s="45" t="s">
        <v>23</v>
      </c>
      <c r="D13" s="36">
        <f>IFERROR(HLOOKUP($J$1,[1]DB!$C$1:$K$172,13,FALSE),"")</f>
        <v>2</v>
      </c>
      <c r="E13" s="36">
        <f>SUMIFS('[1]Rincian Keluar'!$G:$G,'[1]Rincian Keluar'!$E:$E,'ILALANG 01'!C13,'[1]Rincian Keluar'!$D:$D,'ILALANG 01'!$D$1,'[1]Rincian Keluar'!$H:$H,'ILALANG 01'!$J$1,'[1]Rincian Keluar'!$F:$F,'ILALANG 01'!M13)</f>
        <v>1</v>
      </c>
      <c r="F13" s="37">
        <v>500000</v>
      </c>
      <c r="G13" s="38">
        <f t="shared" si="0"/>
        <v>500000</v>
      </c>
      <c r="H13" s="42"/>
      <c r="I13" s="42"/>
      <c r="J13" s="43"/>
      <c r="K13" s="44"/>
      <c r="M13" s="20" t="str">
        <f t="shared" si="1"/>
        <v>PONDASI</v>
      </c>
    </row>
    <row r="14" spans="1:13" s="20" customFormat="1" ht="18" customHeight="1" x14ac:dyDescent="0.25">
      <c r="A14" s="1"/>
      <c r="B14" s="34">
        <v>8</v>
      </c>
      <c r="C14" s="45" t="s">
        <v>24</v>
      </c>
      <c r="D14" s="36">
        <f>IFERROR(HLOOKUP($J$1,[1]DB!$C$1:$K$172,14,FALSE),"")</f>
        <v>34</v>
      </c>
      <c r="E14" s="36">
        <f>SUMIFS('[1]Rincian Keluar'!$G:$G,'[1]Rincian Keluar'!$E:$E,'ILALANG 01'!C14,'[1]Rincian Keluar'!$D:$D,'ILALANG 01'!$D$1,'[1]Rincian Keluar'!$H:$H,'ILALANG 01'!$J$1,'[1]Rincian Keluar'!$F:$F,'ILALANG 01'!M14)</f>
        <v>31</v>
      </c>
      <c r="F14" s="37">
        <v>60700</v>
      </c>
      <c r="G14" s="38">
        <f t="shared" si="0"/>
        <v>1881700</v>
      </c>
      <c r="H14" s="47"/>
      <c r="I14" s="47"/>
      <c r="J14" s="48"/>
      <c r="K14" s="49"/>
      <c r="M14" s="20" t="str">
        <f t="shared" si="1"/>
        <v>PONDASI</v>
      </c>
    </row>
    <row r="15" spans="1:13" ht="18" customHeight="1" x14ac:dyDescent="0.25">
      <c r="B15" s="29" t="s">
        <v>25</v>
      </c>
      <c r="C15" s="50" t="s">
        <v>26</v>
      </c>
      <c r="D15" s="31"/>
      <c r="E15" s="31"/>
      <c r="F15" s="31"/>
      <c r="G15" s="31"/>
      <c r="H15" s="31"/>
      <c r="I15" s="32"/>
      <c r="J15" s="31"/>
      <c r="K15" s="33"/>
    </row>
    <row r="16" spans="1:13" ht="18" customHeight="1" x14ac:dyDescent="0.25">
      <c r="B16" s="34">
        <v>1</v>
      </c>
      <c r="C16" s="35" t="s">
        <v>22</v>
      </c>
      <c r="D16" s="36">
        <f>IFERROR(HLOOKUP($J$1,[1]DB!$C$1:$K$172,16,FALSE),"")</f>
        <v>29</v>
      </c>
      <c r="E16" s="36">
        <f>SUMIFS('[1]Rincian Keluar'!$G:$G,'[1]Rincian Keluar'!$E:$E,'ILALANG 01'!C16,'[1]Rincian Keluar'!$D:$D,'ILALANG 01'!$D$1,'[1]Rincian Keluar'!$H:$H,'ILALANG 01'!$J$1,'[1]Rincian Keluar'!$F:$F,'ILALANG 01'!M16)</f>
        <v>27</v>
      </c>
      <c r="F16" s="37">
        <v>150000</v>
      </c>
      <c r="G16" s="38">
        <f>E16*F16</f>
        <v>4050000</v>
      </c>
      <c r="H16" s="51">
        <v>742000</v>
      </c>
      <c r="I16" s="39">
        <f>IFERROR(VLOOKUP($C15,[1]HK!$B$5:$C$14,2,FALSE),"")*$J1</f>
        <v>751500</v>
      </c>
      <c r="J16" s="52">
        <f>I16-H16</f>
        <v>9500</v>
      </c>
      <c r="K16" s="41">
        <v>1</v>
      </c>
      <c r="M16" s="20" t="str">
        <f>$C$15</f>
        <v>URUG</v>
      </c>
    </row>
    <row r="17" spans="2:13" ht="18" customHeight="1" x14ac:dyDescent="0.25">
      <c r="B17" s="34">
        <v>2</v>
      </c>
      <c r="C17" s="35" t="s">
        <v>27</v>
      </c>
      <c r="D17" s="36">
        <f>IFERROR(HLOOKUP($J$1,[1]DB!$C$1:$K$172,17,FALSE),"")</f>
        <v>2</v>
      </c>
      <c r="E17" s="36">
        <f>SUMIFS('[1]Rincian Keluar'!$G:$G,'[1]Rincian Keluar'!$E:$E,'ILALANG 01'!C17,'[1]Rincian Keluar'!$D:$D,'ILALANG 01'!$D$1,'[1]Rincian Keluar'!$H:$H,'ILALANG 01'!$J$1,'[1]Rincian Keluar'!$F:$F,'ILALANG 01'!M17)</f>
        <v>2</v>
      </c>
      <c r="F17" s="37">
        <v>133500</v>
      </c>
      <c r="G17" s="38">
        <f t="shared" ref="G17:G18" si="2">E17*F17</f>
        <v>267000</v>
      </c>
      <c r="H17" s="53"/>
      <c r="I17" s="42"/>
      <c r="J17" s="54"/>
      <c r="K17" s="44"/>
      <c r="M17" s="20" t="str">
        <f t="shared" ref="M17:M18" si="3">$C$15</f>
        <v>URUG</v>
      </c>
    </row>
    <row r="18" spans="2:13" ht="18" customHeight="1" x14ac:dyDescent="0.25">
      <c r="B18" s="34">
        <v>3</v>
      </c>
      <c r="C18" s="35" t="s">
        <v>28</v>
      </c>
      <c r="D18" s="36">
        <f>IFERROR(HLOOKUP($J$1,[1]DB!$C$1:$K$172,18,FALSE),"")</f>
        <v>2</v>
      </c>
      <c r="E18" s="36">
        <f>SUMIFS('[1]Rincian Keluar'!$G:$G,'[1]Rincian Keluar'!$E:$E,'ILALANG 01'!C18,'[1]Rincian Keluar'!$D:$D,'ILALANG 01'!$D$1,'[1]Rincian Keluar'!$H:$H,'ILALANG 01'!$J$1,'[1]Rincian Keluar'!$F:$F,'ILALANG 01'!M18)</f>
        <v>2</v>
      </c>
      <c r="F18" s="37">
        <v>48000</v>
      </c>
      <c r="G18" s="38">
        <f t="shared" si="2"/>
        <v>96000</v>
      </c>
      <c r="H18" s="55"/>
      <c r="I18" s="47"/>
      <c r="J18" s="56"/>
      <c r="K18" s="49"/>
      <c r="M18" s="20" t="str">
        <f t="shared" si="3"/>
        <v>URUG</v>
      </c>
    </row>
    <row r="19" spans="2:13" ht="18" customHeight="1" x14ac:dyDescent="0.25">
      <c r="B19" s="29" t="s">
        <v>29</v>
      </c>
      <c r="C19" s="50" t="s">
        <v>30</v>
      </c>
      <c r="D19" s="31"/>
      <c r="E19" s="31"/>
      <c r="F19" s="31"/>
      <c r="G19" s="31"/>
      <c r="H19" s="31"/>
      <c r="I19" s="32"/>
      <c r="J19" s="31"/>
      <c r="K19" s="33"/>
    </row>
    <row r="20" spans="2:13" ht="18" customHeight="1" x14ac:dyDescent="0.25">
      <c r="B20" s="34">
        <v>1</v>
      </c>
      <c r="C20" s="35" t="s">
        <v>17</v>
      </c>
      <c r="D20" s="36">
        <f>IFERROR(HLOOKUP($J$1,[1]DB!$C$1:$K$172,20,FALSE),"")</f>
        <v>14</v>
      </c>
      <c r="E20" s="36">
        <f>SUMIFS('[1]Rincian Keluar'!$G:$G,'[1]Rincian Keluar'!$E:$E,'ILALANG 01'!C20,'[1]Rincian Keluar'!$D:$D,'ILALANG 01'!$D$1,'[1]Rincian Keluar'!$H:$H,'ILALANG 01'!$J$1,'[1]Rincian Keluar'!$F:$F,'ILALANG 01'!M20)</f>
        <v>12</v>
      </c>
      <c r="F20" s="37">
        <v>22000</v>
      </c>
      <c r="G20" s="38">
        <f>E20*F20</f>
        <v>264000</v>
      </c>
      <c r="H20" s="51">
        <v>441000</v>
      </c>
      <c r="I20" s="39">
        <f>IFERROR(VLOOKUP($C19,[1]HK!$B$5:$C$14,2,FALSE),"")*$J1</f>
        <v>450000</v>
      </c>
      <c r="J20" s="40">
        <f>I20-H20</f>
        <v>9000</v>
      </c>
      <c r="K20" s="41">
        <v>1</v>
      </c>
      <c r="M20" s="20" t="str">
        <f>$C$19</f>
        <v>COR LANTAI</v>
      </c>
    </row>
    <row r="21" spans="2:13" ht="18" customHeight="1" x14ac:dyDescent="0.25">
      <c r="B21" s="34">
        <v>2</v>
      </c>
      <c r="C21" s="35" t="s">
        <v>31</v>
      </c>
      <c r="D21" s="36">
        <f>IFERROR(HLOOKUP($J$1,[1]DB!$C$1:$K$172,21,FALSE),"")</f>
        <v>4</v>
      </c>
      <c r="E21" s="36">
        <f>SUMIFS('[1]Rincian Keluar'!$G:$G,'[1]Rincian Keluar'!$E:$E,'ILALANG 01'!C21,'[1]Rincian Keluar'!$D:$D,'ILALANG 01'!$D$1,'[1]Rincian Keluar'!$H:$H,'ILALANG 01'!$J$1,'[1]Rincian Keluar'!$F:$F,'ILALANG 01'!M21)</f>
        <v>1</v>
      </c>
      <c r="F21" s="37">
        <v>150000</v>
      </c>
      <c r="G21" s="38">
        <f t="shared" ref="G21:G23" si="4">E21*F21</f>
        <v>150000</v>
      </c>
      <c r="H21" s="53"/>
      <c r="I21" s="42"/>
      <c r="J21" s="43"/>
      <c r="K21" s="44"/>
      <c r="M21" s="20" t="str">
        <f t="shared" ref="M21:M23" si="5">$C$19</f>
        <v>COR LANTAI</v>
      </c>
    </row>
    <row r="22" spans="2:13" ht="18" customHeight="1" x14ac:dyDescent="0.25">
      <c r="B22" s="34">
        <v>3</v>
      </c>
      <c r="C22" s="45" t="s">
        <v>24</v>
      </c>
      <c r="D22" s="36">
        <f>IFERROR(HLOOKUP($J$1,[1]DB!$C$1:$K$172,22,FALSE),"")</f>
        <v>12</v>
      </c>
      <c r="E22" s="36">
        <f>SUMIFS('[1]Rincian Keluar'!$G:$G,'[1]Rincian Keluar'!$E:$E,'ILALANG 01'!C22,'[1]Rincian Keluar'!$D:$D,'ILALANG 01'!$D$1,'[1]Rincian Keluar'!$H:$H,'ILALANG 01'!$J$1,'[1]Rincian Keluar'!$F:$F,'ILALANG 01'!M22)</f>
        <v>7</v>
      </c>
      <c r="F22" s="37">
        <v>60700</v>
      </c>
      <c r="G22" s="38">
        <f t="shared" si="4"/>
        <v>424900</v>
      </c>
      <c r="H22" s="53"/>
      <c r="I22" s="42"/>
      <c r="J22" s="43"/>
      <c r="K22" s="44"/>
      <c r="M22" s="20" t="str">
        <f t="shared" si="5"/>
        <v>COR LANTAI</v>
      </c>
    </row>
    <row r="23" spans="2:13" ht="18" customHeight="1" x14ac:dyDescent="0.25">
      <c r="B23" s="34">
        <v>4</v>
      </c>
      <c r="C23" s="35" t="s">
        <v>32</v>
      </c>
      <c r="D23" s="36">
        <f>IFERROR(HLOOKUP($J$1,[1]DB!$C$1:$K$172,23,FALSE),"")</f>
        <v>6</v>
      </c>
      <c r="E23" s="36">
        <f>SUMIFS('[1]Rincian Keluar'!$G:$G,'[1]Rincian Keluar'!$E:$E,'ILALANG 01'!C23,'[1]Rincian Keluar'!$D:$D,'ILALANG 01'!$D$1,'[1]Rincian Keluar'!$H:$H,'ILALANG 01'!$J$1,'[1]Rincian Keluar'!$F:$F,'ILALANG 01'!M23)</f>
        <v>6</v>
      </c>
      <c r="F23" s="57">
        <v>15000</v>
      </c>
      <c r="G23" s="38">
        <f t="shared" si="4"/>
        <v>90000</v>
      </c>
      <c r="H23" s="55"/>
      <c r="I23" s="47"/>
      <c r="J23" s="48"/>
      <c r="K23" s="49"/>
      <c r="M23" s="20" t="str">
        <f t="shared" si="5"/>
        <v>COR LANTAI</v>
      </c>
    </row>
    <row r="24" spans="2:13" ht="18" customHeight="1" x14ac:dyDescent="0.25">
      <c r="B24" s="29" t="s">
        <v>33</v>
      </c>
      <c r="C24" s="58" t="s">
        <v>34</v>
      </c>
      <c r="D24" s="31"/>
      <c r="E24" s="31"/>
      <c r="F24" s="31"/>
      <c r="G24" s="31"/>
      <c r="H24" s="31"/>
      <c r="I24" s="32"/>
      <c r="J24" s="31"/>
      <c r="K24" s="33"/>
    </row>
    <row r="25" spans="2:13" ht="18" customHeight="1" x14ac:dyDescent="0.25">
      <c r="B25" s="34">
        <v>1</v>
      </c>
      <c r="C25" s="45" t="s">
        <v>35</v>
      </c>
      <c r="D25" s="36">
        <f>IFERROR(HLOOKUP($J$1,[1]DB!$C$1:$K$172,25,FALSE),"")</f>
        <v>1</v>
      </c>
      <c r="E25" s="36">
        <f>SUMIFS('[1]Rincian Keluar'!$G:$G,'[1]Rincian Keluar'!$E:$E,'ILALANG 01'!C25,'[1]Rincian Keluar'!$D:$D,'ILALANG 01'!$D$1,'[1]Rincian Keluar'!$H:$H,'ILALANG 01'!$J$1,'[1]Rincian Keluar'!$F:$F,'ILALANG 01'!M25)</f>
        <v>0</v>
      </c>
      <c r="F25" s="46">
        <v>1550000</v>
      </c>
      <c r="G25" s="59">
        <f>E25*F25</f>
        <v>0</v>
      </c>
      <c r="H25" s="60"/>
      <c r="I25" s="61" t="e">
        <f>IFERROR(VLOOKUP($C24,[1]HK!$B$5:$C$14,2,FALSE),"")*$J1</f>
        <v>#VALUE!</v>
      </c>
      <c r="J25" s="62"/>
      <c r="K25" s="63"/>
      <c r="M25" s="20" t="str">
        <f>$C$24</f>
        <v>PINTU</v>
      </c>
    </row>
    <row r="26" spans="2:13" ht="18" customHeight="1" x14ac:dyDescent="0.25">
      <c r="B26" s="34">
        <v>2</v>
      </c>
      <c r="C26" s="45" t="s">
        <v>36</v>
      </c>
      <c r="D26" s="36">
        <f>IFERROR(HLOOKUP($J$1,[1]DB!$C$1:$K$172,26,FALSE),"")</f>
        <v>3</v>
      </c>
      <c r="E26" s="36">
        <f>SUMIFS('[1]Rincian Keluar'!$G:$G,'[1]Rincian Keluar'!$E:$E,'ILALANG 01'!C26,'[1]Rincian Keluar'!$D:$D,'ILALANG 01'!$D$1,'[1]Rincian Keluar'!$H:$H,'ILALANG 01'!$J$1,'[1]Rincian Keluar'!$F:$F,'ILALANG 01'!M26)</f>
        <v>0</v>
      </c>
      <c r="F26" s="46">
        <v>775000</v>
      </c>
      <c r="G26" s="59">
        <f t="shared" ref="G26:G36" si="6">E26*F26</f>
        <v>0</v>
      </c>
      <c r="H26" s="60"/>
      <c r="I26" s="61"/>
      <c r="J26" s="62"/>
      <c r="K26" s="63"/>
      <c r="M26" s="20" t="str">
        <f t="shared" ref="M26:M36" si="7">$C$24</f>
        <v>PINTU</v>
      </c>
    </row>
    <row r="27" spans="2:13" ht="18" customHeight="1" x14ac:dyDescent="0.25">
      <c r="B27" s="34">
        <v>3</v>
      </c>
      <c r="C27" s="45" t="s">
        <v>37</v>
      </c>
      <c r="D27" s="36">
        <f>IFERROR(HLOOKUP($J$1,[1]DB!$C$1:$K$172,27,FALSE),"")</f>
        <v>1</v>
      </c>
      <c r="E27" s="36">
        <f>SUMIFS('[1]Rincian Keluar'!$G:$G,'[1]Rincian Keluar'!$E:$E,'ILALANG 01'!C27,'[1]Rincian Keluar'!$D:$D,'ILALANG 01'!$D$1,'[1]Rincian Keluar'!$H:$H,'ILALANG 01'!$J$1,'[1]Rincian Keluar'!$F:$F,'ILALANG 01'!M27)</f>
        <v>0</v>
      </c>
      <c r="F27" s="46">
        <v>260000</v>
      </c>
      <c r="G27" s="59">
        <f t="shared" si="6"/>
        <v>0</v>
      </c>
      <c r="H27" s="60"/>
      <c r="I27" s="61"/>
      <c r="J27" s="62"/>
      <c r="K27" s="63"/>
      <c r="M27" s="20" t="str">
        <f t="shared" si="7"/>
        <v>PINTU</v>
      </c>
    </row>
    <row r="28" spans="2:13" ht="18" customHeight="1" x14ac:dyDescent="0.25">
      <c r="B28" s="34">
        <v>4</v>
      </c>
      <c r="C28" s="45" t="s">
        <v>38</v>
      </c>
      <c r="D28" s="36">
        <f>IFERROR(HLOOKUP($J$1,[1]DB!$C$1:$K$172,28,FALSE),"")</f>
        <v>1</v>
      </c>
      <c r="E28" s="36">
        <f>SUMIFS('[1]Rincian Keluar'!$G:$G,'[1]Rincian Keluar'!$E:$E,'ILALANG 01'!C28,'[1]Rincian Keluar'!$D:$D,'ILALANG 01'!$D$1,'[1]Rincian Keluar'!$H:$H,'ILALANG 01'!$J$1,'[1]Rincian Keluar'!$F:$F,'ILALANG 01'!M28)</f>
        <v>0</v>
      </c>
      <c r="F28" s="46">
        <v>799000</v>
      </c>
      <c r="G28" s="59">
        <f t="shared" si="6"/>
        <v>0</v>
      </c>
      <c r="H28" s="60"/>
      <c r="I28" s="61"/>
      <c r="J28" s="62"/>
      <c r="K28" s="63"/>
      <c r="M28" s="20" t="str">
        <f t="shared" si="7"/>
        <v>PINTU</v>
      </c>
    </row>
    <row r="29" spans="2:13" ht="18" customHeight="1" x14ac:dyDescent="0.25">
      <c r="B29" s="34">
        <v>5</v>
      </c>
      <c r="C29" s="45" t="s">
        <v>39</v>
      </c>
      <c r="D29" s="36">
        <f>IFERROR(HLOOKUP($J$1,[1]DB!$C$1:$K$172,29,FALSE),"")</f>
        <v>15</v>
      </c>
      <c r="E29" s="36">
        <f>SUMIFS('[1]Rincian Keluar'!$G:$G,'[1]Rincian Keluar'!$E:$E,'ILALANG 01'!C29,'[1]Rincian Keluar'!$D:$D,'ILALANG 01'!$D$1,'[1]Rincian Keluar'!$H:$H,'ILALANG 01'!$J$1,'[1]Rincian Keluar'!$F:$F,'ILALANG 01'!M29)</f>
        <v>0</v>
      </c>
      <c r="F29" s="46">
        <v>15000</v>
      </c>
      <c r="G29" s="59">
        <f t="shared" si="6"/>
        <v>0</v>
      </c>
      <c r="H29" s="60"/>
      <c r="I29" s="61"/>
      <c r="J29" s="62"/>
      <c r="K29" s="63"/>
      <c r="M29" s="20" t="str">
        <f t="shared" si="7"/>
        <v>PINTU</v>
      </c>
    </row>
    <row r="30" spans="2:13" ht="18" customHeight="1" x14ac:dyDescent="0.25">
      <c r="B30" s="34">
        <v>6</v>
      </c>
      <c r="C30" s="45" t="s">
        <v>40</v>
      </c>
      <c r="D30" s="36">
        <f>IFERROR(HLOOKUP($J$1,[1]DB!$C$1:$K$172,30,FALSE),"")</f>
        <v>2</v>
      </c>
      <c r="E30" s="36">
        <f>SUMIFS('[1]Rincian Keluar'!$G:$G,'[1]Rincian Keluar'!$E:$E,'ILALANG 01'!C30,'[1]Rincian Keluar'!$D:$D,'ILALANG 01'!$D$1,'[1]Rincian Keluar'!$H:$H,'ILALANG 01'!$J$1,'[1]Rincian Keluar'!$F:$F,'ILALANG 01'!M30)</f>
        <v>0</v>
      </c>
      <c r="F30" s="46">
        <v>100000</v>
      </c>
      <c r="G30" s="59">
        <f t="shared" si="6"/>
        <v>0</v>
      </c>
      <c r="H30" s="60"/>
      <c r="I30" s="61"/>
      <c r="J30" s="62"/>
      <c r="K30" s="63"/>
      <c r="M30" s="20" t="str">
        <f t="shared" si="7"/>
        <v>PINTU</v>
      </c>
    </row>
    <row r="31" spans="2:13" ht="18" customHeight="1" x14ac:dyDescent="0.25">
      <c r="B31" s="34">
        <v>7</v>
      </c>
      <c r="C31" s="45" t="s">
        <v>41</v>
      </c>
      <c r="D31" s="36">
        <f>IFERROR(HLOOKUP($J$1,[1]DB!$C$1:$K$172,31,FALSE),"")</f>
        <v>1</v>
      </c>
      <c r="E31" s="36">
        <f>SUMIFS('[1]Rincian Keluar'!$G:$G,'[1]Rincian Keluar'!$E:$E,'ILALANG 01'!C31,'[1]Rincian Keluar'!$D:$D,'ILALANG 01'!$D$1,'[1]Rincian Keluar'!$H:$H,'ILALANG 01'!$J$1,'[1]Rincian Keluar'!$F:$F,'ILALANG 01'!M31)</f>
        <v>0</v>
      </c>
      <c r="F31" s="46">
        <v>60000</v>
      </c>
      <c r="G31" s="59">
        <f t="shared" si="6"/>
        <v>0</v>
      </c>
      <c r="H31" s="60"/>
      <c r="I31" s="61"/>
      <c r="J31" s="62"/>
      <c r="K31" s="63"/>
      <c r="M31" s="20" t="str">
        <f t="shared" si="7"/>
        <v>PINTU</v>
      </c>
    </row>
    <row r="32" spans="2:13" ht="18" customHeight="1" x14ac:dyDescent="0.25">
      <c r="B32" s="34">
        <v>8</v>
      </c>
      <c r="C32" s="45" t="s">
        <v>42</v>
      </c>
      <c r="D32" s="36">
        <f>IFERROR(HLOOKUP($J$1,[1]DB!$C$1:$K$172,32,FALSE),"")</f>
        <v>3</v>
      </c>
      <c r="E32" s="36">
        <f>SUMIFS('[1]Rincian Keluar'!$G:$G,'[1]Rincian Keluar'!$E:$E,'ILALANG 01'!C32,'[1]Rincian Keluar'!$D:$D,'ILALANG 01'!$D$1,'[1]Rincian Keluar'!$H:$H,'ILALANG 01'!$J$1,'[1]Rincian Keluar'!$F:$F,'ILALANG 01'!M32)</f>
        <v>0</v>
      </c>
      <c r="F32" s="46">
        <v>65000</v>
      </c>
      <c r="G32" s="59">
        <f t="shared" si="6"/>
        <v>0</v>
      </c>
      <c r="H32" s="60"/>
      <c r="I32" s="61"/>
      <c r="J32" s="62"/>
      <c r="K32" s="63"/>
      <c r="M32" s="20" t="str">
        <f t="shared" si="7"/>
        <v>PINTU</v>
      </c>
    </row>
    <row r="33" spans="1:13" ht="18" customHeight="1" x14ac:dyDescent="0.25">
      <c r="B33" s="34">
        <v>9</v>
      </c>
      <c r="C33" s="35" t="s">
        <v>43</v>
      </c>
      <c r="D33" s="36">
        <f>IFERROR(HLOOKUP($J$1,[1]DB!$C$1:$K$172,33,FALSE),"")</f>
        <v>4</v>
      </c>
      <c r="E33" s="36">
        <f>SUMIFS('[1]Rincian Keluar'!$G:$G,'[1]Rincian Keluar'!$E:$E,'ILALANG 01'!C33,'[1]Rincian Keluar'!$D:$D,'ILALANG 01'!$D$1,'[1]Rincian Keluar'!$H:$H,'ILALANG 01'!$J$1,'[1]Rincian Keluar'!$F:$F,'ILALANG 01'!M33)</f>
        <v>0</v>
      </c>
      <c r="F33" s="64">
        <v>83000</v>
      </c>
      <c r="G33" s="59">
        <f t="shared" si="6"/>
        <v>0</v>
      </c>
      <c r="H33" s="60"/>
      <c r="I33" s="61"/>
      <c r="J33" s="62"/>
      <c r="K33" s="63"/>
      <c r="M33" s="20" t="str">
        <f t="shared" si="7"/>
        <v>PINTU</v>
      </c>
    </row>
    <row r="34" spans="1:13" ht="18" customHeight="1" x14ac:dyDescent="0.25">
      <c r="B34" s="34">
        <v>10</v>
      </c>
      <c r="C34" s="35" t="s">
        <v>44</v>
      </c>
      <c r="D34" s="36">
        <f>IFERROR(HLOOKUP($J$1,[1]DB!$C$1:$K$172,34,FALSE),"")</f>
        <v>2</v>
      </c>
      <c r="E34" s="36">
        <f>SUMIFS('[1]Rincian Keluar'!$G:$G,'[1]Rincian Keluar'!$E:$E,'ILALANG 01'!C34,'[1]Rincian Keluar'!$D:$D,'ILALANG 01'!$D$1,'[1]Rincian Keluar'!$H:$H,'ILALANG 01'!$J$1,'[1]Rincian Keluar'!$F:$F,'ILALANG 01'!M34)</f>
        <v>0</v>
      </c>
      <c r="F34" s="64">
        <v>23000</v>
      </c>
      <c r="G34" s="59">
        <f t="shared" si="6"/>
        <v>0</v>
      </c>
      <c r="H34" s="60"/>
      <c r="I34" s="61"/>
      <c r="J34" s="62"/>
      <c r="K34" s="63"/>
      <c r="M34" s="20" t="str">
        <f t="shared" si="7"/>
        <v>PINTU</v>
      </c>
    </row>
    <row r="35" spans="1:13" ht="18" customHeight="1" x14ac:dyDescent="0.25">
      <c r="B35" s="34">
        <v>11</v>
      </c>
      <c r="C35" s="35" t="s">
        <v>45</v>
      </c>
      <c r="D35" s="36">
        <f>IFERROR(HLOOKUP($J$1,[1]DB!$C$1:$K$172,35,FALSE),"")</f>
        <v>1</v>
      </c>
      <c r="E35" s="36">
        <f>SUMIFS('[1]Rincian Keluar'!$G:$G,'[1]Rincian Keluar'!$E:$E,'ILALANG 01'!C35,'[1]Rincian Keluar'!$D:$D,'ILALANG 01'!$D$1,'[1]Rincian Keluar'!$H:$H,'ILALANG 01'!$J$1,'[1]Rincian Keluar'!$F:$F,'ILALANG 01'!M35)</f>
        <v>0</v>
      </c>
      <c r="F35" s="64">
        <v>17000</v>
      </c>
      <c r="G35" s="59">
        <f t="shared" si="6"/>
        <v>0</v>
      </c>
      <c r="H35" s="60"/>
      <c r="I35" s="61"/>
      <c r="J35" s="62"/>
      <c r="K35" s="63"/>
      <c r="M35" s="20" t="str">
        <f t="shared" si="7"/>
        <v>PINTU</v>
      </c>
    </row>
    <row r="36" spans="1:13" ht="18" customHeight="1" x14ac:dyDescent="0.25">
      <c r="B36" s="34">
        <v>12</v>
      </c>
      <c r="C36" s="35" t="s">
        <v>46</v>
      </c>
      <c r="D36" s="36">
        <f>IFERROR(HLOOKUP($J$1,[1]DB!$C$1:$K$172,36,FALSE),"")</f>
        <v>1</v>
      </c>
      <c r="E36" s="36">
        <f>SUMIFS('[1]Rincian Keluar'!$G:$G,'[1]Rincian Keluar'!$E:$E,'ILALANG 01'!C36,'[1]Rincian Keluar'!$D:$D,'ILALANG 01'!$D$1,'[1]Rincian Keluar'!$H:$H,'ILALANG 01'!$J$1,'[1]Rincian Keluar'!$F:$F,'ILALANG 01'!M36)</f>
        <v>0</v>
      </c>
      <c r="F36" s="64">
        <v>11000</v>
      </c>
      <c r="G36" s="59">
        <f t="shared" si="6"/>
        <v>0</v>
      </c>
      <c r="H36" s="60"/>
      <c r="I36" s="61"/>
      <c r="J36" s="62"/>
      <c r="K36" s="63"/>
      <c r="M36" s="20" t="str">
        <f t="shared" si="7"/>
        <v>PINTU</v>
      </c>
    </row>
    <row r="37" spans="1:13" ht="18" customHeight="1" x14ac:dyDescent="0.25">
      <c r="B37" s="29" t="s">
        <v>47</v>
      </c>
      <c r="C37" s="65" t="s">
        <v>48</v>
      </c>
      <c r="D37" s="31"/>
      <c r="E37" s="31"/>
      <c r="F37" s="31"/>
      <c r="G37" s="31"/>
      <c r="H37" s="31"/>
      <c r="I37" s="32"/>
      <c r="J37" s="31"/>
      <c r="K37" s="33"/>
      <c r="M37" s="20"/>
    </row>
    <row r="38" spans="1:13" s="66" customFormat="1" ht="18" customHeight="1" x14ac:dyDescent="0.25">
      <c r="B38" s="34">
        <v>1</v>
      </c>
      <c r="C38" s="45" t="s">
        <v>49</v>
      </c>
      <c r="D38" s="36">
        <f>IFERROR(HLOOKUP($J$1,[1]DB!$C$1:$K$172,38,FALSE),"")</f>
        <v>21</v>
      </c>
      <c r="E38" s="36">
        <f>SUMIFS('[1]Rincian Keluar'!$G:$G,'[1]Rincian Keluar'!$E:$E,'ILALANG 01'!C38,'[1]Rincian Keluar'!$D:$D,'ILALANG 01'!$D$1,'[1]Rincian Keluar'!$H:$H,'ILALANG 01'!$J$1,'[1]Rincian Keluar'!$F:$F,'ILALANG 01'!M38)</f>
        <v>26</v>
      </c>
      <c r="F38" s="37">
        <v>11000</v>
      </c>
      <c r="G38" s="67">
        <f>E38*F38</f>
        <v>286000</v>
      </c>
      <c r="H38" s="68">
        <v>3110500</v>
      </c>
      <c r="I38" s="61">
        <f>IFERROR(VLOOKUP($C37,[1]HK!$B$5:$C$14,2,FALSE),"")*$J1</f>
        <v>3127500</v>
      </c>
      <c r="J38" s="69">
        <f>I38-H38</f>
        <v>17000</v>
      </c>
      <c r="K38" s="70">
        <v>1</v>
      </c>
      <c r="M38" s="20" t="str">
        <f>$C$37</f>
        <v>BATA</v>
      </c>
    </row>
    <row r="39" spans="1:13" s="66" customFormat="1" ht="18" customHeight="1" x14ac:dyDescent="0.25">
      <c r="B39" s="34">
        <v>2</v>
      </c>
      <c r="C39" s="45" t="s">
        <v>19</v>
      </c>
      <c r="D39" s="36">
        <f>IFERROR(HLOOKUP($J$1,[1]DB!$C$1:$K$172,39,FALSE),"")</f>
        <v>23</v>
      </c>
      <c r="E39" s="36">
        <f>SUMIFS('[1]Rincian Keluar'!$G:$G,'[1]Rincian Keluar'!$E:$E,'ILALANG 01'!C39,'[1]Rincian Keluar'!$D:$D,'ILALANG 01'!$D$1,'[1]Rincian Keluar'!$H:$H,'ILALANG 01'!$J$1,'[1]Rincian Keluar'!$F:$F,'ILALANG 01'!M39)</f>
        <v>26</v>
      </c>
      <c r="F39" s="46">
        <v>11000</v>
      </c>
      <c r="G39" s="67">
        <f t="shared" ref="G39:G59" si="8">E39*F39</f>
        <v>286000</v>
      </c>
      <c r="H39" s="68"/>
      <c r="I39" s="61"/>
      <c r="J39" s="71"/>
      <c r="K39" s="70"/>
      <c r="M39" s="20" t="str">
        <f t="shared" ref="M39:M59" si="9">$C$37</f>
        <v>BATA</v>
      </c>
    </row>
    <row r="40" spans="1:13" ht="18" customHeight="1" x14ac:dyDescent="0.25">
      <c r="B40" s="34">
        <v>3</v>
      </c>
      <c r="C40" s="45" t="s">
        <v>17</v>
      </c>
      <c r="D40" s="36">
        <f>IFERROR(HLOOKUP($J$1,[1]DB!$C$1:$K$172,40,FALSE),"")</f>
        <v>4</v>
      </c>
      <c r="E40" s="36">
        <f>SUMIFS('[1]Rincian Keluar'!$G:$G,'[1]Rincian Keluar'!$E:$E,'ILALANG 01'!C40,'[1]Rincian Keluar'!$D:$D,'ILALANG 01'!$D$1,'[1]Rincian Keluar'!$H:$H,'ILALANG 01'!$J$1,'[1]Rincian Keluar'!$F:$F,'ILALANG 01'!M40)</f>
        <v>4</v>
      </c>
      <c r="F40" s="37">
        <v>22000</v>
      </c>
      <c r="G40" s="67">
        <f t="shared" si="8"/>
        <v>88000</v>
      </c>
      <c r="H40" s="68"/>
      <c r="I40" s="61"/>
      <c r="J40" s="71"/>
      <c r="K40" s="70"/>
      <c r="M40" s="20" t="str">
        <f t="shared" si="9"/>
        <v>BATA</v>
      </c>
    </row>
    <row r="41" spans="1:13" ht="18" customHeight="1" x14ac:dyDescent="0.25">
      <c r="B41" s="34">
        <v>4</v>
      </c>
      <c r="C41" s="45" t="s">
        <v>50</v>
      </c>
      <c r="D41" s="36">
        <f>IFERROR(HLOOKUP($J$1,[1]DB!$C$1:$K$172,41,FALSE),"")</f>
        <v>7</v>
      </c>
      <c r="E41" s="36">
        <f>SUMIFS('[1]Rincian Keluar'!$G:$G,'[1]Rincian Keluar'!$E:$E,'ILALANG 01'!C41,'[1]Rincian Keluar'!$D:$D,'ILALANG 01'!$D$1,'[1]Rincian Keluar'!$H:$H,'ILALANG 01'!$J$1,'[1]Rincian Keluar'!$F:$F,'ILALANG 01'!M41)</f>
        <v>7</v>
      </c>
      <c r="F41" s="37">
        <v>35000</v>
      </c>
      <c r="G41" s="67">
        <f t="shared" si="8"/>
        <v>245000</v>
      </c>
      <c r="H41" s="68"/>
      <c r="I41" s="61"/>
      <c r="J41" s="71"/>
      <c r="K41" s="70"/>
      <c r="M41" s="20" t="str">
        <f t="shared" si="9"/>
        <v>BATA</v>
      </c>
    </row>
    <row r="42" spans="1:13" ht="18" customHeight="1" x14ac:dyDescent="0.25">
      <c r="B42" s="34">
        <v>5</v>
      </c>
      <c r="C42" s="45" t="s">
        <v>51</v>
      </c>
      <c r="D42" s="36">
        <f>IFERROR(HLOOKUP($J$1,[1]DB!$C$1:$K$172,42,FALSE),"")</f>
        <v>2</v>
      </c>
      <c r="E42" s="36">
        <f>SUMIFS('[1]Rincian Keluar'!$G:$G,'[1]Rincian Keluar'!$E:$E,'ILALANG 01'!C42,'[1]Rincian Keluar'!$D:$D,'ILALANG 01'!$D$1,'[1]Rincian Keluar'!$H:$H,'ILALANG 01'!$J$1,'[1]Rincian Keluar'!$F:$F,'ILALANG 01'!M42)</f>
        <v>2</v>
      </c>
      <c r="F42" s="37">
        <f>F40</f>
        <v>22000</v>
      </c>
      <c r="G42" s="67">
        <f t="shared" si="8"/>
        <v>44000</v>
      </c>
      <c r="H42" s="68"/>
      <c r="I42" s="61"/>
      <c r="J42" s="71"/>
      <c r="K42" s="70"/>
      <c r="M42" s="20" t="str">
        <f t="shared" si="9"/>
        <v>BATA</v>
      </c>
    </row>
    <row r="43" spans="1:13" ht="18" customHeight="1" x14ac:dyDescent="0.25">
      <c r="B43" s="34">
        <v>6</v>
      </c>
      <c r="C43" s="45" t="s">
        <v>52</v>
      </c>
      <c r="D43" s="36">
        <f>IFERROR(HLOOKUP($J$1,[1]DB!$C$1:$K$172,43,FALSE),"")</f>
        <v>1</v>
      </c>
      <c r="E43" s="36">
        <f>SUMIFS('[1]Rincian Keluar'!$G:$G,'[1]Rincian Keluar'!$E:$E,'ILALANG 01'!C43,'[1]Rincian Keluar'!$D:$D,'ILALANG 01'!$D$1,'[1]Rincian Keluar'!$H:$H,'ILALANG 01'!$J$1,'[1]Rincian Keluar'!$F:$F,'ILALANG 01'!M43)</f>
        <v>3</v>
      </c>
      <c r="F43" s="46">
        <v>363250</v>
      </c>
      <c r="G43" s="67">
        <f t="shared" si="8"/>
        <v>1089750</v>
      </c>
      <c r="H43" s="68"/>
      <c r="I43" s="61"/>
      <c r="J43" s="71"/>
      <c r="K43" s="70"/>
      <c r="M43" s="20" t="str">
        <f t="shared" si="9"/>
        <v>BATA</v>
      </c>
    </row>
    <row r="44" spans="1:13" ht="18" customHeight="1" x14ac:dyDescent="0.25">
      <c r="B44" s="34">
        <v>7</v>
      </c>
      <c r="C44" s="45" t="s">
        <v>53</v>
      </c>
      <c r="D44" s="36">
        <f>IFERROR(HLOOKUP($J$1,[1]DB!$C$1:$K$172,44,FALSE),"")</f>
        <v>3</v>
      </c>
      <c r="E44" s="36">
        <f>SUMIFS('[1]Rincian Keluar'!$G:$G,'[1]Rincian Keluar'!$E:$E,'ILALANG 01'!C44,'[1]Rincian Keluar'!$D:$D,'ILALANG 01'!$D$1,'[1]Rincian Keluar'!$H:$H,'ILALANG 01'!$J$1,'[1]Rincian Keluar'!$F:$F,'ILALANG 01'!M44)</f>
        <v>1</v>
      </c>
      <c r="F44" s="46">
        <v>337050</v>
      </c>
      <c r="G44" s="67">
        <f t="shared" si="8"/>
        <v>337050</v>
      </c>
      <c r="H44" s="68"/>
      <c r="I44" s="61"/>
      <c r="J44" s="71"/>
      <c r="K44" s="70"/>
      <c r="M44" s="20" t="str">
        <f t="shared" si="9"/>
        <v>BATA</v>
      </c>
    </row>
    <row r="45" spans="1:13" ht="18" customHeight="1" x14ac:dyDescent="0.25">
      <c r="B45" s="34">
        <v>8</v>
      </c>
      <c r="C45" s="72" t="s">
        <v>54</v>
      </c>
      <c r="D45" s="36">
        <f>IFERROR(HLOOKUP($J$1,[1]DB!$C$1:$K$172,45,FALSE),"")</f>
        <v>2096</v>
      </c>
      <c r="E45" s="36">
        <f>SUMIFS('[1]Rincian Keluar'!$G:$G,'[1]Rincian Keluar'!$E:$E,'ILALANG 01'!C45,'[1]Rincian Keluar'!$D:$D,'ILALANG 01'!$D$1,'[1]Rincian Keluar'!$H:$H,'ILALANG 01'!$J$1,'[1]Rincian Keluar'!$F:$F,'ILALANG 01'!M45)</f>
        <v>2112</v>
      </c>
      <c r="F45" s="37">
        <v>1850</v>
      </c>
      <c r="G45" s="67">
        <f t="shared" si="8"/>
        <v>3907200</v>
      </c>
      <c r="H45" s="68"/>
      <c r="I45" s="61"/>
      <c r="J45" s="71"/>
      <c r="K45" s="70"/>
      <c r="M45" s="20" t="str">
        <f t="shared" si="9"/>
        <v>BATA</v>
      </c>
    </row>
    <row r="46" spans="1:13" ht="18" customHeight="1" x14ac:dyDescent="0.25">
      <c r="B46" s="34">
        <v>9</v>
      </c>
      <c r="C46" s="45" t="s">
        <v>24</v>
      </c>
      <c r="D46" s="36">
        <f>IFERROR(HLOOKUP($J$1,[1]DB!$C$1:$K$172,46,FALSE),"")</f>
        <v>17</v>
      </c>
      <c r="E46" s="36">
        <f>SUMIFS('[1]Rincian Keluar'!$G:$G,'[1]Rincian Keluar'!$E:$E,'ILALANG 01'!C46,'[1]Rincian Keluar'!$D:$D,'ILALANG 01'!$D$1,'[1]Rincian Keluar'!$H:$H,'ILALANG 01'!$J$1,'[1]Rincian Keluar'!$F:$F,'ILALANG 01'!M46)</f>
        <v>22</v>
      </c>
      <c r="F46" s="37">
        <v>60700</v>
      </c>
      <c r="G46" s="67">
        <f t="shared" si="8"/>
        <v>1335400</v>
      </c>
      <c r="H46" s="68"/>
      <c r="I46" s="61"/>
      <c r="J46" s="71"/>
      <c r="K46" s="70"/>
      <c r="M46" s="20" t="str">
        <f t="shared" si="9"/>
        <v>BATA</v>
      </c>
    </row>
    <row r="47" spans="1:13" ht="18" customHeight="1" x14ac:dyDescent="0.25">
      <c r="B47" s="34">
        <v>10</v>
      </c>
      <c r="C47" s="72" t="s">
        <v>31</v>
      </c>
      <c r="D47" s="36">
        <f>IFERROR(HLOOKUP($J$1,[1]DB!$C$1:$K$172,47,FALSE),"")</f>
        <v>4</v>
      </c>
      <c r="E47" s="36">
        <f>SUMIFS('[1]Rincian Keluar'!$G:$G,'[1]Rincian Keluar'!$E:$E,'ILALANG 01'!C47,'[1]Rincian Keluar'!$D:$D,'ILALANG 01'!$D$1,'[1]Rincian Keluar'!$H:$H,'ILALANG 01'!$J$1,'[1]Rincian Keluar'!$F:$F,'ILALANG 01'!M47)</f>
        <v>5</v>
      </c>
      <c r="F47" s="37">
        <v>150000</v>
      </c>
      <c r="G47" s="67">
        <f t="shared" si="8"/>
        <v>750000</v>
      </c>
      <c r="H47" s="68"/>
      <c r="I47" s="61"/>
      <c r="J47" s="71"/>
      <c r="K47" s="70"/>
      <c r="M47" s="20" t="str">
        <f t="shared" si="9"/>
        <v>BATA</v>
      </c>
    </row>
    <row r="48" spans="1:13" s="20" customFormat="1" ht="18" customHeight="1" x14ac:dyDescent="0.25">
      <c r="A48" s="1"/>
      <c r="B48" s="34">
        <v>11</v>
      </c>
      <c r="C48" s="72" t="s">
        <v>17</v>
      </c>
      <c r="D48" s="36">
        <f>IFERROR(HLOOKUP($J$1,[1]DB!$C$1:$K$172,48,FALSE),"")</f>
        <v>4</v>
      </c>
      <c r="E48" s="36">
        <f>SUMIFS('[1]Rincian Keluar'!$G:$G,'[1]Rincian Keluar'!$E:$E,'ILALANG 01'!C48,'[1]Rincian Keluar'!$D:$D,'ILALANG 01'!$D$1,'[1]Rincian Keluar'!$H:$H,'ILALANG 01'!$J$1,'[1]Rincian Keluar'!$F:$F,'ILALANG 01'!M48)</f>
        <v>4</v>
      </c>
      <c r="F48" s="64">
        <f>F7</f>
        <v>21500</v>
      </c>
      <c r="G48" s="67">
        <f t="shared" si="8"/>
        <v>86000</v>
      </c>
      <c r="H48" s="68"/>
      <c r="I48" s="61"/>
      <c r="J48" s="71"/>
      <c r="K48" s="70"/>
      <c r="M48" s="20" t="str">
        <f t="shared" si="9"/>
        <v>BATA</v>
      </c>
    </row>
    <row r="49" spans="1:15" s="20" customFormat="1" ht="18" customHeight="1" x14ac:dyDescent="0.25">
      <c r="A49" s="1"/>
      <c r="B49" s="29" t="s">
        <v>55</v>
      </c>
      <c r="C49" s="65" t="s">
        <v>56</v>
      </c>
      <c r="D49" s="73"/>
      <c r="E49" s="73"/>
      <c r="F49" s="73"/>
      <c r="G49" s="74"/>
      <c r="H49" s="68"/>
      <c r="I49" s="61"/>
      <c r="J49" s="71"/>
      <c r="K49" s="70"/>
      <c r="M49" s="20" t="str">
        <f t="shared" si="9"/>
        <v>BATA</v>
      </c>
    </row>
    <row r="50" spans="1:15" s="20" customFormat="1" ht="18" customHeight="1" x14ac:dyDescent="0.25">
      <c r="A50" s="1"/>
      <c r="B50" s="34">
        <v>1</v>
      </c>
      <c r="C50" s="45" t="s">
        <v>24</v>
      </c>
      <c r="D50" s="36">
        <f>IFERROR(HLOOKUP($J$1,[1]DB!$C$1:$K$172,50,FALSE),"")</f>
        <v>4</v>
      </c>
      <c r="E50" s="36">
        <f>SUMIFS('[1]Rincian Keluar'!$G:$G,'[1]Rincian Keluar'!$E:$E,'ILALANG 01'!C50,'[1]Rincian Keluar'!$D:$D,'ILALANG 01'!$D$1,'[1]Rincian Keluar'!$H:$H,'ILALANG 01'!$J$1,'[1]Rincian Keluar'!$F:$F,'ILALANG 01'!M50)</f>
        <v>22</v>
      </c>
      <c r="F50" s="37">
        <v>60700</v>
      </c>
      <c r="G50" s="67">
        <f t="shared" si="8"/>
        <v>1335400</v>
      </c>
      <c r="H50" s="68"/>
      <c r="I50" s="61"/>
      <c r="J50" s="71"/>
      <c r="K50" s="70"/>
      <c r="M50" s="20" t="str">
        <f t="shared" si="9"/>
        <v>BATA</v>
      </c>
    </row>
    <row r="51" spans="1:15" s="20" customFormat="1" ht="18" customHeight="1" x14ac:dyDescent="0.25">
      <c r="A51" s="1"/>
      <c r="B51" s="34">
        <v>2</v>
      </c>
      <c r="C51" s="72" t="s">
        <v>31</v>
      </c>
      <c r="D51" s="36">
        <f>IFERROR(HLOOKUP($J$1,[1]DB!$C$1:$K$172,51,FALSE),"")</f>
        <v>1</v>
      </c>
      <c r="E51" s="36">
        <f>SUMIFS('[1]Rincian Keluar'!$G:$G,'[1]Rincian Keluar'!$E:$E,'ILALANG 01'!C51,'[1]Rincian Keluar'!$D:$D,'ILALANG 01'!$D$1,'[1]Rincian Keluar'!$H:$H,'ILALANG 01'!$J$1,'[1]Rincian Keluar'!$F:$F,'ILALANG 01'!M51)</f>
        <v>5</v>
      </c>
      <c r="F51" s="37">
        <v>150000</v>
      </c>
      <c r="G51" s="67">
        <f t="shared" si="8"/>
        <v>750000</v>
      </c>
      <c r="H51" s="68"/>
      <c r="I51" s="61"/>
      <c r="J51" s="71"/>
      <c r="K51" s="70"/>
      <c r="M51" s="20" t="str">
        <f t="shared" si="9"/>
        <v>BATA</v>
      </c>
    </row>
    <row r="52" spans="1:15" s="20" customFormat="1" ht="18" customHeight="1" x14ac:dyDescent="0.25">
      <c r="A52" s="1"/>
      <c r="B52" s="34">
        <v>3</v>
      </c>
      <c r="C52" s="72" t="s">
        <v>23</v>
      </c>
      <c r="D52" s="36">
        <f>IFERROR(HLOOKUP($J$1,[1]DB!$C$1:$K$172,52,FALSE),"")</f>
        <v>2</v>
      </c>
      <c r="E52" s="36">
        <f>SUMIFS('[1]Rincian Keluar'!$G:$G,'[1]Rincian Keluar'!$E:$E,'ILALANG 01'!C52,'[1]Rincian Keluar'!$D:$D,'ILALANG 01'!$D$1,'[1]Rincian Keluar'!$H:$H,'ILALANG 01'!$J$1,'[1]Rincian Keluar'!$F:$F,'ILALANG 01'!M52)</f>
        <v>0</v>
      </c>
      <c r="F52" s="37"/>
      <c r="G52" s="67">
        <f t="shared" si="8"/>
        <v>0</v>
      </c>
      <c r="H52" s="68"/>
      <c r="I52" s="61"/>
      <c r="J52" s="71"/>
      <c r="K52" s="70"/>
      <c r="M52" s="20" t="str">
        <f t="shared" si="9"/>
        <v>BATA</v>
      </c>
    </row>
    <row r="53" spans="1:15" s="20" customFormat="1" ht="18" customHeight="1" x14ac:dyDescent="0.25">
      <c r="A53" s="1"/>
      <c r="B53" s="34">
        <v>4</v>
      </c>
      <c r="C53" s="45" t="s">
        <v>51</v>
      </c>
      <c r="D53" s="36">
        <f>IFERROR(HLOOKUP($J$1,[1]DB!$C$1:$K$172,53,FALSE),"")</f>
        <v>2</v>
      </c>
      <c r="E53" s="36">
        <f>SUMIFS('[1]Rincian Keluar'!$G:$G,'[1]Rincian Keluar'!$E:$E,'ILALANG 01'!C53,'[1]Rincian Keluar'!$D:$D,'ILALANG 01'!$D$1,'[1]Rincian Keluar'!$H:$H,'ILALANG 01'!$J$1,'[1]Rincian Keluar'!$F:$F,'ILALANG 01'!M53)</f>
        <v>2</v>
      </c>
      <c r="F53" s="37">
        <v>22000</v>
      </c>
      <c r="G53" s="67">
        <f t="shared" si="8"/>
        <v>44000</v>
      </c>
      <c r="H53" s="68"/>
      <c r="I53" s="61"/>
      <c r="J53" s="71"/>
      <c r="K53" s="70"/>
      <c r="M53" s="20" t="str">
        <f t="shared" si="9"/>
        <v>BATA</v>
      </c>
    </row>
    <row r="54" spans="1:15" s="20" customFormat="1" ht="18" customHeight="1" x14ac:dyDescent="0.25">
      <c r="A54" s="1"/>
      <c r="B54" s="34">
        <v>5</v>
      </c>
      <c r="C54" s="45" t="s">
        <v>57</v>
      </c>
      <c r="D54" s="36">
        <f>IFERROR(HLOOKUP($J$1,[1]DB!$C$1:$K$172,54,FALSE),"")</f>
        <v>3</v>
      </c>
      <c r="E54" s="36">
        <f>SUMIFS('[1]Rincian Keluar'!$G:$G,'[1]Rincian Keluar'!$E:$E,'ILALANG 01'!C54,'[1]Rincian Keluar'!$D:$D,'ILALANG 01'!$D$1,'[1]Rincian Keluar'!$H:$H,'ILALANG 01'!$J$1,'[1]Rincian Keluar'!$F:$F,'ILALANG 01'!M54)</f>
        <v>3</v>
      </c>
      <c r="F54" s="37">
        <v>35000</v>
      </c>
      <c r="G54" s="67">
        <f t="shared" si="8"/>
        <v>105000</v>
      </c>
      <c r="H54" s="68"/>
      <c r="I54" s="61"/>
      <c r="J54" s="71"/>
      <c r="K54" s="70"/>
      <c r="M54" s="20" t="str">
        <f t="shared" si="9"/>
        <v>BATA</v>
      </c>
    </row>
    <row r="55" spans="1:15" s="20" customFormat="1" ht="18" customHeight="1" x14ac:dyDescent="0.25">
      <c r="A55" s="1"/>
      <c r="B55" s="34">
        <v>6</v>
      </c>
      <c r="C55" s="45" t="s">
        <v>58</v>
      </c>
      <c r="D55" s="36">
        <f>IFERROR(HLOOKUP($J$1,[1]DB!$C$1:$K$172,55,FALSE),"")</f>
        <v>1</v>
      </c>
      <c r="E55" s="36">
        <f>SUMIFS('[1]Rincian Keluar'!$G:$G,'[1]Rincian Keluar'!$E:$E,'ILALANG 01'!C55,'[1]Rincian Keluar'!$D:$D,'ILALANG 01'!$D$1,'[1]Rincian Keluar'!$H:$H,'ILALANG 01'!$J$1,'[1]Rincian Keluar'!$F:$F,'ILALANG 01'!M55)</f>
        <v>0</v>
      </c>
      <c r="F55" s="37">
        <v>130000</v>
      </c>
      <c r="G55" s="67">
        <f t="shared" si="8"/>
        <v>0</v>
      </c>
      <c r="H55" s="68"/>
      <c r="I55" s="61"/>
      <c r="J55" s="71"/>
      <c r="K55" s="70"/>
      <c r="M55" s="20" t="str">
        <f t="shared" si="9"/>
        <v>BATA</v>
      </c>
    </row>
    <row r="56" spans="1:15" s="20" customFormat="1" ht="18" customHeight="1" x14ac:dyDescent="0.25">
      <c r="A56" s="1"/>
      <c r="B56" s="34">
        <v>7</v>
      </c>
      <c r="C56" s="45" t="s">
        <v>19</v>
      </c>
      <c r="D56" s="36">
        <f>IFERROR(HLOOKUP($J$1,[1]DB!$C$1:$K$172,56,FALSE),"")</f>
        <v>18</v>
      </c>
      <c r="E56" s="36">
        <f>SUMIFS('[1]Rincian Keluar'!$G:$G,'[1]Rincian Keluar'!$E:$E,'ILALANG 01'!C56,'[1]Rincian Keluar'!$D:$D,'ILALANG 01'!$D$1,'[1]Rincian Keluar'!$H:$H,'ILALANG 01'!$J$1,'[1]Rincian Keluar'!$F:$F,'ILALANG 01'!M56)</f>
        <v>26</v>
      </c>
      <c r="F56" s="46">
        <v>11000</v>
      </c>
      <c r="G56" s="67">
        <f t="shared" si="8"/>
        <v>286000</v>
      </c>
      <c r="H56" s="68"/>
      <c r="I56" s="61"/>
      <c r="J56" s="71"/>
      <c r="K56" s="70"/>
      <c r="M56" s="20" t="str">
        <f t="shared" si="9"/>
        <v>BATA</v>
      </c>
    </row>
    <row r="57" spans="1:15" s="20" customFormat="1" ht="18" customHeight="1" x14ac:dyDescent="0.25">
      <c r="A57" s="1"/>
      <c r="B57" s="34">
        <v>8</v>
      </c>
      <c r="C57" s="45" t="s">
        <v>54</v>
      </c>
      <c r="D57" s="36">
        <f>IFERROR(HLOOKUP($J$1,[1]DB!$C$1:$K$172,57,FALSE),"")</f>
        <v>66</v>
      </c>
      <c r="E57" s="36">
        <f>SUMIFS('[1]Rincian Keluar'!$G:$G,'[1]Rincian Keluar'!$E:$E,'ILALANG 01'!C57,'[1]Rincian Keluar'!$D:$D,'ILALANG 01'!$D$1,'[1]Rincian Keluar'!$H:$H,'ILALANG 01'!$J$1,'[1]Rincian Keluar'!$F:$F,'ILALANG 01'!M57)</f>
        <v>2112</v>
      </c>
      <c r="F57" s="37">
        <v>1850</v>
      </c>
      <c r="G57" s="67">
        <f t="shared" si="8"/>
        <v>3907200</v>
      </c>
      <c r="H57" s="68"/>
      <c r="I57" s="61"/>
      <c r="J57" s="71"/>
      <c r="K57" s="70"/>
      <c r="M57" s="20" t="str">
        <f t="shared" si="9"/>
        <v>BATA</v>
      </c>
    </row>
    <row r="58" spans="1:15" s="20" customFormat="1" ht="18" customHeight="1" x14ac:dyDescent="0.25">
      <c r="A58" s="1"/>
      <c r="B58" s="34">
        <v>9</v>
      </c>
      <c r="C58" s="45" t="s">
        <v>20</v>
      </c>
      <c r="D58" s="36">
        <f>IFERROR(HLOOKUP($J$1,[1]DB!$C$1:$K$172,58,FALSE),"")</f>
        <v>7</v>
      </c>
      <c r="E58" s="36">
        <f>SUMIFS('[1]Rincian Keluar'!$G:$G,'[1]Rincian Keluar'!$E:$E,'ILALANG 01'!C58,'[1]Rincian Keluar'!$D:$D,'ILALANG 01'!$D$1,'[1]Rincian Keluar'!$H:$H,'ILALANG 01'!$J$1,'[1]Rincian Keluar'!$F:$F,'ILALANG 01'!M58)</f>
        <v>0</v>
      </c>
      <c r="F58" s="37">
        <v>8000</v>
      </c>
      <c r="G58" s="67">
        <f t="shared" si="8"/>
        <v>0</v>
      </c>
      <c r="H58" s="68"/>
      <c r="I58" s="61"/>
      <c r="J58" s="71"/>
      <c r="K58" s="70"/>
      <c r="M58" s="20" t="str">
        <f t="shared" si="9"/>
        <v>BATA</v>
      </c>
    </row>
    <row r="59" spans="1:15" s="20" customFormat="1" ht="18" customHeight="1" x14ac:dyDescent="0.25">
      <c r="A59" s="1"/>
      <c r="B59" s="34">
        <v>10</v>
      </c>
      <c r="C59" s="45" t="s">
        <v>21</v>
      </c>
      <c r="D59" s="36">
        <f>IFERROR(HLOOKUP($J$1,[1]DB!$C$1:$K$172,59,FALSE),"")</f>
        <v>6</v>
      </c>
      <c r="E59" s="36">
        <f>SUMIFS('[1]Rincian Keluar'!$G:$G,'[1]Rincian Keluar'!$E:$E,'ILALANG 01'!C59,'[1]Rincian Keluar'!$D:$D,'ILALANG 01'!$D$1,'[1]Rincian Keluar'!$H:$H,'ILALANG 01'!$J$1,'[1]Rincian Keluar'!$F:$F,'ILALANG 01'!M59)</f>
        <v>0</v>
      </c>
      <c r="F59" s="37">
        <v>11000</v>
      </c>
      <c r="G59" s="67">
        <f t="shared" si="8"/>
        <v>0</v>
      </c>
      <c r="H59" s="68"/>
      <c r="I59" s="61"/>
      <c r="J59" s="71"/>
      <c r="K59" s="70"/>
      <c r="M59" s="20" t="str">
        <f t="shared" si="9"/>
        <v>BATA</v>
      </c>
    </row>
    <row r="60" spans="1:15" s="20" customFormat="1" ht="18" customHeight="1" x14ac:dyDescent="0.25">
      <c r="A60" s="1"/>
      <c r="B60" s="29" t="s">
        <v>59</v>
      </c>
      <c r="C60" s="65" t="s">
        <v>60</v>
      </c>
      <c r="D60" s="31"/>
      <c r="E60" s="31"/>
      <c r="F60" s="31"/>
      <c r="G60" s="31"/>
      <c r="H60" s="31"/>
      <c r="I60" s="32"/>
      <c r="J60" s="31"/>
      <c r="K60" s="33"/>
    </row>
    <row r="61" spans="1:15" s="20" customFormat="1" ht="18" customHeight="1" x14ac:dyDescent="0.25">
      <c r="A61" s="1"/>
      <c r="B61" s="34">
        <v>1</v>
      </c>
      <c r="C61" s="45" t="s">
        <v>24</v>
      </c>
      <c r="D61" s="36">
        <f>IFERROR(HLOOKUP($J$1,[1]DB!$C$1:$K$172,61,FALSE),"")</f>
        <v>31</v>
      </c>
      <c r="E61" s="36">
        <f>SUMIFS('[1]Rincian Keluar'!$G:$G,'[1]Rincian Keluar'!$E:$E,'ILALANG 01'!C61,'[1]Rincian Keluar'!$D:$D,'ILALANG 01'!$D$1,'[1]Rincian Keluar'!$H:$H,'ILALANG 01'!$J$1,'[1]Rincian Keluar'!$F:$F,'ILALANG 01'!M61)</f>
        <v>32</v>
      </c>
      <c r="F61" s="37">
        <v>60700</v>
      </c>
      <c r="G61" s="75">
        <f>E61*F61</f>
        <v>1942400</v>
      </c>
      <c r="H61" s="51">
        <v>2885500</v>
      </c>
      <c r="I61" s="76">
        <f>IFERROR(VLOOKUP($C60,[1]HK!$B$5:$C$14,2,FALSE),"")*$J1</f>
        <v>2812500</v>
      </c>
      <c r="J61" s="77">
        <f>I61-H61</f>
        <v>-73000</v>
      </c>
      <c r="K61" s="41">
        <v>0.9</v>
      </c>
      <c r="M61" s="20" t="str">
        <f>$C$60</f>
        <v>PLASTER</v>
      </c>
      <c r="O61" s="20" t="s">
        <v>61</v>
      </c>
    </row>
    <row r="62" spans="1:15" s="20" customFormat="1" ht="18" customHeight="1" x14ac:dyDescent="0.25">
      <c r="A62" s="1"/>
      <c r="B62" s="34">
        <v>2</v>
      </c>
      <c r="C62" s="72" t="s">
        <v>31</v>
      </c>
      <c r="D62" s="36">
        <f>IFERROR(HLOOKUP($J$1,[1]DB!$C$1:$K$172,62,FALSE),"")</f>
        <v>7</v>
      </c>
      <c r="E62" s="36">
        <f>SUMIFS('[1]Rincian Keluar'!$G:$G,'[1]Rincian Keluar'!$E:$E,'ILALANG 01'!C62,'[1]Rincian Keluar'!$D:$D,'ILALANG 01'!$D$1,'[1]Rincian Keluar'!$H:$H,'ILALANG 01'!$J$1,'[1]Rincian Keluar'!$F:$F,'ILALANG 01'!M62)</f>
        <v>6</v>
      </c>
      <c r="F62" s="37">
        <v>150000</v>
      </c>
      <c r="G62" s="75">
        <f t="shared" ref="G62:G63" si="10">E62*F62</f>
        <v>900000</v>
      </c>
      <c r="H62" s="53"/>
      <c r="I62" s="78"/>
      <c r="J62" s="79"/>
      <c r="K62" s="44"/>
      <c r="M62" s="20" t="str">
        <f t="shared" ref="M62:M63" si="11">$C$60</f>
        <v>PLASTER</v>
      </c>
    </row>
    <row r="63" spans="1:15" ht="18" customHeight="1" x14ac:dyDescent="0.25">
      <c r="B63" s="34">
        <v>3</v>
      </c>
      <c r="C63" s="72" t="s">
        <v>62</v>
      </c>
      <c r="D63" s="36">
        <f>IFERROR(HLOOKUP($J$1,[1]DB!$C$1:$K$172,63,FALSE),"")</f>
        <v>6</v>
      </c>
      <c r="E63" s="36">
        <f>SUMIFS('[1]Rincian Keluar'!$G:$G,'[1]Rincian Keluar'!$E:$E,'ILALANG 01'!C63,'[1]Rincian Keluar'!$D:$D,'ILALANG 01'!$D$1,'[1]Rincian Keluar'!$H:$H,'ILALANG 01'!$J$1,'[1]Rincian Keluar'!$F:$F,'ILALANG 01'!M63)</f>
        <v>6</v>
      </c>
      <c r="F63" s="57">
        <v>8600</v>
      </c>
      <c r="G63" s="75">
        <f t="shared" si="10"/>
        <v>51600</v>
      </c>
      <c r="H63" s="55"/>
      <c r="I63" s="80"/>
      <c r="J63" s="81"/>
      <c r="K63" s="49"/>
      <c r="M63" s="20" t="str">
        <f t="shared" si="11"/>
        <v>PLASTER</v>
      </c>
    </row>
    <row r="64" spans="1:15" ht="18" customHeight="1" x14ac:dyDescent="0.25">
      <c r="B64" s="29" t="s">
        <v>63</v>
      </c>
      <c r="C64" s="50" t="s">
        <v>64</v>
      </c>
      <c r="D64" s="31"/>
      <c r="E64" s="31"/>
      <c r="F64" s="31"/>
      <c r="G64" s="31"/>
      <c r="H64" s="31"/>
      <c r="I64" s="32"/>
      <c r="J64" s="31"/>
      <c r="K64" s="33"/>
      <c r="M64" s="20"/>
    </row>
    <row r="65" spans="1:13" ht="18" customHeight="1" x14ac:dyDescent="0.25">
      <c r="B65" s="34">
        <v>1</v>
      </c>
      <c r="C65" s="45" t="s">
        <v>19</v>
      </c>
      <c r="D65" s="36">
        <f>IFERROR(HLOOKUP($J$1,[1]DB!$C$1:$K$172,65,FALSE),"")</f>
        <v>54</v>
      </c>
      <c r="E65" s="36">
        <f>SUMIFS('[1]Rincian Keluar'!$G:$G,'[1]Rincian Keluar'!$E:$E,'ILALANG 01'!C65,'[1]Rincian Keluar'!$D:$D,'ILALANG 01'!$D$1,'[1]Rincian Keluar'!$H:$H,'ILALANG 01'!$J$1,'[1]Rincian Keluar'!$F:$F,'ILALANG 01'!M65)</f>
        <v>74</v>
      </c>
      <c r="F65" s="46">
        <v>11000</v>
      </c>
      <c r="G65" s="82">
        <f>E65*F65</f>
        <v>814000</v>
      </c>
      <c r="H65" s="51">
        <v>1636500</v>
      </c>
      <c r="I65" s="39">
        <f>IFERROR(VLOOKUP($C64,[1]HK!$B$5:$C$14,2,FALSE),"")*$J1</f>
        <v>1503000</v>
      </c>
      <c r="J65" s="83">
        <f>I65-H65</f>
        <v>-133500</v>
      </c>
      <c r="K65" s="84">
        <v>1</v>
      </c>
      <c r="M65" s="20" t="str">
        <f>$C$64</f>
        <v>ATAP</v>
      </c>
    </row>
    <row r="66" spans="1:13" ht="18" customHeight="1" x14ac:dyDescent="0.25">
      <c r="B66" s="34">
        <v>2</v>
      </c>
      <c r="C66" s="45" t="s">
        <v>65</v>
      </c>
      <c r="D66" s="36">
        <f>IFERROR(HLOOKUP($J$1,[1]DB!$C$1:$K$172,66,FALSE),"")</f>
        <v>36</v>
      </c>
      <c r="E66" s="36">
        <f>SUMIFS('[1]Rincian Keluar'!$G:$G,'[1]Rincian Keluar'!$E:$E,'ILALANG 01'!C66,'[1]Rincian Keluar'!$D:$D,'ILALANG 01'!$D$1,'[1]Rincian Keluar'!$H:$H,'ILALANG 01'!$J$1,'[1]Rincian Keluar'!$F:$F,'ILALANG 01'!M66)</f>
        <v>45</v>
      </c>
      <c r="F66" s="85">
        <v>15000</v>
      </c>
      <c r="G66" s="82">
        <f t="shared" ref="G66:G74" si="12">E66*F66</f>
        <v>675000</v>
      </c>
      <c r="H66" s="53"/>
      <c r="I66" s="42"/>
      <c r="J66" s="86"/>
      <c r="K66" s="87"/>
      <c r="M66" s="20" t="str">
        <f t="shared" ref="M66:M74" si="13">$C$64</f>
        <v>ATAP</v>
      </c>
    </row>
    <row r="67" spans="1:13" ht="18" customHeight="1" x14ac:dyDescent="0.25">
      <c r="B67" s="34">
        <v>3</v>
      </c>
      <c r="C67" s="45" t="s">
        <v>66</v>
      </c>
      <c r="D67" s="36">
        <f>IFERROR(HLOOKUP($J$1,[1]DB!$C$1:$K$172,67,FALSE),"")</f>
        <v>26</v>
      </c>
      <c r="E67" s="36">
        <f>SUMIFS('[1]Rincian Keluar'!$G:$G,'[1]Rincian Keluar'!$E:$E,'ILALANG 01'!C67,'[1]Rincian Keluar'!$D:$D,'ILALANG 01'!$D$1,'[1]Rincian Keluar'!$H:$H,'ILALANG 01'!$J$1,'[1]Rincian Keluar'!$F:$F,'ILALANG 01'!M67)</f>
        <v>30</v>
      </c>
      <c r="F67" s="85">
        <v>30000</v>
      </c>
      <c r="G67" s="82">
        <f t="shared" si="12"/>
        <v>900000</v>
      </c>
      <c r="H67" s="53"/>
      <c r="I67" s="42"/>
      <c r="J67" s="86"/>
      <c r="K67" s="87"/>
      <c r="M67" s="20" t="str">
        <f t="shared" si="13"/>
        <v>ATAP</v>
      </c>
    </row>
    <row r="68" spans="1:13" ht="18" customHeight="1" x14ac:dyDescent="0.25">
      <c r="B68" s="34">
        <v>4</v>
      </c>
      <c r="C68" s="35" t="s">
        <v>67</v>
      </c>
      <c r="D68" s="36">
        <f>IFERROR(HLOOKUP($J$1,[1]DB!$C$1:$K$172,68,FALSE),"")</f>
        <v>8</v>
      </c>
      <c r="E68" s="36">
        <f>SUMIFS('[1]Rincian Keluar'!$G:$G,'[1]Rincian Keluar'!$E:$E,'ILALANG 01'!C68,'[1]Rincian Keluar'!$D:$D,'ILALANG 01'!$D$1,'[1]Rincian Keluar'!$H:$H,'ILALANG 01'!$J$1,'[1]Rincian Keluar'!$F:$F,'ILALANG 01'!M68)</f>
        <v>9</v>
      </c>
      <c r="F68" s="88">
        <v>60000</v>
      </c>
      <c r="G68" s="82">
        <f t="shared" si="12"/>
        <v>540000</v>
      </c>
      <c r="H68" s="53"/>
      <c r="I68" s="42"/>
      <c r="J68" s="86"/>
      <c r="K68" s="87"/>
      <c r="M68" s="20" t="str">
        <f t="shared" si="13"/>
        <v>ATAP</v>
      </c>
    </row>
    <row r="69" spans="1:13" ht="18" customHeight="1" x14ac:dyDescent="0.25">
      <c r="B69" s="34">
        <v>5</v>
      </c>
      <c r="C69" s="35" t="s">
        <v>68</v>
      </c>
      <c r="D69" s="36">
        <f>IFERROR(HLOOKUP($J$1,[1]DB!$C$1:$K$172,69,FALSE),"")</f>
        <v>61</v>
      </c>
      <c r="E69" s="36">
        <f>SUMIFS('[1]Rincian Keluar'!$G:$G,'[1]Rincian Keluar'!$E:$E,'ILALANG 01'!C69,'[1]Rincian Keluar'!$D:$D,'ILALANG 01'!$D$1,'[1]Rincian Keluar'!$H:$H,'ILALANG 01'!$J$1,'[1]Rincian Keluar'!$F:$F,'ILALANG 01'!M69)</f>
        <v>65</v>
      </c>
      <c r="F69" s="88">
        <v>52000</v>
      </c>
      <c r="G69" s="82">
        <f t="shared" si="12"/>
        <v>3380000</v>
      </c>
      <c r="H69" s="53"/>
      <c r="I69" s="42"/>
      <c r="J69" s="86"/>
      <c r="K69" s="87"/>
      <c r="M69" s="20" t="str">
        <f t="shared" si="13"/>
        <v>ATAP</v>
      </c>
    </row>
    <row r="70" spans="1:13" ht="18" customHeight="1" x14ac:dyDescent="0.25">
      <c r="B70" s="34">
        <v>6</v>
      </c>
      <c r="C70" s="35" t="s">
        <v>69</v>
      </c>
      <c r="D70" s="36">
        <f>IFERROR(HLOOKUP($J$1,[1]DB!$C$1:$K$172,70,FALSE),"")</f>
        <v>0</v>
      </c>
      <c r="E70" s="36">
        <f>SUMIFS('[1]Rincian Keluar'!$G:$G,'[1]Rincian Keluar'!$E:$E,'ILALANG 01'!C70,'[1]Rincian Keluar'!$D:$D,'ILALANG 01'!$D$1,'[1]Rincian Keluar'!$H:$H,'ILALANG 01'!$J$1,'[1]Rincian Keluar'!$F:$F,'ILALANG 01'!M70)</f>
        <v>0</v>
      </c>
      <c r="F70" s="88">
        <v>36000</v>
      </c>
      <c r="G70" s="82">
        <f t="shared" si="12"/>
        <v>0</v>
      </c>
      <c r="H70" s="53"/>
      <c r="I70" s="42"/>
      <c r="J70" s="86"/>
      <c r="K70" s="87"/>
      <c r="M70" s="20" t="str">
        <f t="shared" si="13"/>
        <v>ATAP</v>
      </c>
    </row>
    <row r="71" spans="1:13" ht="18" customHeight="1" x14ac:dyDescent="0.25">
      <c r="B71" s="34">
        <v>7</v>
      </c>
      <c r="C71" s="35" t="s">
        <v>70</v>
      </c>
      <c r="D71" s="36">
        <f>IFERROR(HLOOKUP($J$1,[1]DB!$C$1:$K$172,71,FALSE),"")</f>
        <v>0</v>
      </c>
      <c r="E71" s="36">
        <f>SUMIFS('[1]Rincian Keluar'!$G:$G,'[1]Rincian Keluar'!$E:$E,'ILALANG 01'!C71,'[1]Rincian Keluar'!$D:$D,'ILALANG 01'!$D$1,'[1]Rincian Keluar'!$H:$H,'ILALANG 01'!$J$1,'[1]Rincian Keluar'!$F:$F,'ILALANG 01'!M71)</f>
        <v>0</v>
      </c>
      <c r="F71" s="88">
        <v>50000</v>
      </c>
      <c r="G71" s="82">
        <f t="shared" si="12"/>
        <v>0</v>
      </c>
      <c r="H71" s="53"/>
      <c r="I71" s="42"/>
      <c r="J71" s="86"/>
      <c r="K71" s="87"/>
      <c r="M71" s="20" t="str">
        <f t="shared" si="13"/>
        <v>ATAP</v>
      </c>
    </row>
    <row r="72" spans="1:13" ht="18" customHeight="1" x14ac:dyDescent="0.25">
      <c r="B72" s="34">
        <v>8</v>
      </c>
      <c r="C72" s="35" t="s">
        <v>71</v>
      </c>
      <c r="D72" s="36">
        <f>IFERROR(HLOOKUP($J$1,[1]DB!$C$1:$K$172,72,FALSE),"")</f>
        <v>1.5</v>
      </c>
      <c r="E72" s="36">
        <f>SUMIFS('[1]Rincian Keluar'!$G:$G,'[1]Rincian Keluar'!$E:$E,'ILALANG 01'!C72,'[1]Rincian Keluar'!$D:$D,'ILALANG 01'!$D$1,'[1]Rincian Keluar'!$H:$H,'ILALANG 01'!$J$1,'[1]Rincian Keluar'!$F:$F,'ILALANG 01'!M72)</f>
        <v>1</v>
      </c>
      <c r="F72" s="88">
        <v>650000</v>
      </c>
      <c r="G72" s="82">
        <f t="shared" si="12"/>
        <v>650000</v>
      </c>
      <c r="H72" s="53"/>
      <c r="I72" s="42"/>
      <c r="J72" s="86"/>
      <c r="K72" s="87"/>
      <c r="M72" s="20" t="str">
        <f t="shared" si="13"/>
        <v>ATAP</v>
      </c>
    </row>
    <row r="73" spans="1:13" ht="18" customHeight="1" x14ac:dyDescent="0.25">
      <c r="B73" s="34">
        <v>9</v>
      </c>
      <c r="C73" s="35" t="s">
        <v>72</v>
      </c>
      <c r="D73" s="36">
        <f>IFERROR(HLOOKUP($J$1,[1]DB!$C$1:$K$172,73,FALSE),"")</f>
        <v>1</v>
      </c>
      <c r="E73" s="36">
        <f>SUMIFS('[1]Rincian Keluar'!$G:$G,'[1]Rincian Keluar'!$E:$E,'ILALANG 01'!C73,'[1]Rincian Keluar'!$D:$D,'ILALANG 01'!$D$1,'[1]Rincian Keluar'!$H:$H,'ILALANG 01'!$J$1,'[1]Rincian Keluar'!$F:$F,'ILALANG 01'!M73)</f>
        <v>1</v>
      </c>
      <c r="F73" s="88">
        <v>130000</v>
      </c>
      <c r="G73" s="82">
        <f t="shared" si="12"/>
        <v>130000</v>
      </c>
      <c r="H73" s="53"/>
      <c r="I73" s="42"/>
      <c r="J73" s="86"/>
      <c r="K73" s="87"/>
      <c r="M73" s="20" t="str">
        <f t="shared" si="13"/>
        <v>ATAP</v>
      </c>
    </row>
    <row r="74" spans="1:13" ht="18" customHeight="1" x14ac:dyDescent="0.25">
      <c r="B74" s="34">
        <v>10</v>
      </c>
      <c r="C74" s="35" t="s">
        <v>73</v>
      </c>
      <c r="D74" s="36">
        <f>IFERROR(HLOOKUP($J$1,[1]DB!$C$1:$K$172,74,FALSE),"")</f>
        <v>1</v>
      </c>
      <c r="E74" s="36">
        <f>SUMIFS('[1]Rincian Keluar'!$G:$G,'[1]Rincian Keluar'!$E:$E,'ILALANG 01'!C74,'[1]Rincian Keluar'!$D:$D,'ILALANG 01'!$D$1,'[1]Rincian Keluar'!$H:$H,'ILALANG 01'!$J$1,'[1]Rincian Keluar'!$F:$F,'ILALANG 01'!M74)</f>
        <v>1</v>
      </c>
      <c r="F74" s="88">
        <v>130000</v>
      </c>
      <c r="G74" s="82">
        <f t="shared" si="12"/>
        <v>130000</v>
      </c>
      <c r="H74" s="55"/>
      <c r="I74" s="47"/>
      <c r="J74" s="89"/>
      <c r="K74" s="90"/>
      <c r="M74" s="20" t="str">
        <f t="shared" si="13"/>
        <v>ATAP</v>
      </c>
    </row>
    <row r="75" spans="1:13" ht="18" customHeight="1" x14ac:dyDescent="0.25">
      <c r="B75" s="91" t="s">
        <v>74</v>
      </c>
      <c r="C75" s="92" t="s">
        <v>75</v>
      </c>
      <c r="D75" s="93"/>
      <c r="E75" s="93"/>
      <c r="F75" s="93"/>
      <c r="G75" s="93"/>
      <c r="H75" s="93"/>
      <c r="I75" s="94"/>
      <c r="J75" s="93"/>
      <c r="K75" s="95"/>
      <c r="M75" s="20"/>
    </row>
    <row r="76" spans="1:13" ht="18" customHeight="1" x14ac:dyDescent="0.25">
      <c r="B76" s="96">
        <v>1</v>
      </c>
      <c r="C76" s="97" t="s">
        <v>19</v>
      </c>
      <c r="D76" s="36">
        <f>IFERROR(HLOOKUP($J$1,[1]DB!$C$1:$K$172,76,FALSE),"")</f>
        <v>78</v>
      </c>
      <c r="E76" s="36">
        <f>SUMIFS('[1]Rincian Keluar'!$G:$G,'[1]Rincian Keluar'!$E:$E,'ILALANG 01'!C76,'[1]Rincian Keluar'!$D:$D,'ILALANG 01'!$D$1,'[1]Rincian Keluar'!$H:$H,'ILALANG 01'!$J$1,'[1]Rincian Keluar'!$F:$F,'ILALANG 01'!M76)</f>
        <v>80</v>
      </c>
      <c r="F76" s="46">
        <v>11000</v>
      </c>
      <c r="G76" s="98">
        <f>E76*F76</f>
        <v>880000</v>
      </c>
      <c r="H76" s="51">
        <v>998000</v>
      </c>
      <c r="I76" s="99">
        <f>IFERROR(VLOOKUP($C75,[1]HK!$B$5:$C$14,2,FALSE),"")*$J1</f>
        <v>877500</v>
      </c>
      <c r="J76" s="83">
        <f>I76-H76</f>
        <v>-120500</v>
      </c>
      <c r="K76" s="84">
        <v>1</v>
      </c>
      <c r="M76" s="20" t="str">
        <f>$C$75</f>
        <v>DEK</v>
      </c>
    </row>
    <row r="77" spans="1:13" ht="18" customHeight="1" x14ac:dyDescent="0.25">
      <c r="B77" s="96">
        <v>2</v>
      </c>
      <c r="C77" s="97" t="s">
        <v>76</v>
      </c>
      <c r="D77" s="36">
        <f>IFERROR(HLOOKUP($J$1,[1]DB!$C$1:$K$172,77,FALSE),"")</f>
        <v>20</v>
      </c>
      <c r="E77" s="36">
        <f>SUMIFS('[1]Rincian Keluar'!$G:$G,'[1]Rincian Keluar'!$E:$E,'ILALANG 01'!C77,'[1]Rincian Keluar'!$D:$D,'ILALANG 01'!$D$1,'[1]Rincian Keluar'!$H:$H,'ILALANG 01'!$J$1,'[1]Rincian Keluar'!$F:$F,'ILALANG 01'!M77)</f>
        <v>20</v>
      </c>
      <c r="F77" s="57">
        <v>60000</v>
      </c>
      <c r="G77" s="98">
        <f t="shared" ref="G77:G81" si="14">E77*F77</f>
        <v>1200000</v>
      </c>
      <c r="H77" s="53"/>
      <c r="I77" s="100"/>
      <c r="J77" s="86"/>
      <c r="K77" s="87"/>
      <c r="M77" s="20" t="str">
        <f t="shared" ref="M77:M81" si="15">$C$75</f>
        <v>DEK</v>
      </c>
    </row>
    <row r="78" spans="1:13" ht="18" customHeight="1" x14ac:dyDescent="0.25">
      <c r="B78" s="96">
        <v>3</v>
      </c>
      <c r="C78" s="97" t="s">
        <v>77</v>
      </c>
      <c r="D78" s="36">
        <f>IFERROR(HLOOKUP($J$1,[1]DB!$C$1:$K$172,78,FALSE),"")</f>
        <v>3</v>
      </c>
      <c r="E78" s="36">
        <f>SUMIFS('[1]Rincian Keluar'!$G:$G,'[1]Rincian Keluar'!$E:$E,'ILALANG 01'!C78,'[1]Rincian Keluar'!$D:$D,'ILALANG 01'!$D$1,'[1]Rincian Keluar'!$H:$H,'ILALANG 01'!$J$1,'[1]Rincian Keluar'!$F:$F,'ILALANG 01'!M78)</f>
        <v>3</v>
      </c>
      <c r="F78" s="57">
        <v>37000</v>
      </c>
      <c r="G78" s="98">
        <f t="shared" si="14"/>
        <v>111000</v>
      </c>
      <c r="H78" s="53"/>
      <c r="I78" s="100"/>
      <c r="J78" s="86"/>
      <c r="K78" s="87"/>
      <c r="M78" s="20" t="str">
        <f t="shared" si="15"/>
        <v>DEK</v>
      </c>
    </row>
    <row r="79" spans="1:13" s="20" customFormat="1" ht="18" customHeight="1" x14ac:dyDescent="0.25">
      <c r="A79" s="1"/>
      <c r="B79" s="96">
        <v>4</v>
      </c>
      <c r="C79" s="97" t="s">
        <v>78</v>
      </c>
      <c r="D79" s="36">
        <f>IFERROR(HLOOKUP($J$1,[1]DB!$C$1:$K$172,79,FALSE),"")</f>
        <v>1</v>
      </c>
      <c r="E79" s="36">
        <f>SUMIFS('[1]Rincian Keluar'!$G:$G,'[1]Rincian Keluar'!$E:$E,'ILALANG 01'!C79,'[1]Rincian Keluar'!$D:$D,'ILALANG 01'!$D$1,'[1]Rincian Keluar'!$H:$H,'ILALANG 01'!$J$1,'[1]Rincian Keluar'!$F:$F,'ILALANG 01'!M79)</f>
        <v>1</v>
      </c>
      <c r="F79" s="57">
        <v>5000</v>
      </c>
      <c r="G79" s="98">
        <f t="shared" si="14"/>
        <v>5000</v>
      </c>
      <c r="H79" s="53"/>
      <c r="I79" s="100"/>
      <c r="J79" s="86"/>
      <c r="K79" s="87"/>
      <c r="M79" s="20" t="str">
        <f t="shared" si="15"/>
        <v>DEK</v>
      </c>
    </row>
    <row r="80" spans="1:13" s="20" customFormat="1" ht="18" customHeight="1" x14ac:dyDescent="0.25">
      <c r="A80" s="1"/>
      <c r="B80" s="96">
        <v>5</v>
      </c>
      <c r="C80" s="97" t="s">
        <v>79</v>
      </c>
      <c r="D80" s="36">
        <f>IFERROR(HLOOKUP($J$1,[1]DB!$C$1:$K$172,80,FALSE),"")</f>
        <v>1</v>
      </c>
      <c r="E80" s="36">
        <f>SUMIFS('[1]Rincian Keluar'!$G:$G,'[1]Rincian Keluar'!$E:$E,'ILALANG 01'!C80,'[1]Rincian Keluar'!$D:$D,'ILALANG 01'!$D$1,'[1]Rincian Keluar'!$H:$H,'ILALANG 01'!$J$1,'[1]Rincian Keluar'!$F:$F,'ILALANG 01'!M80)</f>
        <v>1</v>
      </c>
      <c r="F80" s="57">
        <v>130000</v>
      </c>
      <c r="G80" s="98">
        <f t="shared" si="14"/>
        <v>130000</v>
      </c>
      <c r="H80" s="53"/>
      <c r="I80" s="100"/>
      <c r="J80" s="86"/>
      <c r="K80" s="87"/>
      <c r="M80" s="20" t="str">
        <f t="shared" si="15"/>
        <v>DEK</v>
      </c>
    </row>
    <row r="81" spans="1:13" s="20" customFormat="1" ht="18" customHeight="1" x14ac:dyDescent="0.25">
      <c r="A81" s="1"/>
      <c r="B81" s="96">
        <v>6</v>
      </c>
      <c r="C81" s="97" t="s">
        <v>80</v>
      </c>
      <c r="D81" s="36">
        <f>IFERROR(HLOOKUP($J$1,[1]DB!$C$1:$K$172,81,FALSE),"")</f>
        <v>1</v>
      </c>
      <c r="E81" s="36">
        <f>SUMIFS('[1]Rincian Keluar'!$G:$G,'[1]Rincian Keluar'!$E:$E,'ILALANG 01'!C81,'[1]Rincian Keluar'!$D:$D,'ILALANG 01'!$D$1,'[1]Rincian Keluar'!$H:$H,'ILALANG 01'!$J$1,'[1]Rincian Keluar'!$F:$F,'ILALANG 01'!M81)</f>
        <v>1</v>
      </c>
      <c r="F81" s="57">
        <v>130000</v>
      </c>
      <c r="G81" s="98">
        <f t="shared" si="14"/>
        <v>130000</v>
      </c>
      <c r="H81" s="55"/>
      <c r="I81" s="101"/>
      <c r="J81" s="89"/>
      <c r="K81" s="90"/>
      <c r="M81" s="20" t="str">
        <f t="shared" si="15"/>
        <v>DEK</v>
      </c>
    </row>
    <row r="82" spans="1:13" s="20" customFormat="1" ht="18" customHeight="1" x14ac:dyDescent="0.25">
      <c r="A82" s="1"/>
      <c r="B82" s="91" t="s">
        <v>81</v>
      </c>
      <c r="C82" s="92" t="s">
        <v>82</v>
      </c>
      <c r="D82" s="93"/>
      <c r="E82" s="93"/>
      <c r="F82" s="93"/>
      <c r="G82" s="93"/>
      <c r="H82" s="93"/>
      <c r="I82" s="94"/>
      <c r="J82" s="93"/>
      <c r="K82" s="95"/>
    </row>
    <row r="83" spans="1:13" s="20" customFormat="1" ht="18" customHeight="1" x14ac:dyDescent="0.25">
      <c r="A83" s="1"/>
      <c r="B83" s="96">
        <v>1</v>
      </c>
      <c r="C83" s="97" t="s">
        <v>54</v>
      </c>
      <c r="D83" s="36">
        <f>IFERROR(HLOOKUP($J$1,[1]DB!$C$1:$K$172,83,FALSE),"")</f>
        <v>98</v>
      </c>
      <c r="E83" s="36">
        <f>SUMIFS('[1]Rincian Keluar'!$G:$G,'[1]Rincian Keluar'!$E:$E,'ILALANG 01'!C83,'[1]Rincian Keluar'!$D:$D,'ILALANG 01'!$D$1,'[1]Rincian Keluar'!$H:$H,'ILALANG 01'!$J$1,'[1]Rincian Keluar'!$F:$F,'ILALANG 01'!M83)</f>
        <v>70</v>
      </c>
      <c r="F83" s="37">
        <v>1850</v>
      </c>
      <c r="G83" s="98">
        <f>E83*F83</f>
        <v>129500</v>
      </c>
      <c r="H83" s="51">
        <v>350000</v>
      </c>
      <c r="I83" s="99">
        <f>IFERROR(VLOOKUP($C82,[1]HK!$B$5:$C$20,2,FALSE),"")*$J1+693000</f>
        <v>1260000</v>
      </c>
      <c r="J83" s="102">
        <f>I83-H83</f>
        <v>910000</v>
      </c>
      <c r="K83" s="103">
        <v>0.3</v>
      </c>
      <c r="M83" s="20" t="str">
        <f>$C$82</f>
        <v>MINIMALIS</v>
      </c>
    </row>
    <row r="84" spans="1:13" s="20" customFormat="1" ht="18" customHeight="1" x14ac:dyDescent="0.25">
      <c r="A84" s="1"/>
      <c r="B84" s="96">
        <v>2</v>
      </c>
      <c r="C84" s="97" t="s">
        <v>31</v>
      </c>
      <c r="D84" s="36">
        <f>IFERROR(HLOOKUP($J$1,[1]DB!$C$1:$K$172,84,FALSE),"")</f>
        <v>2</v>
      </c>
      <c r="E84" s="36">
        <f>SUMIFS('[1]Rincian Keluar'!$G:$G,'[1]Rincian Keluar'!$E:$E,'ILALANG 01'!C84,'[1]Rincian Keluar'!$D:$D,'ILALANG 01'!$D$1,'[1]Rincian Keluar'!$H:$H,'ILALANG 01'!$J$1,'[1]Rincian Keluar'!$F:$F,'ILALANG 01'!M84)</f>
        <v>1</v>
      </c>
      <c r="F84" s="37">
        <v>150000</v>
      </c>
      <c r="G84" s="98">
        <f t="shared" ref="G84:G86" si="16">E84*F84</f>
        <v>150000</v>
      </c>
      <c r="H84" s="53"/>
      <c r="I84" s="100"/>
      <c r="J84" s="104"/>
      <c r="K84" s="105"/>
      <c r="M84" s="20" t="str">
        <f t="shared" ref="M84:M86" si="17">$C$82</f>
        <v>MINIMALIS</v>
      </c>
    </row>
    <row r="85" spans="1:13" s="20" customFormat="1" ht="18" customHeight="1" x14ac:dyDescent="0.25">
      <c r="A85" s="1"/>
      <c r="B85" s="96">
        <v>3</v>
      </c>
      <c r="C85" s="45" t="s">
        <v>24</v>
      </c>
      <c r="D85" s="36">
        <f>IFERROR(HLOOKUP($J$1,[1]DB!$C$1:$K$172,85,FALSE),"")</f>
        <v>8</v>
      </c>
      <c r="E85" s="36">
        <f>SUMIFS('[1]Rincian Keluar'!$G:$G,'[1]Rincian Keluar'!$E:$E,'ILALANG 01'!C85,'[1]Rincian Keluar'!$D:$D,'ILALANG 01'!$D$1,'[1]Rincian Keluar'!$H:$H,'ILALANG 01'!$J$1,'[1]Rincian Keluar'!$F:$F,'ILALANG 01'!M85)</f>
        <v>4</v>
      </c>
      <c r="F85" s="37">
        <v>60700</v>
      </c>
      <c r="G85" s="98">
        <f t="shared" si="16"/>
        <v>242800</v>
      </c>
      <c r="H85" s="53"/>
      <c r="I85" s="100"/>
      <c r="J85" s="104"/>
      <c r="K85" s="105"/>
      <c r="M85" s="20" t="str">
        <f t="shared" si="17"/>
        <v>MINIMALIS</v>
      </c>
    </row>
    <row r="86" spans="1:13" s="20" customFormat="1" ht="18" customHeight="1" x14ac:dyDescent="0.25">
      <c r="A86" s="1"/>
      <c r="B86" s="96">
        <v>4</v>
      </c>
      <c r="C86" s="45" t="s">
        <v>83</v>
      </c>
      <c r="D86" s="36">
        <f>IFERROR(HLOOKUP($J$1,[1]DB!$C$1:$K$172,86,FALSE),"")</f>
        <v>7</v>
      </c>
      <c r="E86" s="36">
        <f>SUMIFS('[1]Rincian Keluar'!$G:$G,'[1]Rincian Keluar'!$E:$E,'ILALANG 01'!C86,'[1]Rincian Keluar'!$D:$D,'ILALANG 01'!$D$1,'[1]Rincian Keluar'!$H:$H,'ILALANG 01'!$J$1,'[1]Rincian Keluar'!$F:$F,'ILALANG 01'!M86)</f>
        <v>0</v>
      </c>
      <c r="F86" s="37">
        <v>165000</v>
      </c>
      <c r="G86" s="98">
        <f t="shared" si="16"/>
        <v>0</v>
      </c>
      <c r="H86" s="55"/>
      <c r="I86" s="101"/>
      <c r="J86" s="106"/>
      <c r="K86" s="107"/>
      <c r="M86" s="20" t="str">
        <f t="shared" si="17"/>
        <v>MINIMALIS</v>
      </c>
    </row>
    <row r="87" spans="1:13" s="20" customFormat="1" ht="18" customHeight="1" x14ac:dyDescent="0.25">
      <c r="A87" s="1"/>
      <c r="B87" s="29" t="s">
        <v>84</v>
      </c>
      <c r="C87" s="50" t="s">
        <v>85</v>
      </c>
      <c r="D87" s="31"/>
      <c r="E87" s="31"/>
      <c r="F87" s="31"/>
      <c r="G87" s="31"/>
      <c r="H87" s="31"/>
      <c r="I87" s="32"/>
      <c r="J87" s="31"/>
      <c r="K87" s="33"/>
    </row>
    <row r="88" spans="1:13" s="20" customFormat="1" ht="18" customHeight="1" x14ac:dyDescent="0.25">
      <c r="A88" s="1"/>
      <c r="B88" s="34">
        <v>1</v>
      </c>
      <c r="C88" s="45" t="s">
        <v>24</v>
      </c>
      <c r="D88" s="36">
        <f>IFERROR(HLOOKUP($J$1,[1]DB!$C$1:$K$172,88,FALSE),"")</f>
        <v>22</v>
      </c>
      <c r="E88" s="36">
        <f>SUMIFS('[1]Rincian Keluar'!$G:$G,'[1]Rincian Keluar'!$E:$E,'ILALANG 01'!C88,'[1]Rincian Keluar'!$D:$D,'ILALANG 01'!$D$1,'[1]Rincian Keluar'!$H:$H,'ILALANG 01'!$J$1,'[1]Rincian Keluar'!$F:$F,'ILALANG 01'!M88)</f>
        <v>13</v>
      </c>
      <c r="F88" s="37">
        <v>60700</v>
      </c>
      <c r="G88" s="98">
        <f>E88*F88</f>
        <v>789100</v>
      </c>
      <c r="H88" s="108">
        <v>756000</v>
      </c>
      <c r="I88" s="39">
        <f>IFERROR(VLOOKUP($C87,[1]HK!$B$5:$C$20,2,FALSE),"")*$J1+76600</f>
        <v>828100</v>
      </c>
      <c r="J88" s="109">
        <f>I88-H88</f>
        <v>72100</v>
      </c>
      <c r="K88" s="103">
        <v>1</v>
      </c>
      <c r="M88" s="20" t="str">
        <f>$C$87</f>
        <v>CARPORT</v>
      </c>
    </row>
    <row r="89" spans="1:13" s="20" customFormat="1" ht="18" customHeight="1" x14ac:dyDescent="0.25">
      <c r="A89" s="1"/>
      <c r="B89" s="34">
        <v>2</v>
      </c>
      <c r="C89" s="35" t="s">
        <v>19</v>
      </c>
      <c r="D89" s="36">
        <f>IFERROR(HLOOKUP($J$1,[1]DB!$C$1:$K$172,89,FALSE),"")</f>
        <v>8</v>
      </c>
      <c r="E89" s="36">
        <f>SUMIFS('[1]Rincian Keluar'!$G:$G,'[1]Rincian Keluar'!$E:$E,'ILALANG 01'!C89,'[1]Rincian Keluar'!$D:$D,'ILALANG 01'!$D$1,'[1]Rincian Keluar'!$H:$H,'ILALANG 01'!$J$1,'[1]Rincian Keluar'!$F:$F,'ILALANG 01'!M89)</f>
        <v>8</v>
      </c>
      <c r="F89" s="46">
        <v>11000</v>
      </c>
      <c r="G89" s="98">
        <f t="shared" ref="G89:G95" si="18">E89*F89</f>
        <v>88000</v>
      </c>
      <c r="H89" s="110"/>
      <c r="I89" s="42"/>
      <c r="J89" s="111"/>
      <c r="K89" s="105"/>
      <c r="M89" s="20" t="str">
        <f t="shared" ref="M89:M96" si="19">$C$87</f>
        <v>CARPORT</v>
      </c>
    </row>
    <row r="90" spans="1:13" s="20" customFormat="1" ht="18" customHeight="1" x14ac:dyDescent="0.25">
      <c r="A90" s="1"/>
      <c r="B90" s="34">
        <v>3</v>
      </c>
      <c r="C90" s="35" t="s">
        <v>20</v>
      </c>
      <c r="D90" s="36">
        <f>IFERROR(HLOOKUP($J$1,[1]DB!$C$1:$K$172,90,FALSE),"")</f>
        <v>5</v>
      </c>
      <c r="E90" s="36">
        <f>SUMIFS('[1]Rincian Keluar'!$G:$G,'[1]Rincian Keluar'!$E:$E,'ILALANG 01'!C90,'[1]Rincian Keluar'!$D:$D,'ILALANG 01'!$D$1,'[1]Rincian Keluar'!$H:$H,'ILALANG 01'!$J$1,'[1]Rincian Keluar'!$F:$F,'ILALANG 01'!M90)</f>
        <v>18</v>
      </c>
      <c r="F90" s="37">
        <v>8000</v>
      </c>
      <c r="G90" s="98">
        <f t="shared" si="18"/>
        <v>144000</v>
      </c>
      <c r="H90" s="110"/>
      <c r="I90" s="42"/>
      <c r="J90" s="111"/>
      <c r="K90" s="105"/>
      <c r="M90" s="20" t="str">
        <f t="shared" si="19"/>
        <v>CARPORT</v>
      </c>
    </row>
    <row r="91" spans="1:13" s="20" customFormat="1" ht="18" customHeight="1" x14ac:dyDescent="0.25">
      <c r="A91" s="1"/>
      <c r="B91" s="34">
        <v>4</v>
      </c>
      <c r="C91" s="35" t="s">
        <v>21</v>
      </c>
      <c r="D91" s="36">
        <f>IFERROR(HLOOKUP($J$1,[1]DB!$C$1:$K$172,91,FALSE),"")</f>
        <v>10</v>
      </c>
      <c r="E91" s="36">
        <f>SUMIFS('[1]Rincian Keluar'!$G:$G,'[1]Rincian Keluar'!$E:$E,'ILALANG 01'!C91,'[1]Rincian Keluar'!$D:$D,'ILALANG 01'!$D$1,'[1]Rincian Keluar'!$H:$H,'ILALANG 01'!$J$1,'[1]Rincian Keluar'!$F:$F,'ILALANG 01'!M91)</f>
        <v>0</v>
      </c>
      <c r="F91" s="37">
        <v>11000</v>
      </c>
      <c r="G91" s="98">
        <f t="shared" si="18"/>
        <v>0</v>
      </c>
      <c r="H91" s="110"/>
      <c r="I91" s="42"/>
      <c r="J91" s="111"/>
      <c r="K91" s="105"/>
      <c r="M91" s="20" t="str">
        <f t="shared" si="19"/>
        <v>CARPORT</v>
      </c>
    </row>
    <row r="92" spans="1:13" s="20" customFormat="1" ht="18" customHeight="1" x14ac:dyDescent="0.25">
      <c r="A92" s="1"/>
      <c r="B92" s="34">
        <v>5</v>
      </c>
      <c r="C92" s="35" t="s">
        <v>32</v>
      </c>
      <c r="D92" s="36">
        <f>IFERROR(HLOOKUP($J$1,[1]DB!$C$1:$K$172,92,FALSE),"")</f>
        <v>7</v>
      </c>
      <c r="E92" s="36">
        <f>SUMIFS('[1]Rincian Keluar'!$G:$G,'[1]Rincian Keluar'!$E:$E,'ILALANG 01'!C92,'[1]Rincian Keluar'!$D:$D,'ILALANG 01'!$D$1,'[1]Rincian Keluar'!$H:$H,'ILALANG 01'!$J$1,'[1]Rincian Keluar'!$F:$F,'ILALANG 01'!M92)</f>
        <v>7</v>
      </c>
      <c r="F92" s="57">
        <v>15000</v>
      </c>
      <c r="G92" s="98">
        <f t="shared" si="18"/>
        <v>105000</v>
      </c>
      <c r="H92" s="110"/>
      <c r="I92" s="42"/>
      <c r="J92" s="111"/>
      <c r="K92" s="105"/>
      <c r="M92" s="20" t="str">
        <f t="shared" si="19"/>
        <v>CARPORT</v>
      </c>
    </row>
    <row r="93" spans="1:13" s="20" customFormat="1" ht="18" customHeight="1" x14ac:dyDescent="0.25">
      <c r="A93" s="1"/>
      <c r="B93" s="34">
        <v>6</v>
      </c>
      <c r="C93" s="45" t="s">
        <v>17</v>
      </c>
      <c r="D93" s="36">
        <f>IFERROR(HLOOKUP($J$1,[1]DB!$C$1:$K$172,93,FALSE),"")</f>
        <v>2</v>
      </c>
      <c r="E93" s="36">
        <f>SUMIFS('[1]Rincian Keluar'!$G:$G,'[1]Rincian Keluar'!$E:$E,'ILALANG 01'!C93,'[1]Rincian Keluar'!$D:$D,'ILALANG 01'!$D$1,'[1]Rincian Keluar'!$H:$H,'ILALANG 01'!$J$1,'[1]Rincian Keluar'!$F:$F,'ILALANG 01'!M93)</f>
        <v>10</v>
      </c>
      <c r="F93" s="37">
        <v>22000</v>
      </c>
      <c r="G93" s="98">
        <f t="shared" si="18"/>
        <v>220000</v>
      </c>
      <c r="H93" s="110"/>
      <c r="I93" s="42"/>
      <c r="J93" s="111"/>
      <c r="K93" s="105"/>
      <c r="M93" s="20" t="str">
        <f t="shared" si="19"/>
        <v>CARPORT</v>
      </c>
    </row>
    <row r="94" spans="1:13" s="20" customFormat="1" ht="18" customHeight="1" x14ac:dyDescent="0.25">
      <c r="A94" s="1"/>
      <c r="B94" s="34">
        <v>7</v>
      </c>
      <c r="C94" s="45" t="s">
        <v>57</v>
      </c>
      <c r="D94" s="36">
        <f>IFERROR(HLOOKUP($J$1,[1]DB!$C$1:$K$172,94,FALSE),"")</f>
        <v>15</v>
      </c>
      <c r="E94" s="36">
        <f>SUMIFS('[1]Rincian Keluar'!$G:$G,'[1]Rincian Keluar'!$E:$E,'ILALANG 01'!C94,'[1]Rincian Keluar'!$D:$D,'ILALANG 01'!$D$1,'[1]Rincian Keluar'!$H:$H,'ILALANG 01'!$J$1,'[1]Rincian Keluar'!$F:$F,'ILALANG 01'!M94)</f>
        <v>16</v>
      </c>
      <c r="F94" s="37">
        <v>35000</v>
      </c>
      <c r="G94" s="98">
        <f t="shared" si="18"/>
        <v>560000</v>
      </c>
      <c r="H94" s="110"/>
      <c r="I94" s="42"/>
      <c r="J94" s="111"/>
      <c r="K94" s="105"/>
      <c r="M94" s="20" t="str">
        <f t="shared" si="19"/>
        <v>CARPORT</v>
      </c>
    </row>
    <row r="95" spans="1:13" s="20" customFormat="1" ht="18" customHeight="1" x14ac:dyDescent="0.25">
      <c r="A95" s="1"/>
      <c r="B95" s="34">
        <v>8</v>
      </c>
      <c r="C95" s="45" t="s">
        <v>23</v>
      </c>
      <c r="D95" s="36">
        <f>IFERROR(HLOOKUP($J$1,[1]DB!$C$1:$K$172,95,FALSE),"")</f>
        <v>1</v>
      </c>
      <c r="E95" s="36">
        <f>SUMIFS('[1]Rincian Keluar'!$G:$G,'[1]Rincian Keluar'!$E:$E,'ILALANG 01'!C95,'[1]Rincian Keluar'!$D:$D,'ILALANG 01'!$D$1,'[1]Rincian Keluar'!$H:$H,'ILALANG 01'!$J$1,'[1]Rincian Keluar'!$F:$F,'ILALANG 01'!M95)</f>
        <v>0.5</v>
      </c>
      <c r="F95" s="37">
        <v>500000</v>
      </c>
      <c r="G95" s="98">
        <f t="shared" si="18"/>
        <v>250000</v>
      </c>
      <c r="H95" s="110"/>
      <c r="I95" s="42"/>
      <c r="J95" s="111"/>
      <c r="K95" s="105"/>
      <c r="M95" s="20" t="str">
        <f t="shared" si="19"/>
        <v>CARPORT</v>
      </c>
    </row>
    <row r="96" spans="1:13" s="20" customFormat="1" ht="18" customHeight="1" x14ac:dyDescent="0.25">
      <c r="A96" s="1"/>
      <c r="B96" s="34">
        <v>9</v>
      </c>
      <c r="C96" s="45" t="s">
        <v>31</v>
      </c>
      <c r="D96" s="36">
        <f>IFERROR(HLOOKUP($J$1,[1]DB!$C$1:$K$172,96,FALSE),"")</f>
        <v>6</v>
      </c>
      <c r="E96" s="36">
        <f>SUMIFS('[1]Rincian Keluar'!$G:$G,'[1]Rincian Keluar'!$E:$E,'ILALANG 01'!C96,'[1]Rincian Keluar'!$D:$D,'ILALANG 01'!$D$1,'[1]Rincian Keluar'!$H:$H,'ILALANG 01'!$J$1,'[1]Rincian Keluar'!$F:$F,'ILALANG 01'!M96)</f>
        <v>6</v>
      </c>
      <c r="F96" s="37">
        <v>150000</v>
      </c>
      <c r="G96" s="98">
        <f>E96*F96</f>
        <v>900000</v>
      </c>
      <c r="H96" s="112"/>
      <c r="I96" s="47"/>
      <c r="J96" s="113"/>
      <c r="K96" s="107"/>
      <c r="M96" s="20" t="str">
        <f t="shared" si="19"/>
        <v>CARPORT</v>
      </c>
    </row>
    <row r="97" spans="1:13" s="20" customFormat="1" ht="18" customHeight="1" x14ac:dyDescent="0.25">
      <c r="A97" s="1"/>
      <c r="B97" s="34">
        <v>10</v>
      </c>
      <c r="C97" s="45" t="s">
        <v>83</v>
      </c>
      <c r="D97" s="36">
        <f>IFERROR(HLOOKUP($J$1,[1]DB!$C$1:$K$172,97,FALSE),"")</f>
        <v>31</v>
      </c>
      <c r="E97" s="36">
        <f>SUMIFS('[1]Rincian Keluar'!$G:$G,'[1]Rincian Keluar'!$E:$E,'ILALANG 01'!C97,'[1]Rincian Keluar'!$D:$D,'ILALANG 01'!$D$1,'[1]Rincian Keluar'!$H:$H,'ILALANG 01'!$J$1,'[1]Rincian Keluar'!$F:$F,'ILALANG 01'!M97)</f>
        <v>0</v>
      </c>
      <c r="F97" s="37">
        <v>165000</v>
      </c>
      <c r="G97" s="98">
        <f>E97*F97</f>
        <v>0</v>
      </c>
      <c r="H97" s="114"/>
      <c r="I97" s="115"/>
      <c r="J97" s="116"/>
      <c r="K97" s="117"/>
    </row>
    <row r="98" spans="1:13" s="20" customFormat="1" ht="18" customHeight="1" x14ac:dyDescent="0.25">
      <c r="A98" s="1"/>
      <c r="B98" s="91" t="s">
        <v>86</v>
      </c>
      <c r="C98" s="92" t="s">
        <v>87</v>
      </c>
      <c r="D98" s="93"/>
      <c r="E98" s="93"/>
      <c r="F98" s="93"/>
      <c r="G98" s="93"/>
      <c r="H98" s="93"/>
      <c r="I98" s="94"/>
      <c r="J98" s="93"/>
      <c r="K98" s="95"/>
    </row>
    <row r="99" spans="1:13" s="20" customFormat="1" ht="18" customHeight="1" x14ac:dyDescent="0.25">
      <c r="A99" s="1"/>
      <c r="B99" s="34">
        <v>1</v>
      </c>
      <c r="C99" s="45" t="s">
        <v>88</v>
      </c>
      <c r="D99" s="36">
        <f>IFERROR(HLOOKUP($J$1,[1]DB!$C$1:$K$172,99,FALSE),"")</f>
        <v>29</v>
      </c>
      <c r="E99" s="36">
        <f>SUMIFS('[1]Rincian Keluar'!$G:$G,'[1]Rincian Keluar'!$E:$E,'ILALANG 01'!C99,'[1]Rincian Keluar'!$D:$D,'ILALANG 01'!$D$1,'[1]Rincian Keluar'!$H:$H,'ILALANG 01'!$J$1,'[1]Rincian Keluar'!$F:$F,'ILALANG 01'!M99)</f>
        <v>16</v>
      </c>
      <c r="F99" s="37">
        <v>118000</v>
      </c>
      <c r="G99" s="98">
        <f>E99*F99</f>
        <v>1888000</v>
      </c>
      <c r="H99" s="108">
        <v>625000</v>
      </c>
      <c r="I99" s="39">
        <f>IFERROR(VLOOKUP($C98,[1]HK!$B$5:$C$20,2,FALSE),"")*$J1</f>
        <v>1251000</v>
      </c>
      <c r="J99" s="39">
        <f>I99-H99</f>
        <v>626000</v>
      </c>
      <c r="K99" s="118">
        <v>0.5</v>
      </c>
      <c r="M99" s="20" t="str">
        <f>$C$98</f>
        <v>KERAMIK</v>
      </c>
    </row>
    <row r="100" spans="1:13" s="20" customFormat="1" ht="18" customHeight="1" x14ac:dyDescent="0.25">
      <c r="A100" s="1"/>
      <c r="B100" s="34">
        <v>2</v>
      </c>
      <c r="C100" s="45" t="s">
        <v>83</v>
      </c>
      <c r="D100" s="36">
        <f>IFERROR(HLOOKUP($J$1,[1]DB!$C$1:$K$172,100,FALSE),"")</f>
        <v>11</v>
      </c>
      <c r="E100" s="36">
        <f>SUMIFS('[1]Rincian Keluar'!$G:$G,'[1]Rincian Keluar'!$E:$E,'ILALANG 01'!C100,'[1]Rincian Keluar'!$D:$D,'ILALANG 01'!$D$1,'[1]Rincian Keluar'!$H:$H,'ILALANG 01'!$J$1,'[1]Rincian Keluar'!$F:$F,'ILALANG 01'!M100)</f>
        <v>0</v>
      </c>
      <c r="F100" s="37">
        <v>165000</v>
      </c>
      <c r="G100" s="98">
        <f t="shared" ref="G100:G103" si="20">E100*F100</f>
        <v>0</v>
      </c>
      <c r="H100" s="110"/>
      <c r="I100" s="42"/>
      <c r="J100" s="119"/>
      <c r="K100" s="120"/>
      <c r="M100" s="20" t="str">
        <f t="shared" ref="M100:M103" si="21">$C$98</f>
        <v>KERAMIK</v>
      </c>
    </row>
    <row r="101" spans="1:13" s="20" customFormat="1" ht="18" customHeight="1" x14ac:dyDescent="0.25">
      <c r="A101" s="1"/>
      <c r="B101" s="34">
        <v>3</v>
      </c>
      <c r="C101" s="45" t="s">
        <v>31</v>
      </c>
      <c r="D101" s="36">
        <f>IFERROR(HLOOKUP($J$1,[1]DB!$C$1:$K$172,101,FALSE),"")</f>
        <v>4</v>
      </c>
      <c r="E101" s="36">
        <f>SUMIFS('[1]Rincian Keluar'!$G:$G,'[1]Rincian Keluar'!$E:$E,'ILALANG 01'!C101,'[1]Rincian Keluar'!$D:$D,'ILALANG 01'!$D$1,'[1]Rincian Keluar'!$H:$H,'ILALANG 01'!$J$1,'[1]Rincian Keluar'!$F:$F,'ILALANG 01'!M101)</f>
        <v>3</v>
      </c>
      <c r="F101" s="37">
        <v>150000</v>
      </c>
      <c r="G101" s="98">
        <f t="shared" si="20"/>
        <v>450000</v>
      </c>
      <c r="H101" s="110"/>
      <c r="I101" s="42"/>
      <c r="J101" s="119"/>
      <c r="K101" s="120"/>
      <c r="M101" s="20" t="str">
        <f t="shared" si="21"/>
        <v>KERAMIK</v>
      </c>
    </row>
    <row r="102" spans="1:13" s="20" customFormat="1" ht="18" customHeight="1" x14ac:dyDescent="0.25">
      <c r="A102" s="1"/>
      <c r="B102" s="34">
        <v>4</v>
      </c>
      <c r="C102" s="45" t="s">
        <v>24</v>
      </c>
      <c r="D102" s="36">
        <f>IFERROR(HLOOKUP($J$1,[1]DB!$C$1:$K$172,102,FALSE),"")</f>
        <v>20</v>
      </c>
      <c r="E102" s="36">
        <f>SUMIFS('[1]Rincian Keluar'!$G:$G,'[1]Rincian Keluar'!$E:$E,'ILALANG 01'!C102,'[1]Rincian Keluar'!$D:$D,'ILALANG 01'!$D$1,'[1]Rincian Keluar'!$H:$H,'ILALANG 01'!$J$1,'[1]Rincian Keluar'!$F:$F,'ILALANG 01'!M102)</f>
        <v>7</v>
      </c>
      <c r="F102" s="37">
        <v>60700</v>
      </c>
      <c r="G102" s="98">
        <f t="shared" si="20"/>
        <v>424900</v>
      </c>
      <c r="H102" s="110"/>
      <c r="I102" s="42"/>
      <c r="J102" s="119"/>
      <c r="K102" s="120"/>
      <c r="M102" s="20" t="str">
        <f t="shared" si="21"/>
        <v>KERAMIK</v>
      </c>
    </row>
    <row r="103" spans="1:13" s="20" customFormat="1" ht="18" customHeight="1" x14ac:dyDescent="0.25">
      <c r="A103" s="1"/>
      <c r="B103" s="34">
        <v>5</v>
      </c>
      <c r="C103" s="45" t="s">
        <v>89</v>
      </c>
      <c r="D103" s="36">
        <f>IFERROR(HLOOKUP($J$1,[1]DB!$C$1:$K$172,103,FALSE),"")</f>
        <v>5</v>
      </c>
      <c r="E103" s="36">
        <v>5</v>
      </c>
      <c r="F103" s="121">
        <v>15000</v>
      </c>
      <c r="G103" s="98">
        <f t="shared" si="20"/>
        <v>75000</v>
      </c>
      <c r="H103" s="112"/>
      <c r="I103" s="47"/>
      <c r="J103" s="122"/>
      <c r="K103" s="123"/>
      <c r="M103" s="20" t="str">
        <f t="shared" si="21"/>
        <v>KERAMIK</v>
      </c>
    </row>
    <row r="104" spans="1:13" s="20" customFormat="1" ht="18" customHeight="1" x14ac:dyDescent="0.25">
      <c r="A104" s="1"/>
      <c r="B104" s="29" t="s">
        <v>90</v>
      </c>
      <c r="C104" s="50" t="s">
        <v>91</v>
      </c>
      <c r="D104" s="31"/>
      <c r="E104" s="31"/>
      <c r="F104" s="31"/>
      <c r="G104" s="31"/>
      <c r="H104" s="31"/>
      <c r="I104" s="32"/>
      <c r="J104" s="31"/>
      <c r="K104" s="33"/>
    </row>
    <row r="105" spans="1:13" s="20" customFormat="1" ht="18" customHeight="1" x14ac:dyDescent="0.25">
      <c r="A105" s="1"/>
      <c r="B105" s="34">
        <v>1</v>
      </c>
      <c r="C105" s="45" t="s">
        <v>92</v>
      </c>
      <c r="D105" s="36">
        <f>IFERROR(HLOOKUP($J$1,[1]DB!$C$1:$K$172,105,FALSE),"")</f>
        <v>3</v>
      </c>
      <c r="E105" s="36">
        <f>SUMIFS('[1]Rincian Keluar'!$G:$G,'[1]Rincian Keluar'!$E:$E,'ILALANG 01'!C105,'[1]Rincian Keluar'!$D:$D,'ILALANG 01'!$D$1,'[1]Rincian Keluar'!$H:$H,'ILALANG 01'!$J$1,'[1]Rincian Keluar'!$F:$F,'ILALANG 01'!M105)</f>
        <v>0</v>
      </c>
      <c r="F105" s="57">
        <v>60000</v>
      </c>
      <c r="G105" s="98">
        <f>E105*F105</f>
        <v>0</v>
      </c>
      <c r="H105" s="108"/>
      <c r="I105" s="39">
        <f>IFERROR(VLOOKUP($C104,[1]HK!$B$5:$C$100,2,FALSE),"")*$J1+248000+449500</f>
        <v>900000</v>
      </c>
      <c r="J105" s="109"/>
      <c r="K105" s="103"/>
      <c r="M105" s="20" t="str">
        <f t="shared" ref="M105:M116" si="22">$C$104</f>
        <v>WC</v>
      </c>
    </row>
    <row r="106" spans="1:13" s="20" customFormat="1" ht="18" customHeight="1" x14ac:dyDescent="0.25">
      <c r="A106" s="1"/>
      <c r="B106" s="34">
        <v>2</v>
      </c>
      <c r="C106" s="45" t="s">
        <v>93</v>
      </c>
      <c r="D106" s="36">
        <f>IFERROR(HLOOKUP($J$1,[1]DB!$C$1:$K$172,106,FALSE),"")</f>
        <v>11</v>
      </c>
      <c r="E106" s="36">
        <f>SUMIFS('[1]Rincian Keluar'!$G:$G,'[1]Rincian Keluar'!$E:$E,'ILALANG 01'!C106,'[1]Rincian Keluar'!$D:$D,'ILALANG 01'!$D$1,'[1]Rincian Keluar'!$H:$H,'ILALANG 01'!$J$1,'[1]Rincian Keluar'!$F:$F,'ILALANG 01'!M106)</f>
        <v>0</v>
      </c>
      <c r="F106" s="57">
        <v>60000</v>
      </c>
      <c r="G106" s="98">
        <f t="shared" ref="G106:G116" si="23">E106*F106</f>
        <v>0</v>
      </c>
      <c r="H106" s="110"/>
      <c r="I106" s="42"/>
      <c r="J106" s="111"/>
      <c r="K106" s="105"/>
      <c r="M106" s="20" t="str">
        <f t="shared" si="22"/>
        <v>WC</v>
      </c>
    </row>
    <row r="107" spans="1:13" s="20" customFormat="1" ht="18" customHeight="1" x14ac:dyDescent="0.25">
      <c r="A107" s="1"/>
      <c r="B107" s="34">
        <v>3</v>
      </c>
      <c r="C107" s="45" t="s">
        <v>94</v>
      </c>
      <c r="D107" s="36">
        <f>IFERROR(HLOOKUP($J$1,[1]DB!$C$1:$K$172,107,FALSE),"")</f>
        <v>1</v>
      </c>
      <c r="E107" s="36">
        <f>SUMIFS('[1]Rincian Keluar'!$G:$G,'[1]Rincian Keluar'!$E:$E,'ILALANG 01'!C107,'[1]Rincian Keluar'!$D:$D,'ILALANG 01'!$D$1,'[1]Rincian Keluar'!$H:$H,'ILALANG 01'!$J$1,'[1]Rincian Keluar'!$F:$F,'ILALANG 01'!M107)</f>
        <v>0</v>
      </c>
      <c r="F107" s="57">
        <v>270000</v>
      </c>
      <c r="G107" s="98">
        <f t="shared" si="23"/>
        <v>0</v>
      </c>
      <c r="H107" s="110"/>
      <c r="I107" s="42"/>
      <c r="J107" s="111"/>
      <c r="K107" s="105"/>
      <c r="M107" s="20" t="str">
        <f t="shared" si="22"/>
        <v>WC</v>
      </c>
    </row>
    <row r="108" spans="1:13" s="20" customFormat="1" ht="18" customHeight="1" x14ac:dyDescent="0.25">
      <c r="A108" s="1"/>
      <c r="B108" s="34">
        <v>4</v>
      </c>
      <c r="C108" s="45" t="s">
        <v>95</v>
      </c>
      <c r="D108" s="36">
        <f>IFERROR(HLOOKUP($J$1,[1]DB!$C$1:$K$172,108,FALSE),"")</f>
        <v>1</v>
      </c>
      <c r="E108" s="36">
        <f>SUMIFS('[1]Rincian Keluar'!$G:$G,'[1]Rincian Keluar'!$E:$E,'ILALANG 01'!C108,'[1]Rincian Keluar'!$D:$D,'ILALANG 01'!$D$1,'[1]Rincian Keluar'!$H:$H,'ILALANG 01'!$J$1,'[1]Rincian Keluar'!$F:$F,'ILALANG 01'!M108)</f>
        <v>0</v>
      </c>
      <c r="F108" s="57">
        <v>780000</v>
      </c>
      <c r="G108" s="98">
        <f t="shared" si="23"/>
        <v>0</v>
      </c>
      <c r="H108" s="110"/>
      <c r="I108" s="42"/>
      <c r="J108" s="111"/>
      <c r="K108" s="105"/>
      <c r="M108" s="20" t="str">
        <f t="shared" si="22"/>
        <v>WC</v>
      </c>
    </row>
    <row r="109" spans="1:13" s="20" customFormat="1" ht="18" customHeight="1" x14ac:dyDescent="0.25">
      <c r="A109" s="1"/>
      <c r="B109" s="34">
        <v>5</v>
      </c>
      <c r="C109" s="45" t="s">
        <v>96</v>
      </c>
      <c r="D109" s="36">
        <f>IFERROR(HLOOKUP($J$1,[1]DB!$C$1:$K$172,109,FALSE),"")</f>
        <v>1</v>
      </c>
      <c r="E109" s="36">
        <f>SUMIFS('[1]Rincian Keluar'!$G:$G,'[1]Rincian Keluar'!$E:$E,'ILALANG 01'!C109,'[1]Rincian Keluar'!$D:$D,'ILALANG 01'!$D$1,'[1]Rincian Keluar'!$H:$H,'ILALANG 01'!$J$1,'[1]Rincian Keluar'!$F:$F,'ILALANG 01'!M109)</f>
        <v>0</v>
      </c>
      <c r="F109" s="57">
        <v>5000</v>
      </c>
      <c r="G109" s="98">
        <f t="shared" si="23"/>
        <v>0</v>
      </c>
      <c r="H109" s="110"/>
      <c r="I109" s="42"/>
      <c r="J109" s="111"/>
      <c r="K109" s="105"/>
      <c r="M109" s="20" t="str">
        <f t="shared" si="22"/>
        <v>WC</v>
      </c>
    </row>
    <row r="110" spans="1:13" s="20" customFormat="1" ht="18" customHeight="1" x14ac:dyDescent="0.25">
      <c r="A110" s="1"/>
      <c r="B110" s="34">
        <v>6</v>
      </c>
      <c r="C110" s="45" t="s">
        <v>31</v>
      </c>
      <c r="D110" s="36">
        <f>IFERROR(HLOOKUP($J$1,[1]DB!$C$1:$K$172,110,FALSE),"")</f>
        <v>1</v>
      </c>
      <c r="E110" s="36">
        <f>SUMIFS('[1]Rincian Keluar'!$G:$G,'[1]Rincian Keluar'!$E:$E,'ILALANG 01'!C110,'[1]Rincian Keluar'!$D:$D,'ILALANG 01'!$D$1,'[1]Rincian Keluar'!$H:$H,'ILALANG 01'!$J$1,'[1]Rincian Keluar'!$F:$F,'ILALANG 01'!M110)</f>
        <v>0</v>
      </c>
      <c r="F110" s="57">
        <v>150000</v>
      </c>
      <c r="G110" s="98">
        <f t="shared" si="23"/>
        <v>0</v>
      </c>
      <c r="H110" s="110"/>
      <c r="I110" s="42"/>
      <c r="J110" s="111"/>
      <c r="K110" s="105"/>
      <c r="M110" s="20" t="str">
        <f t="shared" si="22"/>
        <v>WC</v>
      </c>
    </row>
    <row r="111" spans="1:13" s="20" customFormat="1" ht="18" customHeight="1" x14ac:dyDescent="0.25">
      <c r="A111" s="1"/>
      <c r="B111" s="34">
        <v>7</v>
      </c>
      <c r="C111" s="45" t="s">
        <v>24</v>
      </c>
      <c r="D111" s="36">
        <f>IFERROR(HLOOKUP($J$1,[1]DB!$C$1:$K$172,111,FALSE),"")</f>
        <v>4</v>
      </c>
      <c r="E111" s="36">
        <f>SUMIFS('[1]Rincian Keluar'!$G:$G,'[1]Rincian Keluar'!$E:$E,'ILALANG 01'!C111,'[1]Rincian Keluar'!$D:$D,'ILALANG 01'!$D$1,'[1]Rincian Keluar'!$H:$H,'ILALANG 01'!$J$1,'[1]Rincian Keluar'!$F:$F,'ILALANG 01'!M111)</f>
        <v>0</v>
      </c>
      <c r="F111" s="37">
        <v>60700</v>
      </c>
      <c r="G111" s="98">
        <f t="shared" si="23"/>
        <v>0</v>
      </c>
      <c r="H111" s="110"/>
      <c r="I111" s="42"/>
      <c r="J111" s="111"/>
      <c r="K111" s="105"/>
      <c r="M111" s="20" t="str">
        <f t="shared" si="22"/>
        <v>WC</v>
      </c>
    </row>
    <row r="112" spans="1:13" s="20" customFormat="1" ht="18" customHeight="1" x14ac:dyDescent="0.25">
      <c r="A112" s="1"/>
      <c r="B112" s="34">
        <v>8</v>
      </c>
      <c r="C112" s="45" t="s">
        <v>97</v>
      </c>
      <c r="D112" s="36">
        <f>IFERROR(HLOOKUP($J$1,[1]DB!$C$1:$K$172,112,FALSE),"")</f>
        <v>2</v>
      </c>
      <c r="E112" s="36">
        <f>SUMIFS('[1]Rincian Keluar'!$G:$G,'[1]Rincian Keluar'!$E:$E,'ILALANG 01'!C112,'[1]Rincian Keluar'!$D:$D,'ILALANG 01'!$D$1,'[1]Rincian Keluar'!$H:$H,'ILALANG 01'!$J$1,'[1]Rincian Keluar'!$F:$F,'ILALANG 01'!M112)</f>
        <v>0</v>
      </c>
      <c r="F112" s="57">
        <v>140000</v>
      </c>
      <c r="G112" s="98">
        <f t="shared" si="23"/>
        <v>0</v>
      </c>
      <c r="H112" s="110"/>
      <c r="I112" s="42"/>
      <c r="J112" s="111"/>
      <c r="K112" s="105"/>
      <c r="M112" s="20" t="str">
        <f t="shared" si="22"/>
        <v>WC</v>
      </c>
    </row>
    <row r="113" spans="1:13" s="20" customFormat="1" ht="18" customHeight="1" x14ac:dyDescent="0.25">
      <c r="A113" s="1"/>
      <c r="B113" s="34">
        <v>9</v>
      </c>
      <c r="C113" s="45" t="s">
        <v>98</v>
      </c>
      <c r="D113" s="36">
        <f>IFERROR(HLOOKUP($J$1,[1]DB!$C$1:$K$172,113,FALSE),"")</f>
        <v>2</v>
      </c>
      <c r="E113" s="36">
        <f>SUMIFS('[1]Rincian Keluar'!$G:$G,'[1]Rincian Keluar'!$E:$E,'ILALANG 01'!C113,'[1]Rincian Keluar'!$D:$D,'ILALANG 01'!$D$1,'[1]Rincian Keluar'!$H:$H,'ILALANG 01'!$J$1,'[1]Rincian Keluar'!$F:$F,'ILALANG 01'!M113)</f>
        <v>0</v>
      </c>
      <c r="F113" s="57">
        <v>18000</v>
      </c>
      <c r="G113" s="98">
        <f t="shared" si="23"/>
        <v>0</v>
      </c>
      <c r="H113" s="110"/>
      <c r="I113" s="42"/>
      <c r="J113" s="111"/>
      <c r="K113" s="105"/>
      <c r="M113" s="20" t="str">
        <f t="shared" si="22"/>
        <v>WC</v>
      </c>
    </row>
    <row r="114" spans="1:13" s="20" customFormat="1" ht="18" customHeight="1" x14ac:dyDescent="0.25">
      <c r="A114" s="1"/>
      <c r="B114" s="34">
        <v>10</v>
      </c>
      <c r="C114" s="45" t="s">
        <v>99</v>
      </c>
      <c r="D114" s="36">
        <f>IFERROR(HLOOKUP($J$1,[1]DB!$C$1:$K$172,114,FALSE),"")</f>
        <v>6</v>
      </c>
      <c r="E114" s="36">
        <f>SUMIFS('[1]Rincian Keluar'!$G:$G,'[1]Rincian Keluar'!$E:$E,'ILALANG 01'!C114,'[1]Rincian Keluar'!$D:$D,'ILALANG 01'!$D$1,'[1]Rincian Keluar'!$H:$H,'ILALANG 01'!$J$1,'[1]Rincian Keluar'!$F:$F,'ILALANG 01'!M114)</f>
        <v>0</v>
      </c>
      <c r="F114" s="57">
        <v>2500</v>
      </c>
      <c r="G114" s="98">
        <f t="shared" si="23"/>
        <v>0</v>
      </c>
      <c r="H114" s="110"/>
      <c r="I114" s="42"/>
      <c r="J114" s="111"/>
      <c r="K114" s="105"/>
      <c r="M114" s="20" t="str">
        <f t="shared" si="22"/>
        <v>WC</v>
      </c>
    </row>
    <row r="115" spans="1:13" s="20" customFormat="1" ht="18" customHeight="1" x14ac:dyDescent="0.25">
      <c r="A115" s="1"/>
      <c r="B115" s="34">
        <v>11</v>
      </c>
      <c r="C115" s="45" t="s">
        <v>100</v>
      </c>
      <c r="D115" s="36">
        <f>IFERROR(HLOOKUP($J$1,[1]DB!$C$1:$K$172,115,FALSE),"")</f>
        <v>3</v>
      </c>
      <c r="E115" s="36">
        <f>SUMIFS('[1]Rincian Keluar'!$G:$G,'[1]Rincian Keluar'!$E:$E,'ILALANG 01'!C115,'[1]Rincian Keluar'!$D:$D,'ILALANG 01'!$D$1,'[1]Rincian Keluar'!$H:$H,'ILALANG 01'!$J$1,'[1]Rincian Keluar'!$F:$F,'ILALANG 01'!M115)</f>
        <v>0</v>
      </c>
      <c r="F115" s="57">
        <v>10000</v>
      </c>
      <c r="G115" s="98">
        <f t="shared" si="23"/>
        <v>0</v>
      </c>
      <c r="H115" s="110"/>
      <c r="I115" s="42"/>
      <c r="J115" s="111"/>
      <c r="K115" s="105"/>
      <c r="M115" s="20" t="str">
        <f t="shared" si="22"/>
        <v>WC</v>
      </c>
    </row>
    <row r="116" spans="1:13" ht="18" customHeight="1" x14ac:dyDescent="0.25">
      <c r="B116" s="34">
        <v>12</v>
      </c>
      <c r="C116" s="45" t="s">
        <v>101</v>
      </c>
      <c r="D116" s="36">
        <f>IFERROR(HLOOKUP($J$1,[1]DB!$C$1:$K$172,116,FALSE),"")</f>
        <v>1</v>
      </c>
      <c r="E116" s="36">
        <f>SUMIFS('[1]Rincian Keluar'!$G:$G,'[1]Rincian Keluar'!$E:$E,'ILALANG 01'!C116,'[1]Rincian Keluar'!$D:$D,'ILALANG 01'!$D$1,'[1]Rincian Keluar'!$H:$H,'ILALANG 01'!$J$1,'[1]Rincian Keluar'!$F:$F,'ILALANG 01'!M116)</f>
        <v>0</v>
      </c>
      <c r="F116" s="57">
        <v>5000</v>
      </c>
      <c r="G116" s="98">
        <f t="shared" si="23"/>
        <v>0</v>
      </c>
      <c r="H116" s="112"/>
      <c r="I116" s="47"/>
      <c r="J116" s="113"/>
      <c r="K116" s="107"/>
      <c r="M116" s="20" t="str">
        <f t="shared" si="22"/>
        <v>WC</v>
      </c>
    </row>
    <row r="117" spans="1:13" ht="18" customHeight="1" x14ac:dyDescent="0.25">
      <c r="B117" s="29" t="s">
        <v>102</v>
      </c>
      <c r="C117" s="124" t="s">
        <v>103</v>
      </c>
      <c r="D117" s="31"/>
      <c r="E117" s="31"/>
      <c r="F117" s="31"/>
      <c r="G117" s="31"/>
      <c r="H117" s="31"/>
      <c r="I117" s="32"/>
      <c r="J117" s="31"/>
      <c r="K117" s="33"/>
      <c r="M117" s="20"/>
    </row>
    <row r="118" spans="1:13" ht="18" customHeight="1" x14ac:dyDescent="0.25">
      <c r="B118" s="34">
        <v>1</v>
      </c>
      <c r="C118" s="72" t="s">
        <v>104</v>
      </c>
      <c r="D118" s="36">
        <f>IFERROR(HLOOKUP($J$1,[1]DB!$C$1:$K$172,118,FALSE),"")</f>
        <v>2</v>
      </c>
      <c r="E118" s="36">
        <f>SUMIFS('[1]Rincian Keluar'!$G:$G,'[1]Rincian Keluar'!$E:$E,'ILALANG 01'!C118,'[1]Rincian Keluar'!$D:$D,'ILALANG 01'!$D$1,'[1]Rincian Keluar'!$H:$H,'ILALANG 01'!$J$1,'[1]Rincian Keluar'!$F:$F,'ILALANG 01'!M118)</f>
        <v>0</v>
      </c>
      <c r="F118" s="57">
        <v>124500</v>
      </c>
      <c r="G118" s="98">
        <f>E118*F118</f>
        <v>0</v>
      </c>
      <c r="H118" s="125"/>
      <c r="I118" s="126">
        <f>IFERROR(VLOOKUP($C117,[1]HK!$B$5:$C$20,2,FALSE),"")*$J1</f>
        <v>488250</v>
      </c>
      <c r="J118" s="127">
        <f>I118-H118</f>
        <v>488250</v>
      </c>
      <c r="K118" s="128"/>
      <c r="M118" s="20" t="str">
        <f>$C$117</f>
        <v>ACI MINIMALIS</v>
      </c>
    </row>
    <row r="119" spans="1:13" ht="18" customHeight="1" x14ac:dyDescent="0.25">
      <c r="B119" s="29" t="s">
        <v>105</v>
      </c>
      <c r="C119" s="124" t="s">
        <v>106</v>
      </c>
      <c r="D119" s="31"/>
      <c r="E119" s="31"/>
      <c r="F119" s="31"/>
      <c r="G119" s="31"/>
      <c r="H119" s="31"/>
      <c r="I119" s="32"/>
      <c r="J119" s="31"/>
      <c r="K119" s="33"/>
      <c r="M119" s="20"/>
    </row>
    <row r="120" spans="1:13" ht="18" customHeight="1" x14ac:dyDescent="0.25">
      <c r="B120" s="34">
        <v>1</v>
      </c>
      <c r="C120" s="35" t="s">
        <v>107</v>
      </c>
      <c r="D120" s="36">
        <f>IFERROR(HLOOKUP($J$1,[1]DB!$C$1:$K$172,120,FALSE),"")</f>
        <v>1</v>
      </c>
      <c r="E120" s="36">
        <f>SUMIFS('[1]Rincian Keluar'!$G:$G,'[1]Rincian Keluar'!$E:$E,'ILALANG 01'!C120,'[1]Rincian Keluar'!$D:$D,'ILALANG 01'!$D$1,'[1]Rincian Keluar'!$H:$H,'ILALANG 01'!$J$1,'[1]Rincian Keluar'!$F:$F,'ILALANG 01'!M120)</f>
        <v>0</v>
      </c>
      <c r="F120" s="64">
        <v>2434900</v>
      </c>
      <c r="G120" s="98">
        <f>E120*F120</f>
        <v>0</v>
      </c>
      <c r="H120" s="108"/>
      <c r="I120" s="39">
        <f>IFERROR(VLOOKUP($C119,[1]HK!$B$5:$C$20,2,FALSE),"")*$J1-303750</f>
        <v>1260000</v>
      </c>
      <c r="J120" s="129"/>
      <c r="K120" s="103"/>
      <c r="M120" s="20" t="str">
        <f>$C$119</f>
        <v>CAT</v>
      </c>
    </row>
    <row r="121" spans="1:13" ht="18" customHeight="1" x14ac:dyDescent="0.25">
      <c r="B121" s="34">
        <v>2</v>
      </c>
      <c r="C121" s="35" t="s">
        <v>108</v>
      </c>
      <c r="D121" s="36">
        <f>IFERROR(HLOOKUP($J$1,[1]DB!$C$1:$K$172,121,FALSE),"")</f>
        <v>2</v>
      </c>
      <c r="E121" s="36">
        <f>SUMIFS('[1]Rincian Keluar'!$G:$G,'[1]Rincian Keluar'!$E:$E,'ILALANG 01'!C121,'[1]Rincian Keluar'!$D:$D,'ILALANG 01'!$D$1,'[1]Rincian Keluar'!$H:$H,'ILALANG 01'!$J$1,'[1]Rincian Keluar'!$F:$F,'ILALANG 01'!M121)</f>
        <v>0</v>
      </c>
      <c r="F121" s="64">
        <v>275000</v>
      </c>
      <c r="G121" s="98">
        <f t="shared" ref="G121:G123" si="24">E121*F121</f>
        <v>0</v>
      </c>
      <c r="H121" s="110"/>
      <c r="I121" s="42"/>
      <c r="J121" s="130"/>
      <c r="K121" s="105"/>
      <c r="M121" s="20" t="str">
        <f>$C$119</f>
        <v>CAT</v>
      </c>
    </row>
    <row r="122" spans="1:13" ht="18" customHeight="1" x14ac:dyDescent="0.25">
      <c r="B122" s="34">
        <v>3</v>
      </c>
      <c r="C122" s="72" t="s">
        <v>104</v>
      </c>
      <c r="D122" s="36">
        <f>IFERROR(HLOOKUP($J$1,[1]DB!$C$1:$K$172,122,FALSE),"")</f>
        <v>11</v>
      </c>
      <c r="E122" s="36">
        <f>SUMIFS('[1]Rincian Keluar'!$G:$G,'[1]Rincian Keluar'!$E:$E,'ILALANG 01'!C122,'[1]Rincian Keluar'!$D:$D,'ILALANG 01'!$D$1,'[1]Rincian Keluar'!$H:$H,'ILALANG 01'!$J$1,'[1]Rincian Keluar'!$F:$F,'ILALANG 01'!M122)</f>
        <v>0</v>
      </c>
      <c r="F122" s="57">
        <v>124500</v>
      </c>
      <c r="G122" s="98">
        <f t="shared" si="24"/>
        <v>0</v>
      </c>
      <c r="H122" s="110"/>
      <c r="I122" s="42"/>
      <c r="J122" s="130"/>
      <c r="K122" s="105"/>
      <c r="M122" s="20" t="str">
        <f>$C$119</f>
        <v>CAT</v>
      </c>
    </row>
    <row r="123" spans="1:13" ht="18" customHeight="1" x14ac:dyDescent="0.25">
      <c r="B123" s="34">
        <v>4</v>
      </c>
      <c r="C123" s="72" t="s">
        <v>109</v>
      </c>
      <c r="D123" s="36">
        <f>IFERROR(HLOOKUP($J$1,[1]DB!$C$1:$K$172,123,FALSE),"")</f>
        <v>1</v>
      </c>
      <c r="E123" s="36">
        <f>SUMIFS('[1]Rincian Keluar'!$G:$G,'[1]Rincian Keluar'!$E:$E,'ILALANG 01'!C123,'[1]Rincian Keluar'!$D:$D,'ILALANG 01'!$D$1,'[1]Rincian Keluar'!$H:$H,'ILALANG 01'!$J$1,'[1]Rincian Keluar'!$F:$F,'ILALANG 01'!M123)</f>
        <v>0</v>
      </c>
      <c r="F123" s="57">
        <v>115000</v>
      </c>
      <c r="G123" s="98">
        <f t="shared" si="24"/>
        <v>0</v>
      </c>
      <c r="H123" s="112"/>
      <c r="I123" s="47"/>
      <c r="J123" s="131"/>
      <c r="K123" s="107"/>
      <c r="M123" s="20" t="str">
        <f>$C$119</f>
        <v>CAT</v>
      </c>
    </row>
    <row r="124" spans="1:13" ht="18" customHeight="1" x14ac:dyDescent="0.25">
      <c r="B124" s="29" t="s">
        <v>110</v>
      </c>
      <c r="C124" s="124" t="s">
        <v>111</v>
      </c>
      <c r="D124" s="132"/>
      <c r="E124" s="132"/>
      <c r="F124" s="132"/>
      <c r="G124" s="132"/>
      <c r="H124" s="132"/>
      <c r="I124" s="133"/>
      <c r="J124" s="132"/>
      <c r="K124" s="134"/>
      <c r="M124" s="20"/>
    </row>
    <row r="125" spans="1:13" ht="18" customHeight="1" x14ac:dyDescent="0.25">
      <c r="B125" s="34">
        <v>1</v>
      </c>
      <c r="C125" s="35" t="s">
        <v>54</v>
      </c>
      <c r="D125" s="36">
        <f>IFERROR(HLOOKUP($J$1,[1]DB!$C$1:$K$172,125,FALSE),"")</f>
        <v>100</v>
      </c>
      <c r="E125" s="36">
        <f>SUMIFS('[1]Rincian Keluar'!$G:$G,'[1]Rincian Keluar'!$E:$E,'ILALANG 01'!C125,'[1]Rincian Keluar'!$D:$D,'ILALANG 01'!$D$1,'[1]Rincian Keluar'!$H:$H,'ILALANG 01'!$J$1,'[1]Rincian Keluar'!$F:$F,'ILALANG 01'!M125)</f>
        <v>0</v>
      </c>
      <c r="F125" s="37">
        <v>1850</v>
      </c>
      <c r="G125" s="135">
        <f>E125*F125</f>
        <v>0</v>
      </c>
      <c r="H125" s="108">
        <v>252000</v>
      </c>
      <c r="I125" s="39">
        <f>IFERROR(VLOOKUP($C124,[1]HK!$B$5:$C$20,2,FALSE),"")*$J1+245000</f>
        <v>445250</v>
      </c>
      <c r="J125" s="109">
        <f>I125-H125</f>
        <v>193250</v>
      </c>
      <c r="K125" s="103">
        <v>0.1</v>
      </c>
      <c r="M125" s="20" t="str">
        <f>$C$124</f>
        <v>PAGAR</v>
      </c>
    </row>
    <row r="126" spans="1:13" ht="18" customHeight="1" x14ac:dyDescent="0.25">
      <c r="B126" s="34">
        <v>2</v>
      </c>
      <c r="C126" s="35" t="s">
        <v>31</v>
      </c>
      <c r="D126" s="36">
        <f>IFERROR(HLOOKUP($J$1,[1]DB!$C$1:$K$172,126,FALSE),"")</f>
        <v>1</v>
      </c>
      <c r="E126" s="36">
        <f>SUMIFS('[1]Rincian Keluar'!$G:$G,'[1]Rincian Keluar'!$E:$E,'ILALANG 01'!C126,'[1]Rincian Keluar'!$D:$D,'ILALANG 01'!$D$1,'[1]Rincian Keluar'!$H:$H,'ILALANG 01'!$J$1,'[1]Rincian Keluar'!$F:$F,'ILALANG 01'!M126)</f>
        <v>1</v>
      </c>
      <c r="F126" s="37">
        <v>150000</v>
      </c>
      <c r="G126" s="135">
        <f t="shared" ref="G126:G129" si="25">E126*F126</f>
        <v>150000</v>
      </c>
      <c r="H126" s="110"/>
      <c r="I126" s="42"/>
      <c r="J126" s="111"/>
      <c r="K126" s="105"/>
      <c r="M126" s="20" t="str">
        <f>$C$124</f>
        <v>PAGAR</v>
      </c>
    </row>
    <row r="127" spans="1:13" ht="18" customHeight="1" x14ac:dyDescent="0.25">
      <c r="B127" s="34">
        <v>3</v>
      </c>
      <c r="C127" s="45" t="s">
        <v>24</v>
      </c>
      <c r="D127" s="36">
        <f>IFERROR(HLOOKUP($J$1,[1]DB!$C$1:$K$172,127,FALSE),"")</f>
        <v>3</v>
      </c>
      <c r="E127" s="36">
        <f>SUMIFS('[1]Rincian Keluar'!$G:$G,'[1]Rincian Keluar'!$E:$E,'ILALANG 01'!C127,'[1]Rincian Keluar'!$D:$D,'ILALANG 01'!$D$1,'[1]Rincian Keluar'!$H:$H,'ILALANG 01'!$J$1,'[1]Rincian Keluar'!$F:$F,'ILALANG 01'!M127)</f>
        <v>5</v>
      </c>
      <c r="F127" s="37">
        <v>60700</v>
      </c>
      <c r="G127" s="135">
        <f t="shared" si="25"/>
        <v>303500</v>
      </c>
      <c r="H127" s="110"/>
      <c r="I127" s="42"/>
      <c r="J127" s="111"/>
      <c r="K127" s="105"/>
      <c r="M127" s="20" t="str">
        <f>$C$124</f>
        <v>PAGAR</v>
      </c>
    </row>
    <row r="128" spans="1:13" ht="18" customHeight="1" x14ac:dyDescent="0.25">
      <c r="B128" s="34">
        <v>4</v>
      </c>
      <c r="C128" s="45" t="s">
        <v>51</v>
      </c>
      <c r="D128" s="36">
        <f>IFERROR(HLOOKUP($J$1,[1]DB!$C$1:$K$172,128,FALSE),"")</f>
        <v>2</v>
      </c>
      <c r="E128" s="36">
        <f>SUMIFS('[1]Rincian Keluar'!$G:$G,'[1]Rincian Keluar'!$E:$E,'ILALANG 01'!C128,'[1]Rincian Keluar'!$D:$D,'ILALANG 01'!$D$1,'[1]Rincian Keluar'!$H:$H,'ILALANG 01'!$J$1,'[1]Rincian Keluar'!$F:$F,'ILALANG 01'!M128)</f>
        <v>0</v>
      </c>
      <c r="F128" s="37">
        <v>22000</v>
      </c>
      <c r="G128" s="135">
        <f t="shared" si="25"/>
        <v>0</v>
      </c>
      <c r="H128" s="110"/>
      <c r="I128" s="42"/>
      <c r="J128" s="111"/>
      <c r="K128" s="105"/>
      <c r="M128" s="20" t="str">
        <f>$C$124</f>
        <v>PAGAR</v>
      </c>
    </row>
    <row r="129" spans="2:13" ht="18" customHeight="1" x14ac:dyDescent="0.25">
      <c r="B129" s="29">
        <v>5</v>
      </c>
      <c r="C129" s="45" t="s">
        <v>57</v>
      </c>
      <c r="D129" s="36">
        <f>IFERROR(HLOOKUP($J$1,[1]DB!$C$1:$K$172,129,FALSE),"")</f>
        <v>4</v>
      </c>
      <c r="E129" s="36">
        <f>SUMIFS('[1]Rincian Keluar'!$G:$G,'[1]Rincian Keluar'!$E:$E,'ILALANG 01'!C129,'[1]Rincian Keluar'!$D:$D,'ILALANG 01'!$D$1,'[1]Rincian Keluar'!$H:$H,'ILALANG 01'!$J$1,'[1]Rincian Keluar'!$F:$F,'ILALANG 01'!M129)</f>
        <v>0</v>
      </c>
      <c r="F129" s="37">
        <v>35000</v>
      </c>
      <c r="G129" s="135">
        <f t="shared" si="25"/>
        <v>0</v>
      </c>
      <c r="H129" s="112"/>
      <c r="I129" s="47"/>
      <c r="J129" s="113"/>
      <c r="K129" s="107"/>
      <c r="M129" s="20" t="str">
        <f>$C$124</f>
        <v>PAGAR</v>
      </c>
    </row>
    <row r="130" spans="2:13" ht="18" customHeight="1" x14ac:dyDescent="0.25">
      <c r="B130" s="29" t="s">
        <v>112</v>
      </c>
      <c r="C130" s="124" t="s">
        <v>113</v>
      </c>
      <c r="D130" s="132"/>
      <c r="E130" s="132"/>
      <c r="F130" s="132"/>
      <c r="G130" s="132"/>
      <c r="H130" s="132"/>
      <c r="I130" s="133"/>
      <c r="J130" s="132"/>
      <c r="K130" s="134"/>
      <c r="M130" s="20"/>
    </row>
    <row r="131" spans="2:13" ht="18" customHeight="1" x14ac:dyDescent="0.25">
      <c r="B131" s="34">
        <v>1</v>
      </c>
      <c r="C131" s="45" t="s">
        <v>24</v>
      </c>
      <c r="D131" s="36">
        <f>IFERROR(HLOOKUP($J$1,[1]DB!$C$1:$K$172,131,FALSE),"")</f>
        <v>9</v>
      </c>
      <c r="E131" s="36">
        <f>SUMIFS('[1]Rincian Keluar'!$G:$G,'[1]Rincian Keluar'!$E:$E,'ILALANG 01'!C131,'[1]Rincian Keluar'!$D:$D,'ILALANG 01'!$D$1,'[1]Rincian Keluar'!$H:$H,'ILALANG 01'!$J$1,'[1]Rincian Keluar'!$F:$F,'ILALANG 01'!M131)</f>
        <v>0</v>
      </c>
      <c r="F131" s="37">
        <v>60700</v>
      </c>
      <c r="G131" s="135">
        <f>E131*F131</f>
        <v>0</v>
      </c>
      <c r="H131" s="108"/>
      <c r="I131" s="39">
        <f>IFERROR(VLOOKUP($C130,[1]HK!$B$5:$C$20,2,FALSE),"")*$J1+303875</f>
        <v>552500</v>
      </c>
      <c r="J131" s="109">
        <f>I131-H131</f>
        <v>552500</v>
      </c>
      <c r="K131" s="103"/>
      <c r="M131" s="20" t="str">
        <f>$C$130</f>
        <v>MINIMALIS CARPORT</v>
      </c>
    </row>
    <row r="132" spans="2:13" ht="18" customHeight="1" x14ac:dyDescent="0.25">
      <c r="B132" s="34">
        <v>2</v>
      </c>
      <c r="C132" s="35" t="s">
        <v>31</v>
      </c>
      <c r="D132" s="36">
        <f>IFERROR(HLOOKUP($J$1,[1]DB!$C$1:$K$172,132,FALSE),"")</f>
        <v>2</v>
      </c>
      <c r="E132" s="36">
        <f>SUMIFS('[1]Rincian Keluar'!$G:$G,'[1]Rincian Keluar'!$E:$E,'ILALANG 01'!C132,'[1]Rincian Keluar'!$D:$D,'ILALANG 01'!$D$1,'[1]Rincian Keluar'!$H:$H,'ILALANG 01'!$J$1,'[1]Rincian Keluar'!$F:$F,'ILALANG 01'!M132)</f>
        <v>0</v>
      </c>
      <c r="F132" s="37">
        <v>150000</v>
      </c>
      <c r="G132" s="135">
        <f>E132*F132</f>
        <v>0</v>
      </c>
      <c r="H132" s="112"/>
      <c r="I132" s="47"/>
      <c r="J132" s="113"/>
      <c r="K132" s="107"/>
      <c r="M132" s="20" t="str">
        <f>$C$130</f>
        <v>MINIMALIS CARPORT</v>
      </c>
    </row>
    <row r="133" spans="2:13" ht="18" customHeight="1" x14ac:dyDescent="0.25">
      <c r="B133" s="29" t="s">
        <v>114</v>
      </c>
      <c r="C133" s="124" t="s">
        <v>115</v>
      </c>
      <c r="D133" s="132"/>
      <c r="E133" s="132"/>
      <c r="F133" s="132"/>
      <c r="G133" s="132"/>
      <c r="H133" s="132"/>
      <c r="I133" s="133"/>
      <c r="J133" s="132"/>
      <c r="K133" s="134"/>
      <c r="M133" s="20"/>
    </row>
    <row r="134" spans="2:13" s="66" customFormat="1" ht="18" customHeight="1" x14ac:dyDescent="0.25">
      <c r="B134" s="34">
        <v>1</v>
      </c>
      <c r="C134" s="35" t="s">
        <v>116</v>
      </c>
      <c r="D134" s="36" t="str">
        <f>IFERROR(HLOOKUP($J$1,[1]DB!$C$1:$K$172,1334,FALSE),"")</f>
        <v/>
      </c>
      <c r="E134" s="36">
        <f>SUMIFS('[1]Rincian Keluar'!$G:$G,'[1]Rincian Keluar'!$E:$E,'ILALANG 01'!C134,'[1]Rincian Keluar'!$D:$D,'ILALANG 01'!$D$1,'[1]Rincian Keluar'!$H:$H,'ILALANG 01'!$J$1,'[1]Rincian Keluar'!$F:$F,'ILALANG 01'!M134)</f>
        <v>0</v>
      </c>
      <c r="F134" s="37">
        <v>82000</v>
      </c>
      <c r="G134" s="135">
        <f>E134*F134</f>
        <v>0</v>
      </c>
      <c r="H134" s="136"/>
      <c r="I134" s="39"/>
      <c r="J134" s="137"/>
      <c r="K134" s="84"/>
      <c r="M134" s="20" t="str">
        <f t="shared" ref="M134:M141" si="26">$C$133</f>
        <v>TALANG AIR</v>
      </c>
    </row>
    <row r="135" spans="2:13" s="66" customFormat="1" ht="18" customHeight="1" x14ac:dyDescent="0.25">
      <c r="B135" s="34">
        <v>2</v>
      </c>
      <c r="C135" s="35" t="s">
        <v>117</v>
      </c>
      <c r="D135" s="36">
        <f>IFERROR(HLOOKUP($J$1,[1]DB!$C$1:$K$172,135,FALSE),"")</f>
        <v>2</v>
      </c>
      <c r="E135" s="36">
        <f>SUMIFS('[1]Rincian Keluar'!$G:$G,'[1]Rincian Keluar'!$E:$E,'ILALANG 01'!C135,'[1]Rincian Keluar'!$D:$D,'ILALANG 01'!$D$1,'[1]Rincian Keluar'!$H:$H,'ILALANG 01'!$J$1,'[1]Rincian Keluar'!$F:$F,'ILALANG 01'!M135)</f>
        <v>0</v>
      </c>
      <c r="F135" s="37">
        <v>50000</v>
      </c>
      <c r="G135" s="135">
        <f t="shared" ref="G135:G141" si="27">E135*F135</f>
        <v>0</v>
      </c>
      <c r="H135" s="138"/>
      <c r="I135" s="42"/>
      <c r="J135" s="104"/>
      <c r="K135" s="87"/>
      <c r="M135" s="20" t="str">
        <f t="shared" si="26"/>
        <v>TALANG AIR</v>
      </c>
    </row>
    <row r="136" spans="2:13" s="66" customFormat="1" ht="18" customHeight="1" x14ac:dyDescent="0.25">
      <c r="B136" s="34">
        <v>3</v>
      </c>
      <c r="C136" s="35" t="s">
        <v>118</v>
      </c>
      <c r="D136" s="36">
        <f>IFERROR(HLOOKUP($J$1,[1]DB!$C$1:$K$172,136,FALSE),"")</f>
        <v>2</v>
      </c>
      <c r="E136" s="36">
        <f>SUMIFS('[1]Rincian Keluar'!$G:$G,'[1]Rincian Keluar'!$E:$E,'ILALANG 01'!C136,'[1]Rincian Keluar'!$D:$D,'ILALANG 01'!$D$1,'[1]Rincian Keluar'!$H:$H,'ILALANG 01'!$J$1,'[1]Rincian Keluar'!$F:$F,'ILALANG 01'!M136)</f>
        <v>0</v>
      </c>
      <c r="F136" s="37">
        <v>4000</v>
      </c>
      <c r="G136" s="135">
        <f t="shared" si="27"/>
        <v>0</v>
      </c>
      <c r="H136" s="138"/>
      <c r="I136" s="42"/>
      <c r="J136" s="104"/>
      <c r="K136" s="87"/>
      <c r="M136" s="20" t="str">
        <f t="shared" si="26"/>
        <v>TALANG AIR</v>
      </c>
    </row>
    <row r="137" spans="2:13" s="66" customFormat="1" ht="18" customHeight="1" x14ac:dyDescent="0.25">
      <c r="B137" s="34">
        <v>4</v>
      </c>
      <c r="C137" s="35" t="s">
        <v>119</v>
      </c>
      <c r="D137" s="36">
        <f>IFERROR(HLOOKUP($J$1,[1]DB!$C$1:$K$172,137,FALSE),"")</f>
        <v>1</v>
      </c>
      <c r="E137" s="36">
        <f>SUMIFS('[1]Rincian Keluar'!$G:$G,'[1]Rincian Keluar'!$E:$E,'ILALANG 01'!C137,'[1]Rincian Keluar'!$D:$D,'ILALANG 01'!$D$1,'[1]Rincian Keluar'!$H:$H,'ILALANG 01'!$J$1,'[1]Rincian Keluar'!$F:$F,'ILALANG 01'!M137)</f>
        <v>0</v>
      </c>
      <c r="F137" s="37">
        <v>15000</v>
      </c>
      <c r="G137" s="135">
        <f t="shared" si="27"/>
        <v>0</v>
      </c>
      <c r="H137" s="138"/>
      <c r="I137" s="42"/>
      <c r="J137" s="104"/>
      <c r="K137" s="87"/>
      <c r="M137" s="20" t="str">
        <f t="shared" si="26"/>
        <v>TALANG AIR</v>
      </c>
    </row>
    <row r="138" spans="2:13" s="66" customFormat="1" ht="18" customHeight="1" x14ac:dyDescent="0.25">
      <c r="B138" s="34">
        <v>5</v>
      </c>
      <c r="C138" s="35" t="s">
        <v>120</v>
      </c>
      <c r="D138" s="36">
        <f>IFERROR(HLOOKUP($J$1,[1]DB!$C$1:$K$172,138,FALSE),"")</f>
        <v>1</v>
      </c>
      <c r="E138" s="36">
        <f>SUMIFS('[1]Rincian Keluar'!$G:$G,'[1]Rincian Keluar'!$E:$E,'ILALANG 01'!C138,'[1]Rincian Keluar'!$D:$D,'ILALANG 01'!$D$1,'[1]Rincian Keluar'!$H:$H,'ILALANG 01'!$J$1,'[1]Rincian Keluar'!$F:$F,'ILALANG 01'!M138)</f>
        <v>0</v>
      </c>
      <c r="F138" s="37">
        <v>12000</v>
      </c>
      <c r="G138" s="135">
        <f t="shared" si="27"/>
        <v>0</v>
      </c>
      <c r="H138" s="138"/>
      <c r="I138" s="42"/>
      <c r="J138" s="104"/>
      <c r="K138" s="87"/>
      <c r="M138" s="20" t="str">
        <f t="shared" si="26"/>
        <v>TALANG AIR</v>
      </c>
    </row>
    <row r="139" spans="2:13" s="66" customFormat="1" ht="18" customHeight="1" x14ac:dyDescent="0.25">
      <c r="B139" s="34">
        <v>6</v>
      </c>
      <c r="C139" s="35" t="s">
        <v>121</v>
      </c>
      <c r="D139" s="36">
        <f>IFERROR(HLOOKUP($J$1,[1]DB!$C$1:$K$172,139,FALSE),"")</f>
        <v>3</v>
      </c>
      <c r="E139" s="36">
        <f>SUMIFS('[1]Rincian Keluar'!$G:$G,'[1]Rincian Keluar'!$E:$E,'ILALANG 01'!C139,'[1]Rincian Keluar'!$D:$D,'ILALANG 01'!$D$1,'[1]Rincian Keluar'!$H:$H,'ILALANG 01'!$J$1,'[1]Rincian Keluar'!$F:$F,'ILALANG 01'!M139)</f>
        <v>0</v>
      </c>
      <c r="F139" s="37">
        <v>4000</v>
      </c>
      <c r="G139" s="135">
        <f t="shared" si="27"/>
        <v>0</v>
      </c>
      <c r="H139" s="138"/>
      <c r="I139" s="42"/>
      <c r="J139" s="104"/>
      <c r="K139" s="87"/>
      <c r="M139" s="20" t="str">
        <f t="shared" si="26"/>
        <v>TALANG AIR</v>
      </c>
    </row>
    <row r="140" spans="2:13" s="66" customFormat="1" ht="18" customHeight="1" x14ac:dyDescent="0.25">
      <c r="B140" s="34">
        <v>7</v>
      </c>
      <c r="C140" s="35" t="s">
        <v>122</v>
      </c>
      <c r="D140" s="36">
        <f>IFERROR(HLOOKUP($J$1,[1]DB!$C$1:$K$172,140,FALSE),"")</f>
        <v>1</v>
      </c>
      <c r="E140" s="36">
        <f>SUMIFS('[1]Rincian Keluar'!$G:$G,'[1]Rincian Keluar'!$E:$E,'ILALANG 01'!C140,'[1]Rincian Keluar'!$D:$D,'ILALANG 01'!$D$1,'[1]Rincian Keluar'!$H:$H,'ILALANG 01'!$J$1,'[1]Rincian Keluar'!$F:$F,'ILALANG 01'!M140)</f>
        <v>0</v>
      </c>
      <c r="F140" s="37">
        <v>8000</v>
      </c>
      <c r="G140" s="135">
        <f t="shared" si="27"/>
        <v>0</v>
      </c>
      <c r="H140" s="138"/>
      <c r="I140" s="42"/>
      <c r="J140" s="104"/>
      <c r="K140" s="87"/>
      <c r="M140" s="20" t="str">
        <f t="shared" si="26"/>
        <v>TALANG AIR</v>
      </c>
    </row>
    <row r="141" spans="2:13" s="66" customFormat="1" ht="18" customHeight="1" x14ac:dyDescent="0.25">
      <c r="B141" s="34">
        <v>8</v>
      </c>
      <c r="C141" s="139" t="s">
        <v>123</v>
      </c>
      <c r="D141" s="36">
        <f>IFERROR(HLOOKUP($J$1,[1]DB!$C$1:$K$172,141,FALSE),"")</f>
        <v>1</v>
      </c>
      <c r="E141" s="36">
        <f>SUMIFS('[1]Rincian Keluar'!$G:$G,'[1]Rincian Keluar'!$E:$E,'ILALANG 01'!C141,'[1]Rincian Keluar'!$D:$D,'ILALANG 01'!$D$1,'[1]Rincian Keluar'!$H:$H,'ILALANG 01'!$J$1,'[1]Rincian Keluar'!$F:$F,'ILALANG 01'!M141)</f>
        <v>0</v>
      </c>
      <c r="F141" s="37">
        <v>22000</v>
      </c>
      <c r="G141" s="135">
        <f t="shared" si="27"/>
        <v>0</v>
      </c>
      <c r="H141" s="140"/>
      <c r="I141" s="47"/>
      <c r="J141" s="106"/>
      <c r="K141" s="90"/>
      <c r="M141" s="20" t="str">
        <f t="shared" si="26"/>
        <v>TALANG AIR</v>
      </c>
    </row>
    <row r="142" spans="2:13" ht="18" customHeight="1" x14ac:dyDescent="0.25">
      <c r="B142" s="29" t="s">
        <v>124</v>
      </c>
      <c r="C142" s="124" t="s">
        <v>125</v>
      </c>
      <c r="D142" s="132"/>
      <c r="E142" s="132"/>
      <c r="F142" s="132"/>
      <c r="G142" s="132"/>
      <c r="H142" s="132"/>
      <c r="I142" s="133"/>
      <c r="J142" s="132"/>
      <c r="K142" s="134"/>
      <c r="M142" s="20"/>
    </row>
    <row r="143" spans="2:13" s="142" customFormat="1" ht="18" customHeight="1" x14ac:dyDescent="0.25">
      <c r="B143" s="34">
        <v>1</v>
      </c>
      <c r="C143" s="139" t="s">
        <v>126</v>
      </c>
      <c r="D143" s="36">
        <f>IFERROR(HLOOKUP($J$1,[1]DB!$C$1:$K$172,143,FALSE),"")</f>
        <v>4</v>
      </c>
      <c r="E143" s="36">
        <f>SUMIFS('[1]Rincian Keluar'!$G:$G,'[1]Rincian Keluar'!$E:$E,'ILALANG 01'!C143,'[1]Rincian Keluar'!$D:$D,'ILALANG 01'!$D$1,'[1]Rincian Keluar'!$H:$H,'ILALANG 01'!$J$1,'[1]Rincian Keluar'!$F:$F,'ILALANG 01'!M143)</f>
        <v>0</v>
      </c>
      <c r="F143" s="141">
        <v>165000</v>
      </c>
      <c r="G143" s="98">
        <f>E143*F143</f>
        <v>0</v>
      </c>
      <c r="H143" s="136"/>
      <c r="I143" s="39"/>
      <c r="J143" s="137"/>
      <c r="K143" s="84"/>
      <c r="M143" s="20" t="str">
        <f t="shared" ref="M143:M161" si="28">$C$142</f>
        <v xml:space="preserve">JENDELA </v>
      </c>
    </row>
    <row r="144" spans="2:13" s="142" customFormat="1" ht="18" customHeight="1" x14ac:dyDescent="0.25">
      <c r="B144" s="34">
        <v>2</v>
      </c>
      <c r="C144" s="139" t="s">
        <v>127</v>
      </c>
      <c r="D144" s="36">
        <f>IFERROR(HLOOKUP($J$1,[1]DB!$C$1:$K$172,144,FALSE),"")</f>
        <v>2</v>
      </c>
      <c r="E144" s="36">
        <f>SUMIFS('[1]Rincian Keluar'!$G:$G,'[1]Rincian Keluar'!$E:$E,'ILALANG 01'!C144,'[1]Rincian Keluar'!$D:$D,'ILALANG 01'!$D$1,'[1]Rincian Keluar'!$H:$H,'ILALANG 01'!$J$1,'[1]Rincian Keluar'!$F:$F,'ILALANG 01'!M144)</f>
        <v>0</v>
      </c>
      <c r="F144" s="141">
        <v>198000</v>
      </c>
      <c r="G144" s="98">
        <f t="shared" ref="G144:G161" si="29">E144*F144</f>
        <v>0</v>
      </c>
      <c r="H144" s="138"/>
      <c r="I144" s="42"/>
      <c r="J144" s="104"/>
      <c r="K144" s="87"/>
      <c r="M144" s="20" t="str">
        <f t="shared" si="28"/>
        <v xml:space="preserve">JENDELA </v>
      </c>
    </row>
    <row r="145" spans="2:13" s="142" customFormat="1" ht="18" customHeight="1" x14ac:dyDescent="0.25">
      <c r="B145" s="34">
        <v>3</v>
      </c>
      <c r="C145" s="139" t="s">
        <v>128</v>
      </c>
      <c r="D145" s="36">
        <f>IFERROR(HLOOKUP($J$1,[1]DB!$C$1:$K$172,145,FALSE),"")</f>
        <v>6</v>
      </c>
      <c r="E145" s="36">
        <f>SUMIFS('[1]Rincian Keluar'!$G:$G,'[1]Rincian Keluar'!$E:$E,'ILALANG 01'!C145,'[1]Rincian Keluar'!$D:$D,'ILALANG 01'!$D$1,'[1]Rincian Keluar'!$H:$H,'ILALANG 01'!$J$1,'[1]Rincian Keluar'!$F:$F,'ILALANG 01'!M145)</f>
        <v>0</v>
      </c>
      <c r="F145" s="141">
        <v>86000</v>
      </c>
      <c r="G145" s="98">
        <f t="shared" si="29"/>
        <v>0</v>
      </c>
      <c r="H145" s="138"/>
      <c r="I145" s="42"/>
      <c r="J145" s="104"/>
      <c r="K145" s="87"/>
      <c r="M145" s="20" t="str">
        <f t="shared" si="28"/>
        <v xml:space="preserve">JENDELA </v>
      </c>
    </row>
    <row r="146" spans="2:13" s="142" customFormat="1" ht="18" customHeight="1" x14ac:dyDescent="0.25">
      <c r="B146" s="34">
        <v>4</v>
      </c>
      <c r="C146" s="139" t="s">
        <v>129</v>
      </c>
      <c r="D146" s="36">
        <f>IFERROR(HLOOKUP($J$1,[1]DB!$C$1:$K$172,146,FALSE),"")</f>
        <v>6</v>
      </c>
      <c r="E146" s="36">
        <f>SUMIFS('[1]Rincian Keluar'!$G:$G,'[1]Rincian Keluar'!$E:$E,'ILALANG 01'!C146,'[1]Rincian Keluar'!$D:$D,'ILALANG 01'!$D$1,'[1]Rincian Keluar'!$H:$H,'ILALANG 01'!$J$1,'[1]Rincian Keluar'!$F:$F,'ILALANG 01'!M146)</f>
        <v>0</v>
      </c>
      <c r="F146" s="141">
        <v>50000</v>
      </c>
      <c r="G146" s="98">
        <f t="shared" si="29"/>
        <v>0</v>
      </c>
      <c r="H146" s="138"/>
      <c r="I146" s="42"/>
      <c r="J146" s="104"/>
      <c r="K146" s="87"/>
      <c r="M146" s="20" t="str">
        <f t="shared" si="28"/>
        <v xml:space="preserve">JENDELA </v>
      </c>
    </row>
    <row r="147" spans="2:13" s="142" customFormat="1" ht="18" customHeight="1" x14ac:dyDescent="0.25">
      <c r="B147" s="34">
        <v>5</v>
      </c>
      <c r="C147" s="139" t="s">
        <v>130</v>
      </c>
      <c r="D147" s="36">
        <f>IFERROR(HLOOKUP($J$1,[1]DB!$C$1:$K$172,147,FALSE),"")</f>
        <v>1</v>
      </c>
      <c r="E147" s="36">
        <f>SUMIFS('[1]Rincian Keluar'!$G:$G,'[1]Rincian Keluar'!$E:$E,'ILALANG 01'!C147,'[1]Rincian Keluar'!$D:$D,'ILALANG 01'!$D$1,'[1]Rincian Keluar'!$H:$H,'ILALANG 01'!$J$1,'[1]Rincian Keluar'!$F:$F,'ILALANG 01'!M147)</f>
        <v>0</v>
      </c>
      <c r="F147" s="141">
        <v>60000</v>
      </c>
      <c r="G147" s="98">
        <f t="shared" si="29"/>
        <v>0</v>
      </c>
      <c r="H147" s="138"/>
      <c r="I147" s="42"/>
      <c r="J147" s="104"/>
      <c r="K147" s="87"/>
      <c r="M147" s="20" t="str">
        <f t="shared" si="28"/>
        <v xml:space="preserve">JENDELA </v>
      </c>
    </row>
    <row r="148" spans="2:13" s="142" customFormat="1" ht="18" customHeight="1" x14ac:dyDescent="0.25">
      <c r="B148" s="34">
        <v>6</v>
      </c>
      <c r="C148" s="139" t="s">
        <v>131</v>
      </c>
      <c r="D148" s="36">
        <f>IFERROR(HLOOKUP($J$1,[1]DB!$C$1:$K$172,148,FALSE),"")</f>
        <v>2</v>
      </c>
      <c r="E148" s="36">
        <f>SUMIFS('[1]Rincian Keluar'!$G:$G,'[1]Rincian Keluar'!$E:$E,'ILALANG 01'!C148,'[1]Rincian Keluar'!$D:$D,'ILALANG 01'!$D$1,'[1]Rincian Keluar'!$H:$H,'ILALANG 01'!$J$1,'[1]Rincian Keluar'!$F:$F,'ILALANG 01'!M148)</f>
        <v>0</v>
      </c>
      <c r="F148" s="141">
        <v>55000</v>
      </c>
      <c r="G148" s="98">
        <f t="shared" si="29"/>
        <v>0</v>
      </c>
      <c r="H148" s="138"/>
      <c r="I148" s="42"/>
      <c r="J148" s="104"/>
      <c r="K148" s="87"/>
      <c r="M148" s="20" t="str">
        <f t="shared" si="28"/>
        <v xml:space="preserve">JENDELA </v>
      </c>
    </row>
    <row r="149" spans="2:13" s="142" customFormat="1" ht="18" customHeight="1" x14ac:dyDescent="0.25">
      <c r="B149" s="34">
        <v>7</v>
      </c>
      <c r="C149" s="139" t="s">
        <v>132</v>
      </c>
      <c r="D149" s="36">
        <f>IFERROR(HLOOKUP($J$1,[1]DB!$C$1:$K$172,149,FALSE),"")</f>
        <v>2</v>
      </c>
      <c r="E149" s="36">
        <f>SUMIFS('[1]Rincian Keluar'!$G:$G,'[1]Rincian Keluar'!$E:$E,'ILALANG 01'!C149,'[1]Rincian Keluar'!$D:$D,'ILALANG 01'!$D$1,'[1]Rincian Keluar'!$H:$H,'ILALANG 01'!$J$1,'[1]Rincian Keluar'!$F:$F,'ILALANG 01'!M149)</f>
        <v>0</v>
      </c>
      <c r="F149" s="141">
        <v>50000</v>
      </c>
      <c r="G149" s="98">
        <f t="shared" si="29"/>
        <v>0</v>
      </c>
      <c r="H149" s="138"/>
      <c r="I149" s="42"/>
      <c r="J149" s="104"/>
      <c r="K149" s="87"/>
      <c r="M149" s="20" t="str">
        <f t="shared" si="28"/>
        <v xml:space="preserve">JENDELA </v>
      </c>
    </row>
    <row r="150" spans="2:13" s="142" customFormat="1" ht="18" customHeight="1" x14ac:dyDescent="0.25">
      <c r="B150" s="34">
        <v>8</v>
      </c>
      <c r="C150" s="139" t="s">
        <v>133</v>
      </c>
      <c r="D150" s="36">
        <f>IFERROR(HLOOKUP($J$1,[1]DB!$C$1:$K$172,150,FALSE),"")</f>
        <v>3</v>
      </c>
      <c r="E150" s="36">
        <f>SUMIFS('[1]Rincian Keluar'!$G:$G,'[1]Rincian Keluar'!$E:$E,'ILALANG 01'!C150,'[1]Rincian Keluar'!$D:$D,'ILALANG 01'!$D$1,'[1]Rincian Keluar'!$H:$H,'ILALANG 01'!$J$1,'[1]Rincian Keluar'!$F:$F,'ILALANG 01'!M150)</f>
        <v>0</v>
      </c>
      <c r="F150" s="141">
        <v>11000</v>
      </c>
      <c r="G150" s="98">
        <f t="shared" si="29"/>
        <v>0</v>
      </c>
      <c r="H150" s="138"/>
      <c r="I150" s="42"/>
      <c r="J150" s="104"/>
      <c r="K150" s="87"/>
      <c r="M150" s="20" t="str">
        <f t="shared" si="28"/>
        <v xml:space="preserve">JENDELA </v>
      </c>
    </row>
    <row r="151" spans="2:13" s="142" customFormat="1" ht="18" customHeight="1" x14ac:dyDescent="0.25">
      <c r="B151" s="34">
        <v>9</v>
      </c>
      <c r="C151" s="139" t="s">
        <v>134</v>
      </c>
      <c r="D151" s="36">
        <f>IFERROR(HLOOKUP($J$1,[1]DB!$C$1:$K$172,151,FALSE),"")</f>
        <v>2</v>
      </c>
      <c r="E151" s="36">
        <f>SUMIFS('[1]Rincian Keluar'!$G:$G,'[1]Rincian Keluar'!$E:$E,'ILALANG 01'!C151,'[1]Rincian Keluar'!$D:$D,'ILALANG 01'!$D$1,'[1]Rincian Keluar'!$H:$H,'ILALANG 01'!$J$1,'[1]Rincian Keluar'!$F:$F,'ILALANG 01'!M151)</f>
        <v>0</v>
      </c>
      <c r="F151" s="141">
        <v>11000</v>
      </c>
      <c r="G151" s="98">
        <f t="shared" si="29"/>
        <v>0</v>
      </c>
      <c r="H151" s="138"/>
      <c r="I151" s="42"/>
      <c r="J151" s="104"/>
      <c r="K151" s="87"/>
      <c r="M151" s="20" t="str">
        <f t="shared" si="28"/>
        <v xml:space="preserve">JENDELA </v>
      </c>
    </row>
    <row r="152" spans="2:13" s="142" customFormat="1" ht="18" customHeight="1" x14ac:dyDescent="0.25">
      <c r="B152" s="34">
        <v>10</v>
      </c>
      <c r="C152" s="139" t="s">
        <v>135</v>
      </c>
      <c r="D152" s="36">
        <f>IFERROR(HLOOKUP($J$1,[1]DB!$C$1:$K$172,152,FALSE),"")</f>
        <v>5</v>
      </c>
      <c r="E152" s="36">
        <f>SUMIFS('[1]Rincian Keluar'!$G:$G,'[1]Rincian Keluar'!$E:$E,'ILALANG 01'!C152,'[1]Rincian Keluar'!$D:$D,'ILALANG 01'!$D$1,'[1]Rincian Keluar'!$H:$H,'ILALANG 01'!$J$1,'[1]Rincian Keluar'!$F:$F,'ILALANG 01'!M152)</f>
        <v>0</v>
      </c>
      <c r="F152" s="141">
        <v>17000</v>
      </c>
      <c r="G152" s="98">
        <f t="shared" si="29"/>
        <v>0</v>
      </c>
      <c r="H152" s="138"/>
      <c r="I152" s="42"/>
      <c r="J152" s="104"/>
      <c r="K152" s="87"/>
      <c r="M152" s="20" t="str">
        <f t="shared" si="28"/>
        <v xml:space="preserve">JENDELA </v>
      </c>
    </row>
    <row r="153" spans="2:13" s="142" customFormat="1" ht="18" customHeight="1" x14ac:dyDescent="0.25">
      <c r="B153" s="34">
        <v>11</v>
      </c>
      <c r="C153" s="139" t="s">
        <v>136</v>
      </c>
      <c r="D153" s="36">
        <f>IFERROR(HLOOKUP($J$1,[1]DB!$C$1:$K$172,153,FALSE),"")</f>
        <v>4</v>
      </c>
      <c r="E153" s="36">
        <f>SUMIFS('[1]Rincian Keluar'!$G:$G,'[1]Rincian Keluar'!$E:$E,'ILALANG 01'!C153,'[1]Rincian Keluar'!$D:$D,'ILALANG 01'!$D$1,'[1]Rincian Keluar'!$H:$H,'ILALANG 01'!$J$1,'[1]Rincian Keluar'!$F:$F,'ILALANG 01'!M153)</f>
        <v>0</v>
      </c>
      <c r="F153" s="141">
        <v>40000</v>
      </c>
      <c r="G153" s="98">
        <f t="shared" si="29"/>
        <v>0</v>
      </c>
      <c r="H153" s="138"/>
      <c r="I153" s="42"/>
      <c r="J153" s="104"/>
      <c r="K153" s="87"/>
      <c r="M153" s="20" t="str">
        <f t="shared" si="28"/>
        <v xml:space="preserve">JENDELA </v>
      </c>
    </row>
    <row r="154" spans="2:13" s="142" customFormat="1" ht="18" customHeight="1" x14ac:dyDescent="0.25">
      <c r="B154" s="34">
        <v>12</v>
      </c>
      <c r="C154" s="139" t="s">
        <v>137</v>
      </c>
      <c r="D154" s="36">
        <f>IFERROR(HLOOKUP($J$1,[1]DB!$C$1:$K$172,154,FALSE),"")</f>
        <v>25</v>
      </c>
      <c r="E154" s="36">
        <f>SUMIFS('[1]Rincian Keluar'!$G:$G,'[1]Rincian Keluar'!$E:$E,'ILALANG 01'!C154,'[1]Rincian Keluar'!$D:$D,'ILALANG 01'!$D$1,'[1]Rincian Keluar'!$H:$H,'ILALANG 01'!$J$1,'[1]Rincian Keluar'!$F:$F,'ILALANG 01'!M154)</f>
        <v>0</v>
      </c>
      <c r="F154" s="141">
        <v>400</v>
      </c>
      <c r="G154" s="98">
        <f t="shared" si="29"/>
        <v>0</v>
      </c>
      <c r="H154" s="138"/>
      <c r="I154" s="42"/>
      <c r="J154" s="104"/>
      <c r="K154" s="87"/>
      <c r="M154" s="20" t="str">
        <f t="shared" si="28"/>
        <v xml:space="preserve">JENDELA </v>
      </c>
    </row>
    <row r="155" spans="2:13" s="142" customFormat="1" ht="18" customHeight="1" x14ac:dyDescent="0.25">
      <c r="B155" s="34">
        <v>13</v>
      </c>
      <c r="C155" s="139" t="s">
        <v>138</v>
      </c>
      <c r="D155" s="36">
        <f>IFERROR(HLOOKUP($J$1,[1]DB!$C$1:$K$172,155,FALSE),"")</f>
        <v>40</v>
      </c>
      <c r="E155" s="36">
        <f>SUMIFS('[1]Rincian Keluar'!$G:$G,'[1]Rincian Keluar'!$E:$E,'ILALANG 01'!C155,'[1]Rincian Keluar'!$D:$D,'ILALANG 01'!$D$1,'[1]Rincian Keluar'!$H:$H,'ILALANG 01'!$J$1,'[1]Rincian Keluar'!$F:$F,'ILALANG 01'!M155)</f>
        <v>0</v>
      </c>
      <c r="F155" s="141">
        <v>15000</v>
      </c>
      <c r="G155" s="98">
        <f t="shared" si="29"/>
        <v>0</v>
      </c>
      <c r="H155" s="138"/>
      <c r="I155" s="42"/>
      <c r="J155" s="104"/>
      <c r="K155" s="87"/>
      <c r="M155" s="20" t="str">
        <f t="shared" si="28"/>
        <v xml:space="preserve">JENDELA </v>
      </c>
    </row>
    <row r="156" spans="2:13" s="142" customFormat="1" ht="18" customHeight="1" x14ac:dyDescent="0.25">
      <c r="B156" s="34">
        <v>14</v>
      </c>
      <c r="C156" s="139" t="s">
        <v>139</v>
      </c>
      <c r="D156" s="36">
        <f>IFERROR(HLOOKUP($J$1,[1]DB!$C$1:$K$172,156,FALSE),"")</f>
        <v>40</v>
      </c>
      <c r="E156" s="36">
        <f>SUMIFS('[1]Rincian Keluar'!$G:$G,'[1]Rincian Keluar'!$E:$E,'ILALANG 01'!C156,'[1]Rincian Keluar'!$D:$D,'ILALANG 01'!$D$1,'[1]Rincian Keluar'!$H:$H,'ILALANG 01'!$J$1,'[1]Rincian Keluar'!$F:$F,'ILALANG 01'!M156)</f>
        <v>0</v>
      </c>
      <c r="F156" s="141">
        <v>200</v>
      </c>
      <c r="G156" s="98">
        <f t="shared" si="29"/>
        <v>0</v>
      </c>
      <c r="H156" s="138"/>
      <c r="I156" s="42"/>
      <c r="J156" s="104"/>
      <c r="K156" s="87"/>
      <c r="M156" s="20" t="str">
        <f t="shared" si="28"/>
        <v xml:space="preserve">JENDELA </v>
      </c>
    </row>
    <row r="157" spans="2:13" s="142" customFormat="1" ht="18" customHeight="1" x14ac:dyDescent="0.25">
      <c r="B157" s="34">
        <v>15</v>
      </c>
      <c r="C157" s="139" t="s">
        <v>140</v>
      </c>
      <c r="D157" s="36">
        <f>IFERROR(HLOOKUP($J$1,[1]DB!$C$1:$K$172,157,FALSE),"")</f>
        <v>80</v>
      </c>
      <c r="E157" s="36">
        <f>SUMIFS('[1]Rincian Keluar'!$G:$G,'[1]Rincian Keluar'!$E:$E,'ILALANG 01'!C157,'[1]Rincian Keluar'!$D:$D,'ILALANG 01'!$D$1,'[1]Rincian Keluar'!$H:$H,'ILALANG 01'!$J$1,'[1]Rincian Keluar'!$F:$F,'ILALANG 01'!M157)</f>
        <v>0</v>
      </c>
      <c r="F157" s="141">
        <v>100</v>
      </c>
      <c r="G157" s="98">
        <f t="shared" si="29"/>
        <v>0</v>
      </c>
      <c r="H157" s="138"/>
      <c r="I157" s="42"/>
      <c r="J157" s="104"/>
      <c r="K157" s="87"/>
      <c r="M157" s="20" t="str">
        <f t="shared" si="28"/>
        <v xml:space="preserve">JENDELA </v>
      </c>
    </row>
    <row r="158" spans="2:13" s="142" customFormat="1" ht="18" customHeight="1" x14ac:dyDescent="0.25">
      <c r="B158" s="34">
        <v>16</v>
      </c>
      <c r="C158" s="139" t="s">
        <v>141</v>
      </c>
      <c r="D158" s="36">
        <f>IFERROR(HLOOKUP($J$1,[1]DB!$C$1:$K$172,158,FALSE),"")</f>
        <v>1</v>
      </c>
      <c r="E158" s="36">
        <f>SUMIFS('[1]Rincian Keluar'!$G:$G,'[1]Rincian Keluar'!$E:$E,'ILALANG 01'!C158,'[1]Rincian Keluar'!$D:$D,'ILALANG 01'!$D$1,'[1]Rincian Keluar'!$H:$H,'ILALANG 01'!$J$1,'[1]Rincian Keluar'!$F:$F,'ILALANG 01'!M158)</f>
        <v>0</v>
      </c>
      <c r="F158" s="141">
        <v>55000</v>
      </c>
      <c r="G158" s="98">
        <f t="shared" si="29"/>
        <v>0</v>
      </c>
      <c r="H158" s="138"/>
      <c r="I158" s="42"/>
      <c r="J158" s="104"/>
      <c r="K158" s="87"/>
      <c r="M158" s="20" t="str">
        <f t="shared" si="28"/>
        <v xml:space="preserve">JENDELA </v>
      </c>
    </row>
    <row r="159" spans="2:13" s="142" customFormat="1" ht="18" customHeight="1" x14ac:dyDescent="0.25">
      <c r="B159" s="34">
        <v>17</v>
      </c>
      <c r="C159" s="139" t="s">
        <v>142</v>
      </c>
      <c r="D159" s="36">
        <f>IFERROR(HLOOKUP($J$1,[1]DB!$C$1:$K$172,159,FALSE),"")</f>
        <v>1</v>
      </c>
      <c r="E159" s="36">
        <f>SUMIFS('[1]Rincian Keluar'!$G:$G,'[1]Rincian Keluar'!$E:$E,'ILALANG 01'!C159,'[1]Rincian Keluar'!$D:$D,'ILALANG 01'!$D$1,'[1]Rincian Keluar'!$H:$H,'ILALANG 01'!$J$1,'[1]Rincian Keluar'!$F:$F,'ILALANG 01'!M159)</f>
        <v>0</v>
      </c>
      <c r="F159" s="141">
        <v>10000</v>
      </c>
      <c r="G159" s="98">
        <f t="shared" si="29"/>
        <v>0</v>
      </c>
      <c r="H159" s="138"/>
      <c r="I159" s="42"/>
      <c r="J159" s="104"/>
      <c r="K159" s="87"/>
      <c r="M159" s="20" t="str">
        <f t="shared" si="28"/>
        <v xml:space="preserve">JENDELA </v>
      </c>
    </row>
    <row r="160" spans="2:13" s="142" customFormat="1" ht="18" customHeight="1" x14ac:dyDescent="0.25">
      <c r="B160" s="34">
        <v>18</v>
      </c>
      <c r="C160" s="139" t="s">
        <v>143</v>
      </c>
      <c r="D160" s="36">
        <f>IFERROR(HLOOKUP($J$1,[1]DB!$C$1:$K$172,160,FALSE),"")</f>
        <v>6</v>
      </c>
      <c r="E160" s="36">
        <f>SUMIFS('[1]Rincian Keluar'!$G:$G,'[1]Rincian Keluar'!$E:$E,'ILALANG 01'!C160,'[1]Rincian Keluar'!$D:$D,'ILALANG 01'!$D$1,'[1]Rincian Keluar'!$H:$H,'ILALANG 01'!$J$1,'[1]Rincian Keluar'!$F:$F,'ILALANG 01'!M160)</f>
        <v>0</v>
      </c>
      <c r="F160" s="141">
        <v>300000</v>
      </c>
      <c r="G160" s="98">
        <f t="shared" si="29"/>
        <v>0</v>
      </c>
      <c r="H160" s="138"/>
      <c r="I160" s="42"/>
      <c r="J160" s="104"/>
      <c r="K160" s="87"/>
      <c r="M160" s="20" t="str">
        <f t="shared" si="28"/>
        <v xml:space="preserve">JENDELA </v>
      </c>
    </row>
    <row r="161" spans="1:13" s="142" customFormat="1" ht="18" customHeight="1" x14ac:dyDescent="0.25">
      <c r="B161" s="34">
        <v>19</v>
      </c>
      <c r="C161" s="139" t="s">
        <v>144</v>
      </c>
      <c r="D161" s="36">
        <f>IFERROR(HLOOKUP($J$1,[1]DB!$C$1:$K$172,161,FALSE),"")</f>
        <v>4</v>
      </c>
      <c r="E161" s="36">
        <f>SUMIFS('[1]Rincian Keluar'!$G:$G,'[1]Rincian Keluar'!$E:$E,'ILALANG 01'!C161,'[1]Rincian Keluar'!$D:$D,'ILALANG 01'!$D$1,'[1]Rincian Keluar'!$H:$H,'ILALANG 01'!$J$1,'[1]Rincian Keluar'!$F:$F,'ILALANG 01'!M161)</f>
        <v>0</v>
      </c>
      <c r="F161" s="141">
        <v>40000</v>
      </c>
      <c r="G161" s="98">
        <f t="shared" si="29"/>
        <v>0</v>
      </c>
      <c r="H161" s="140"/>
      <c r="I161" s="47"/>
      <c r="J161" s="106"/>
      <c r="K161" s="90"/>
      <c r="M161" s="20" t="str">
        <f t="shared" si="28"/>
        <v xml:space="preserve">JENDELA </v>
      </c>
    </row>
    <row r="162" spans="1:13" ht="18" customHeight="1" x14ac:dyDescent="0.25">
      <c r="B162" s="29" t="s">
        <v>145</v>
      </c>
      <c r="C162" s="124" t="s">
        <v>146</v>
      </c>
      <c r="D162" s="132"/>
      <c r="E162" s="132"/>
      <c r="F162" s="132"/>
      <c r="G162" s="132"/>
      <c r="H162" s="132"/>
      <c r="I162" s="133"/>
      <c r="J162" s="132"/>
      <c r="K162" s="134"/>
      <c r="M162" s="20"/>
    </row>
    <row r="163" spans="1:13" s="66" customFormat="1" ht="18" customHeight="1" x14ac:dyDescent="0.25">
      <c r="B163" s="34">
        <v>1</v>
      </c>
      <c r="C163" s="35" t="s">
        <v>147</v>
      </c>
      <c r="D163" s="36">
        <f>IFERROR(HLOOKUP($J$1,[1]DB!$C$1:$K$172,163,FALSE),"")</f>
        <v>6</v>
      </c>
      <c r="E163" s="36">
        <f>SUMIFS('[1]Rincian Keluar'!$G:$G,'[1]Rincian Keluar'!$E:$E,'ILALANG 01'!C163,'[1]Rincian Keluar'!$D:$D,'ILALANG 01'!$D$1,'[1]Rincian Keluar'!$H:$H,'ILALANG 01'!$J$1,'[1]Rincian Keluar'!$F:$F,'ILALANG 01'!M163)</f>
        <v>0</v>
      </c>
      <c r="F163" s="37">
        <v>14000</v>
      </c>
      <c r="G163" s="135">
        <f>E163*F163</f>
        <v>0</v>
      </c>
      <c r="H163" s="136"/>
      <c r="I163" s="39"/>
      <c r="J163" s="137"/>
      <c r="K163" s="84"/>
      <c r="M163" s="20" t="str">
        <f>$C$162</f>
        <v>ELEKTICAL</v>
      </c>
    </row>
    <row r="164" spans="1:13" s="66" customFormat="1" ht="18" customHeight="1" x14ac:dyDescent="0.25">
      <c r="B164" s="34">
        <v>2</v>
      </c>
      <c r="C164" s="35" t="s">
        <v>148</v>
      </c>
      <c r="D164" s="36">
        <f>IFERROR(HLOOKUP($J$1,[1]DB!$C$1:$K$172,164,FALSE),"")</f>
        <v>1</v>
      </c>
      <c r="E164" s="36">
        <f>SUMIFS('[1]Rincian Keluar'!$G:$G,'[1]Rincian Keluar'!$E:$E,'ILALANG 01'!C164,'[1]Rincian Keluar'!$D:$D,'ILALANG 01'!$D$1,'[1]Rincian Keluar'!$H:$H,'ILALANG 01'!$J$1,'[1]Rincian Keluar'!$F:$F,'ILALANG 01'!M164)</f>
        <v>0</v>
      </c>
      <c r="F164" s="37">
        <v>18000</v>
      </c>
      <c r="G164" s="135">
        <f t="shared" ref="G164:G172" si="30">E164*F164</f>
        <v>0</v>
      </c>
      <c r="H164" s="138"/>
      <c r="I164" s="42"/>
      <c r="J164" s="104"/>
      <c r="K164" s="87"/>
      <c r="M164" s="20" t="str">
        <f t="shared" ref="M164:M172" si="31">$C$162</f>
        <v>ELEKTICAL</v>
      </c>
    </row>
    <row r="165" spans="1:13" s="66" customFormat="1" ht="18" customHeight="1" x14ac:dyDescent="0.25">
      <c r="B165" s="34">
        <v>3</v>
      </c>
      <c r="C165" s="35" t="s">
        <v>149</v>
      </c>
      <c r="D165" s="36">
        <f>IFERROR(HLOOKUP($J$1,[1]DB!$C$1:$K$172,165,FALSE),"")</f>
        <v>11</v>
      </c>
      <c r="E165" s="36">
        <f>SUMIFS('[1]Rincian Keluar'!$G:$G,'[1]Rincian Keluar'!$E:$E,'ILALANG 01'!C165,'[1]Rincian Keluar'!$D:$D,'ILALANG 01'!$D$1,'[1]Rincian Keluar'!$H:$H,'ILALANG 01'!$J$1,'[1]Rincian Keluar'!$F:$F,'ILALANG 01'!M165)</f>
        <v>0</v>
      </c>
      <c r="F165" s="37">
        <v>15000</v>
      </c>
      <c r="G165" s="135">
        <f t="shared" si="30"/>
        <v>0</v>
      </c>
      <c r="H165" s="138"/>
      <c r="I165" s="42"/>
      <c r="J165" s="104"/>
      <c r="K165" s="87"/>
      <c r="M165" s="20" t="str">
        <f t="shared" si="31"/>
        <v>ELEKTICAL</v>
      </c>
    </row>
    <row r="166" spans="1:13" s="66" customFormat="1" ht="18" customHeight="1" x14ac:dyDescent="0.25">
      <c r="B166" s="34">
        <v>4</v>
      </c>
      <c r="C166" s="35" t="s">
        <v>150</v>
      </c>
      <c r="D166" s="36">
        <f>IFERROR(HLOOKUP($J$1,[1]DB!$C$1:$K$172,166,FALSE),"")</f>
        <v>1</v>
      </c>
      <c r="E166" s="36">
        <f>SUMIFS('[1]Rincian Keluar'!$G:$G,'[1]Rincian Keluar'!$E:$E,'ILALANG 01'!C166,'[1]Rincian Keluar'!$D:$D,'ILALANG 01'!$D$1,'[1]Rincian Keluar'!$H:$H,'ILALANG 01'!$J$1,'[1]Rincian Keluar'!$F:$F,'ILALANG 01'!M166)</f>
        <v>0</v>
      </c>
      <c r="F166" s="37">
        <v>336000</v>
      </c>
      <c r="G166" s="135">
        <f t="shared" si="30"/>
        <v>0</v>
      </c>
      <c r="H166" s="138"/>
      <c r="I166" s="42"/>
      <c r="J166" s="104"/>
      <c r="K166" s="87"/>
      <c r="M166" s="20" t="str">
        <f t="shared" si="31"/>
        <v>ELEKTICAL</v>
      </c>
    </row>
    <row r="167" spans="1:13" s="66" customFormat="1" ht="18" customHeight="1" x14ac:dyDescent="0.25">
      <c r="B167" s="34">
        <v>5</v>
      </c>
      <c r="C167" s="35" t="s">
        <v>151</v>
      </c>
      <c r="D167" s="36">
        <f>IFERROR(HLOOKUP($J$1,[1]DB!$C$1:$K$172,167,FALSE),"")</f>
        <v>7</v>
      </c>
      <c r="E167" s="36">
        <f>SUMIFS('[1]Rincian Keluar'!$G:$G,'[1]Rincian Keluar'!$E:$E,'ILALANG 01'!C167,'[1]Rincian Keluar'!$D:$D,'ILALANG 01'!$D$1,'[1]Rincian Keluar'!$H:$H,'ILALANG 01'!$J$1,'[1]Rincian Keluar'!$F:$F,'ILALANG 01'!M167)</f>
        <v>0</v>
      </c>
      <c r="F167" s="37">
        <v>5500</v>
      </c>
      <c r="G167" s="135">
        <f t="shared" si="30"/>
        <v>0</v>
      </c>
      <c r="H167" s="138"/>
      <c r="I167" s="42"/>
      <c r="J167" s="104"/>
      <c r="K167" s="87"/>
      <c r="M167" s="20" t="str">
        <f t="shared" si="31"/>
        <v>ELEKTICAL</v>
      </c>
    </row>
    <row r="168" spans="1:13" s="66" customFormat="1" ht="18" customHeight="1" x14ac:dyDescent="0.25">
      <c r="B168" s="34">
        <v>6</v>
      </c>
      <c r="C168" s="35" t="s">
        <v>152</v>
      </c>
      <c r="D168" s="36">
        <f>IFERROR(HLOOKUP($J$1,[1]DB!$C$1:$K$172,168,FALSE),"")</f>
        <v>25</v>
      </c>
      <c r="E168" s="36">
        <f>SUMIFS('[1]Rincian Keluar'!$G:$G,'[1]Rincian Keluar'!$E:$E,'ILALANG 01'!C168,'[1]Rincian Keluar'!$D:$D,'ILALANG 01'!$D$1,'[1]Rincian Keluar'!$H:$H,'ILALANG 01'!$J$1,'[1]Rincian Keluar'!$F:$F,'ILALANG 01'!M168)</f>
        <v>0</v>
      </c>
      <c r="F168" s="37">
        <v>8200</v>
      </c>
      <c r="G168" s="135">
        <f t="shared" si="30"/>
        <v>0</v>
      </c>
      <c r="H168" s="138"/>
      <c r="I168" s="42"/>
      <c r="J168" s="104"/>
      <c r="K168" s="87"/>
      <c r="M168" s="20" t="str">
        <f t="shared" si="31"/>
        <v>ELEKTICAL</v>
      </c>
    </row>
    <row r="169" spans="1:13" s="66" customFormat="1" ht="18" customHeight="1" x14ac:dyDescent="0.25">
      <c r="B169" s="34">
        <v>7</v>
      </c>
      <c r="C169" s="35" t="s">
        <v>153</v>
      </c>
      <c r="D169" s="36">
        <f>IFERROR(HLOOKUP($J$1,[1]DB!$C$1:$K$172,169,FALSE),"")</f>
        <v>35</v>
      </c>
      <c r="E169" s="36">
        <f>SUMIFS('[1]Rincian Keluar'!$G:$G,'[1]Rincian Keluar'!$E:$E,'ILALANG 01'!C169,'[1]Rincian Keluar'!$D:$D,'ILALANG 01'!$D$1,'[1]Rincian Keluar'!$H:$H,'ILALANG 01'!$J$1,'[1]Rincian Keluar'!$F:$F,'ILALANG 01'!M169)</f>
        <v>0</v>
      </c>
      <c r="F169" s="37">
        <v>12500</v>
      </c>
      <c r="G169" s="135">
        <f t="shared" si="30"/>
        <v>0</v>
      </c>
      <c r="H169" s="138"/>
      <c r="I169" s="42"/>
      <c r="J169" s="104"/>
      <c r="K169" s="87"/>
      <c r="M169" s="20" t="str">
        <f t="shared" si="31"/>
        <v>ELEKTICAL</v>
      </c>
    </row>
    <row r="170" spans="1:13" s="66" customFormat="1" ht="18" customHeight="1" x14ac:dyDescent="0.25">
      <c r="B170" s="34">
        <v>8</v>
      </c>
      <c r="C170" s="35" t="s">
        <v>154</v>
      </c>
      <c r="D170" s="36">
        <f>IFERROR(HLOOKUP($J$1,[1]DB!$C$1:$K$172,170,FALSE),"")</f>
        <v>1</v>
      </c>
      <c r="E170" s="36">
        <f>SUMIFS('[1]Rincian Keluar'!$G:$G,'[1]Rincian Keluar'!$E:$E,'ILALANG 01'!C170,'[1]Rincian Keluar'!$D:$D,'ILALANG 01'!$D$1,'[1]Rincian Keluar'!$H:$H,'ILALANG 01'!$J$1,'[1]Rincian Keluar'!$F:$F,'ILALANG 01'!M170)</f>
        <v>0</v>
      </c>
      <c r="F170" s="37">
        <v>19000</v>
      </c>
      <c r="G170" s="135">
        <f t="shared" si="30"/>
        <v>0</v>
      </c>
      <c r="H170" s="138"/>
      <c r="I170" s="42"/>
      <c r="J170" s="104"/>
      <c r="K170" s="87"/>
      <c r="M170" s="20" t="str">
        <f t="shared" si="31"/>
        <v>ELEKTICAL</v>
      </c>
    </row>
    <row r="171" spans="1:13" s="66" customFormat="1" ht="18" customHeight="1" x14ac:dyDescent="0.25">
      <c r="B171" s="34">
        <v>9</v>
      </c>
      <c r="C171" s="35" t="s">
        <v>155</v>
      </c>
      <c r="D171" s="36">
        <f>IFERROR(HLOOKUP($J$1,[1]DB!$C$1:$K$172,171,FALSE),"")</f>
        <v>1</v>
      </c>
      <c r="E171" s="36">
        <f>SUMIFS('[1]Rincian Keluar'!$G:$G,'[1]Rincian Keluar'!$E:$E,'ILALANG 01'!C171,'[1]Rincian Keluar'!$D:$D,'ILALANG 01'!$D$1,'[1]Rincian Keluar'!$H:$H,'ILALANG 01'!$J$1,'[1]Rincian Keluar'!$F:$F,'ILALANG 01'!M171)</f>
        <v>0</v>
      </c>
      <c r="F171" s="37">
        <v>14000</v>
      </c>
      <c r="G171" s="135">
        <f t="shared" si="30"/>
        <v>0</v>
      </c>
      <c r="H171" s="138"/>
      <c r="I171" s="42"/>
      <c r="J171" s="104"/>
      <c r="K171" s="87"/>
      <c r="M171" s="20" t="str">
        <f t="shared" si="31"/>
        <v>ELEKTICAL</v>
      </c>
    </row>
    <row r="172" spans="1:13" s="66" customFormat="1" ht="18" customHeight="1" x14ac:dyDescent="0.25">
      <c r="A172" s="66" t="s">
        <v>156</v>
      </c>
      <c r="B172" s="34">
        <v>10</v>
      </c>
      <c r="C172" s="35" t="s">
        <v>157</v>
      </c>
      <c r="D172" s="36">
        <f>IFERROR(HLOOKUP($J$1,[1]DB!$C$1:$K$172,172,FALSE),"")</f>
        <v>1</v>
      </c>
      <c r="E172" s="36">
        <f>SUMIFS('[1]Rincian Keluar'!$G:$G,'[1]Rincian Keluar'!$E:$E,'ILALANG 01'!C172,'[1]Rincian Keluar'!$D:$D,'ILALANG 01'!$D$1,'[1]Rincian Keluar'!$H:$H,'ILALANG 01'!$J$1,'[1]Rincian Keluar'!$F:$F,'ILALANG 01'!M172)</f>
        <v>0</v>
      </c>
      <c r="F172" s="37">
        <v>60000</v>
      </c>
      <c r="G172" s="135">
        <f t="shared" si="30"/>
        <v>0</v>
      </c>
      <c r="H172" s="140"/>
      <c r="I172" s="47"/>
      <c r="J172" s="106"/>
      <c r="K172" s="90"/>
      <c r="M172" s="20" t="str">
        <f t="shared" si="31"/>
        <v>ELEKTICAL</v>
      </c>
    </row>
    <row r="173" spans="1:13" ht="18" customHeight="1" x14ac:dyDescent="0.25">
      <c r="B173" s="143" t="s">
        <v>158</v>
      </c>
      <c r="C173" s="144"/>
      <c r="D173" s="144"/>
      <c r="E173" s="144"/>
      <c r="F173" s="145"/>
      <c r="G173" s="146">
        <f>SUM(G7:G172)</f>
        <v>46776400</v>
      </c>
      <c r="H173" s="146"/>
      <c r="I173" s="147"/>
      <c r="J173" s="146">
        <f>SUM(J7:J172)</f>
        <v>2699100</v>
      </c>
      <c r="K173" s="148"/>
    </row>
    <row r="174" spans="1:13" ht="18" customHeight="1" thickBot="1" x14ac:dyDescent="0.3">
      <c r="B174" s="149" t="s">
        <v>159</v>
      </c>
      <c r="C174" s="150"/>
      <c r="D174" s="150"/>
      <c r="E174" s="150"/>
      <c r="F174" s="150"/>
      <c r="G174" s="151">
        <f>SUM(G173,J173)</f>
        <v>49475500</v>
      </c>
      <c r="H174" s="152"/>
      <c r="I174" s="153"/>
      <c r="J174" s="154"/>
      <c r="K174" s="155"/>
    </row>
    <row r="175" spans="1:13" x14ac:dyDescent="0.25">
      <c r="C175" s="156"/>
    </row>
    <row r="176" spans="1:13" x14ac:dyDescent="0.25">
      <c r="C176" s="156"/>
    </row>
    <row r="177" spans="3:3" x14ac:dyDescent="0.25">
      <c r="C177" s="156"/>
    </row>
    <row r="178" spans="3:3" x14ac:dyDescent="0.25">
      <c r="C178" s="156"/>
    </row>
    <row r="179" spans="3:3" x14ac:dyDescent="0.25">
      <c r="C179" s="156"/>
    </row>
    <row r="180" spans="3:3" x14ac:dyDescent="0.25">
      <c r="C180" s="156"/>
    </row>
    <row r="181" spans="3:3" x14ac:dyDescent="0.25">
      <c r="C181" s="156"/>
    </row>
    <row r="182" spans="3:3" x14ac:dyDescent="0.25">
      <c r="C182" s="156"/>
    </row>
    <row r="183" spans="3:3" x14ac:dyDescent="0.25">
      <c r="C183" s="156"/>
    </row>
    <row r="184" spans="3:3" x14ac:dyDescent="0.25">
      <c r="C184" s="156"/>
    </row>
    <row r="185" spans="3:3" x14ac:dyDescent="0.25">
      <c r="C185" s="156"/>
    </row>
    <row r="186" spans="3:3" x14ac:dyDescent="0.25">
      <c r="C186" s="156"/>
    </row>
    <row r="187" spans="3:3" x14ac:dyDescent="0.25">
      <c r="C187" s="156"/>
    </row>
  </sheetData>
  <autoFilter ref="B4:K174"/>
  <mergeCells count="75">
    <mergeCell ref="B173:F173"/>
    <mergeCell ref="B174:F174"/>
    <mergeCell ref="H143:H161"/>
    <mergeCell ref="I143:I161"/>
    <mergeCell ref="J143:J161"/>
    <mergeCell ref="K143:K161"/>
    <mergeCell ref="H163:H172"/>
    <mergeCell ref="I163:I172"/>
    <mergeCell ref="J163:J172"/>
    <mergeCell ref="K163:K172"/>
    <mergeCell ref="H131:H132"/>
    <mergeCell ref="I131:I132"/>
    <mergeCell ref="J131:J132"/>
    <mergeCell ref="K131:K132"/>
    <mergeCell ref="H134:H141"/>
    <mergeCell ref="I134:I141"/>
    <mergeCell ref="J134:J141"/>
    <mergeCell ref="K134:K141"/>
    <mergeCell ref="H120:H123"/>
    <mergeCell ref="I120:I123"/>
    <mergeCell ref="J120:J123"/>
    <mergeCell ref="K120:K123"/>
    <mergeCell ref="H125:H129"/>
    <mergeCell ref="I125:I129"/>
    <mergeCell ref="J125:J129"/>
    <mergeCell ref="K125:K129"/>
    <mergeCell ref="H99:H103"/>
    <mergeCell ref="I99:I103"/>
    <mergeCell ref="J99:J103"/>
    <mergeCell ref="K99:K103"/>
    <mergeCell ref="H105:H116"/>
    <mergeCell ref="I105:I116"/>
    <mergeCell ref="J105:J116"/>
    <mergeCell ref="K105:K116"/>
    <mergeCell ref="H83:H86"/>
    <mergeCell ref="I83:I86"/>
    <mergeCell ref="J83:J86"/>
    <mergeCell ref="K83:K86"/>
    <mergeCell ref="H88:H96"/>
    <mergeCell ref="I88:I96"/>
    <mergeCell ref="J88:J96"/>
    <mergeCell ref="K88:K96"/>
    <mergeCell ref="H65:H74"/>
    <mergeCell ref="I65:I74"/>
    <mergeCell ref="J65:J74"/>
    <mergeCell ref="K65:K74"/>
    <mergeCell ref="H76:H81"/>
    <mergeCell ref="I76:I81"/>
    <mergeCell ref="J76:J81"/>
    <mergeCell ref="K76:K81"/>
    <mergeCell ref="H38:H59"/>
    <mergeCell ref="I38:I59"/>
    <mergeCell ref="J38:J59"/>
    <mergeCell ref="K38:K59"/>
    <mergeCell ref="H61:H63"/>
    <mergeCell ref="I61:I63"/>
    <mergeCell ref="J61:J63"/>
    <mergeCell ref="K61:K63"/>
    <mergeCell ref="H20:H23"/>
    <mergeCell ref="I20:I23"/>
    <mergeCell ref="J20:J23"/>
    <mergeCell ref="K20:K23"/>
    <mergeCell ref="H25:H36"/>
    <mergeCell ref="I25:I36"/>
    <mergeCell ref="J25:J36"/>
    <mergeCell ref="K25:K36"/>
    <mergeCell ref="B3:K3"/>
    <mergeCell ref="H7:H14"/>
    <mergeCell ref="I7:I14"/>
    <mergeCell ref="J7:J14"/>
    <mergeCell ref="K7:K14"/>
    <mergeCell ref="H16:H18"/>
    <mergeCell ref="I16:I18"/>
    <mergeCell ref="J16:J18"/>
    <mergeCell ref="K16:K18"/>
  </mergeCells>
  <printOptions horizontalCentered="1"/>
  <pageMargins left="0.19685039370078741" right="0.19685039370078741" top="0.19685039370078741" bottom="0.19685039370078741" header="0" footer="0"/>
  <pageSetup paperSize="346" scale="59" fitToHeight="0" orientation="portrait" r:id="rId1"/>
  <rowBreaks count="1" manualBreakCount="1">
    <brk id="86" min="1" max="11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PELANGI 02</vt:lpstr>
      <vt:lpstr>RIDHO 01</vt:lpstr>
      <vt:lpstr>SUKABASUKI</vt:lpstr>
      <vt:lpstr>PELANGI 04</vt:lpstr>
      <vt:lpstr>ILALANG 02</vt:lpstr>
      <vt:lpstr>PELANGI 01</vt:lpstr>
      <vt:lpstr>KARYA HILS  01</vt:lpstr>
      <vt:lpstr>ILALANG 01</vt:lpstr>
      <vt:lpstr>Sheet1</vt:lpstr>
      <vt:lpstr>'ILALANG 01'!Print_Area</vt:lpstr>
      <vt:lpstr>'ILALANG 02'!Print_Area</vt:lpstr>
      <vt:lpstr>'KARYA HILS  01'!Print_Area</vt:lpstr>
      <vt:lpstr>'PELANGI 01'!Print_Area</vt:lpstr>
      <vt:lpstr>'PELANGI 02'!Print_Area</vt:lpstr>
      <vt:lpstr>'PELANGI 04'!Print_Area</vt:lpstr>
      <vt:lpstr>'RIDHO 01'!Print_Area</vt:lpstr>
      <vt:lpstr>SUKABASUKI!Print_Area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2025-12-04T08:46:27Z</dcterms:created>
  <dcterms:modified xsi:type="dcterms:W3CDTF">2025-12-04T08:53:03Z</dcterms:modified>
</cp:coreProperties>
</file>